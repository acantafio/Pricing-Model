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saveExternalLinkValues="0"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amcotradingus.sharepoint.com/sites/Teams-ATA-Crude-TradingCoverage/Shared Documents/Trading Coverage/ATA Lights/Cargoes/Alberto Daily/"/>
    </mc:Choice>
  </mc:AlternateContent>
  <xr:revisionPtr revIDLastSave="797" documentId="10_ncr:8000_{19E3EA9B-DCA0-485C-BB52-A8292F570309}" xr6:coauthVersionLast="47" xr6:coauthVersionMax="47" xr10:uidLastSave="{4F09BD71-B62C-4904-B9E9-E71498E560CA}"/>
  <bookViews>
    <workbookView xWindow="9400" yWindow="4210" windowWidth="28800" windowHeight="15380" activeTab="1" xr2:uid="{00000000-000D-0000-FFFF-FFFF00000000}"/>
  </bookViews>
  <sheets>
    <sheet name="Control" sheetId="12" r:id="rId1"/>
    <sheet name="WTI" sheetId="16" r:id="rId2"/>
    <sheet name="Sheet1" sheetId="34" state="hidden" r:id="rId3"/>
    <sheet name="Report" sheetId="38" r:id="rId4"/>
    <sheet name="CLK1" sheetId="39" r:id="rId5"/>
    <sheet name="BAKKEN" sheetId="23" state="hidden" r:id="rId6"/>
    <sheet name="LULA" sheetId="10" state="hidden" r:id="rId7"/>
    <sheet name="MARS" sheetId="33" r:id="rId8"/>
    <sheet name="LIZA" sheetId="29" r:id="rId9"/>
    <sheet name="FORTIES" sheetId="37" r:id="rId10"/>
    <sheet name="CASTILLA" sheetId="22" state="hidden" r:id="rId11"/>
    <sheet name="MOLO" sheetId="31" state="hidden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1" hidden="1">WTI!$D$1:$BV$75</definedName>
    <definedName name="Index">Control!$Q$3:$U$62</definedName>
    <definedName name="Lightering">Control!$AB$3:$AF$69</definedName>
    <definedName name="Overages">Control!$E$17:$O$21</definedName>
    <definedName name="Overages_Column">Control!$E$17:$E$21</definedName>
    <definedName name="Overages_Row">Control!$E$17:$O$17</definedName>
    <definedName name="Port_Info">Control!$Q$3:$T$62</definedName>
    <definedName name="Port_List">Control!$B$3:$B$1048576</definedName>
    <definedName name="TVM_PortList">Control!$Q$3:$Q$62</definedName>
    <definedName name="Vessel_Minimum_MT">Control!$E$11:$O$15</definedName>
    <definedName name="Z_3AFF74FC_96F2_4A79_B113_398E91D110C0_.wvu.Cols" localSheetId="5" hidden="1">BAKKEN!$F:$L,BAKKEN!$S:$Y,BAKKEN!$AI:$AS</definedName>
    <definedName name="Z_3AFF74FC_96F2_4A79_B113_398E91D110C0_.wvu.Cols" localSheetId="10" hidden="1">CASTILLA!$F:$L,CASTILLA!$S:$Y,CASTILLA!$AI:$AS</definedName>
    <definedName name="Z_3AFF74FC_96F2_4A79_B113_398E91D110C0_.wvu.Cols" localSheetId="4" hidden="1">'CLK1'!$G:$M,'CLK1'!$T:$X,'CLK1'!$AI:$AT</definedName>
    <definedName name="Z_3AFF74FC_96F2_4A79_B113_398E91D110C0_.wvu.Cols" localSheetId="9" hidden="1">FORTIES!$G:$M,FORTIES!$T:$X,FORTIES!$AH:$AR</definedName>
    <definedName name="Z_3AFF74FC_96F2_4A79_B113_398E91D110C0_.wvu.Cols" localSheetId="8" hidden="1">LIZA!$E:$K,LIZA!$R:$V,LIZA!$AF:$AP</definedName>
    <definedName name="Z_3AFF74FC_96F2_4A79_B113_398E91D110C0_.wvu.Cols" localSheetId="6" hidden="1">LULA!$F:$O,LULA!$V:$AE,LULA!$AO:$AY</definedName>
    <definedName name="Z_3AFF74FC_96F2_4A79_B113_398E91D110C0_.wvu.Cols" localSheetId="7" hidden="1">MARS!$E:$K,MARS!$R:$V,MARS!$AF:$AP</definedName>
    <definedName name="Z_3AFF74FC_96F2_4A79_B113_398E91D110C0_.wvu.Cols" localSheetId="11" hidden="1">MOLO!$E:$K,MOLO!$R:$V,MOLO!$AF:$AP</definedName>
    <definedName name="Z_3AFF74FC_96F2_4A79_B113_398E91D110C0_.wvu.Cols" localSheetId="3" hidden="1">Report!$I:$O,Report!$V:$Z,Report!$AK:$AV</definedName>
    <definedName name="Z_3AFF74FC_96F2_4A79_B113_398E91D110C0_.wvu.Cols" localSheetId="1" hidden="1">WTI!$G:$M,WTI!$T:$X,WTI!$AI:$AT</definedName>
    <definedName name="Z_3AFF74FC_96F2_4A79_B113_398E91D110C0_.wvu.Rows" localSheetId="5" hidden="1">BAKKEN!$1:$1</definedName>
    <definedName name="Z_3AFF74FC_96F2_4A79_B113_398E91D110C0_.wvu.Rows" localSheetId="10" hidden="1">CASTILLA!$1:$1</definedName>
    <definedName name="Z_3AFF74FC_96F2_4A79_B113_398E91D110C0_.wvu.Rows" localSheetId="4" hidden="1">'CLK1'!$1:$1</definedName>
    <definedName name="Z_3AFF74FC_96F2_4A79_B113_398E91D110C0_.wvu.Rows" localSheetId="9" hidden="1">FORTIES!$1:$1</definedName>
    <definedName name="Z_3AFF74FC_96F2_4A79_B113_398E91D110C0_.wvu.Rows" localSheetId="8" hidden="1">LIZA!$1:$1</definedName>
    <definedName name="Z_3AFF74FC_96F2_4A79_B113_398E91D110C0_.wvu.Rows" localSheetId="6" hidden="1">LULA!$1:$1</definedName>
    <definedName name="Z_3AFF74FC_96F2_4A79_B113_398E91D110C0_.wvu.Rows" localSheetId="7" hidden="1">MARS!$1:$1</definedName>
    <definedName name="Z_3AFF74FC_96F2_4A79_B113_398E91D110C0_.wvu.Rows" localSheetId="11" hidden="1">MOLO!$1:$1</definedName>
    <definedName name="Z_3AFF74FC_96F2_4A79_B113_398E91D110C0_.wvu.Rows" localSheetId="3" hidden="1">Report!$1:$1</definedName>
    <definedName name="Z_3AFF74FC_96F2_4A79_B113_398E91D110C0_.wvu.Rows" localSheetId="1" hidden="1">WTI!$1:$1</definedName>
    <definedName name="Z_754F2B3C_051D_4D59_B458_9B82C17AD057_.wvu.Cols" localSheetId="5" hidden="1">BAKKEN!$F:$L,BAKKEN!$S:$Y,BAKKEN!$AI:$AS</definedName>
    <definedName name="Z_754F2B3C_051D_4D59_B458_9B82C17AD057_.wvu.Cols" localSheetId="10" hidden="1">CASTILLA!$F:$L,CASTILLA!$S:$Y,CASTILLA!$AI:$AS</definedName>
    <definedName name="Z_754F2B3C_051D_4D59_B458_9B82C17AD057_.wvu.Cols" localSheetId="4" hidden="1">'CLK1'!$G:$M,'CLK1'!$T:$X,'CLK1'!$AI:$AT</definedName>
    <definedName name="Z_754F2B3C_051D_4D59_B458_9B82C17AD057_.wvu.Cols" localSheetId="9" hidden="1">FORTIES!$G:$M,FORTIES!$T:$X,FORTIES!$AH:$AR</definedName>
    <definedName name="Z_754F2B3C_051D_4D59_B458_9B82C17AD057_.wvu.Cols" localSheetId="8" hidden="1">LIZA!$E:$K,LIZA!$R:$V,LIZA!$AF:$AP</definedName>
    <definedName name="Z_754F2B3C_051D_4D59_B458_9B82C17AD057_.wvu.Cols" localSheetId="6" hidden="1">LULA!$F:$O,LULA!$V:$AE,LULA!$AO:$AY</definedName>
    <definedName name="Z_754F2B3C_051D_4D59_B458_9B82C17AD057_.wvu.Cols" localSheetId="7" hidden="1">MARS!$E:$K,MARS!$R:$V,MARS!$AF:$AP</definedName>
    <definedName name="Z_754F2B3C_051D_4D59_B458_9B82C17AD057_.wvu.Cols" localSheetId="11" hidden="1">MOLO!$E:$K,MOLO!$R:$V,MOLO!$AF:$AP</definedName>
    <definedName name="Z_754F2B3C_051D_4D59_B458_9B82C17AD057_.wvu.Cols" localSheetId="3" hidden="1">Report!$I:$O,Report!$V:$Z,Report!$AK:$AV</definedName>
    <definedName name="Z_754F2B3C_051D_4D59_B458_9B82C17AD057_.wvu.Cols" localSheetId="1" hidden="1">WTI!$G:$M,WTI!$T:$X,WTI!$AI:$AT</definedName>
    <definedName name="Z_754F2B3C_051D_4D59_B458_9B82C17AD057_.wvu.Rows" localSheetId="5" hidden="1">BAKKEN!$1:$1</definedName>
    <definedName name="Z_754F2B3C_051D_4D59_B458_9B82C17AD057_.wvu.Rows" localSheetId="10" hidden="1">CASTILLA!$1:$1</definedName>
    <definedName name="Z_754F2B3C_051D_4D59_B458_9B82C17AD057_.wvu.Rows" localSheetId="4" hidden="1">'CLK1'!$1:$1</definedName>
    <definedName name="Z_754F2B3C_051D_4D59_B458_9B82C17AD057_.wvu.Rows" localSheetId="9" hidden="1">FORTIES!$1:$1</definedName>
    <definedName name="Z_754F2B3C_051D_4D59_B458_9B82C17AD057_.wvu.Rows" localSheetId="8" hidden="1">LIZA!$1:$1</definedName>
    <definedName name="Z_754F2B3C_051D_4D59_B458_9B82C17AD057_.wvu.Rows" localSheetId="6" hidden="1">LULA!$1:$1</definedName>
    <definedName name="Z_754F2B3C_051D_4D59_B458_9B82C17AD057_.wvu.Rows" localSheetId="7" hidden="1">MARS!$1:$1</definedName>
    <definedName name="Z_754F2B3C_051D_4D59_B458_9B82C17AD057_.wvu.Rows" localSheetId="11" hidden="1">MOLO!$1:$1</definedName>
    <definedName name="Z_754F2B3C_051D_4D59_B458_9B82C17AD057_.wvu.Rows" localSheetId="3" hidden="1">Report!$1:$1</definedName>
    <definedName name="Z_754F2B3C_051D_4D59_B458_9B82C17AD057_.wvu.Rows" localSheetId="1" hidden="1">WTI!$1:$1</definedName>
    <definedName name="Z_8FAE2493_C53D_4522_BEA9_8F5F31F08801_.wvu.Cols" localSheetId="5" hidden="1">BAKKEN!$F:$L,BAKKEN!$S:$Y,BAKKEN!$AI:$AS</definedName>
    <definedName name="Z_8FAE2493_C53D_4522_BEA9_8F5F31F08801_.wvu.Cols" localSheetId="10" hidden="1">CASTILLA!$F:$L,CASTILLA!$S:$Y,CASTILLA!$AI:$AS</definedName>
    <definedName name="Z_8FAE2493_C53D_4522_BEA9_8F5F31F08801_.wvu.Cols" localSheetId="4" hidden="1">'CLK1'!$G:$M,'CLK1'!$T:$X,'CLK1'!$AI:$AT</definedName>
    <definedName name="Z_8FAE2493_C53D_4522_BEA9_8F5F31F08801_.wvu.Cols" localSheetId="9" hidden="1">FORTIES!$G:$M,FORTIES!$T:$X,FORTIES!$AH:$AR</definedName>
    <definedName name="Z_8FAE2493_C53D_4522_BEA9_8F5F31F08801_.wvu.Cols" localSheetId="8" hidden="1">LIZA!$E:$K,LIZA!$R:$V,LIZA!$AF:$AP</definedName>
    <definedName name="Z_8FAE2493_C53D_4522_BEA9_8F5F31F08801_.wvu.Cols" localSheetId="6" hidden="1">LULA!$F:$O,LULA!$V:$AE,LULA!$AO:$AY</definedName>
    <definedName name="Z_8FAE2493_C53D_4522_BEA9_8F5F31F08801_.wvu.Cols" localSheetId="7" hidden="1">MARS!$E:$K,MARS!$R:$V,MARS!$AF:$AP</definedName>
    <definedName name="Z_8FAE2493_C53D_4522_BEA9_8F5F31F08801_.wvu.Cols" localSheetId="11" hidden="1">MOLO!$E:$K,MOLO!$R:$V,MOLO!$AF:$AP</definedName>
    <definedName name="Z_8FAE2493_C53D_4522_BEA9_8F5F31F08801_.wvu.Cols" localSheetId="3" hidden="1">Report!$I:$O,Report!$V:$Z,Report!$AK:$AV</definedName>
    <definedName name="Z_8FAE2493_C53D_4522_BEA9_8F5F31F08801_.wvu.Cols" localSheetId="1" hidden="1">WTI!$G:$M,WTI!$T:$X,WTI!$AI:$AT</definedName>
    <definedName name="Z_8FAE2493_C53D_4522_BEA9_8F5F31F08801_.wvu.Rows" localSheetId="5" hidden="1">BAKKEN!$1:$1</definedName>
    <definedName name="Z_8FAE2493_C53D_4522_BEA9_8F5F31F08801_.wvu.Rows" localSheetId="10" hidden="1">CASTILLA!$1:$1</definedName>
    <definedName name="Z_8FAE2493_C53D_4522_BEA9_8F5F31F08801_.wvu.Rows" localSheetId="4" hidden="1">'CLK1'!$1:$1</definedName>
    <definedName name="Z_8FAE2493_C53D_4522_BEA9_8F5F31F08801_.wvu.Rows" localSheetId="9" hidden="1">FORTIES!$1:$1</definedName>
    <definedName name="Z_8FAE2493_C53D_4522_BEA9_8F5F31F08801_.wvu.Rows" localSheetId="8" hidden="1">LIZA!$1:$1</definedName>
    <definedName name="Z_8FAE2493_C53D_4522_BEA9_8F5F31F08801_.wvu.Rows" localSheetId="6" hidden="1">LULA!$1:$1,LULA!$20:$43</definedName>
    <definedName name="Z_8FAE2493_C53D_4522_BEA9_8F5F31F08801_.wvu.Rows" localSheetId="7" hidden="1">MARS!$1:$1</definedName>
    <definedName name="Z_8FAE2493_C53D_4522_BEA9_8F5F31F08801_.wvu.Rows" localSheetId="11" hidden="1">MOLO!$1:$1</definedName>
    <definedName name="Z_8FAE2493_C53D_4522_BEA9_8F5F31F08801_.wvu.Rows" localSheetId="3" hidden="1">Report!$1:$1</definedName>
    <definedName name="Z_8FAE2493_C53D_4522_BEA9_8F5F31F08801_.wvu.Rows" localSheetId="1" hidden="1">WTI!$1:$1</definedName>
    <definedName name="Z_B081B6D7_A74F_46D7_8C77_4880ABCFD351_.wvu.Cols" localSheetId="5" hidden="1">BAKKEN!$F:$L,BAKKEN!$S:$Y,BAKKEN!$AI:$AS</definedName>
    <definedName name="Z_B081B6D7_A74F_46D7_8C77_4880ABCFD351_.wvu.Cols" localSheetId="10" hidden="1">CASTILLA!$F:$L,CASTILLA!$S:$Y,CASTILLA!$AI:$AS</definedName>
    <definedName name="Z_B081B6D7_A74F_46D7_8C77_4880ABCFD351_.wvu.Cols" localSheetId="4" hidden="1">'CLK1'!$G:$M,'CLK1'!$T:$X,'CLK1'!$AI:$AT</definedName>
    <definedName name="Z_B081B6D7_A74F_46D7_8C77_4880ABCFD351_.wvu.Cols" localSheetId="9" hidden="1">FORTIES!$G:$M,FORTIES!$T:$X,FORTIES!$AH:$AR</definedName>
    <definedName name="Z_B081B6D7_A74F_46D7_8C77_4880ABCFD351_.wvu.Cols" localSheetId="8" hidden="1">LIZA!$E:$K,LIZA!$R:$V,LIZA!$AF:$AP</definedName>
    <definedName name="Z_B081B6D7_A74F_46D7_8C77_4880ABCFD351_.wvu.Cols" localSheetId="6" hidden="1">LULA!$F:$O,LULA!$AO:$AY</definedName>
    <definedName name="Z_B081B6D7_A74F_46D7_8C77_4880ABCFD351_.wvu.Cols" localSheetId="7" hidden="1">MARS!$E:$K,MARS!$R:$V,MARS!$AF:$AP</definedName>
    <definedName name="Z_B081B6D7_A74F_46D7_8C77_4880ABCFD351_.wvu.Cols" localSheetId="11" hidden="1">MOLO!$E:$K,MOLO!$R:$V,MOLO!$AF:$AP</definedName>
    <definedName name="Z_B081B6D7_A74F_46D7_8C77_4880ABCFD351_.wvu.Cols" localSheetId="3" hidden="1">Report!$I:$O,Report!$V:$Z,Report!$AK:$AV</definedName>
    <definedName name="Z_B081B6D7_A74F_46D7_8C77_4880ABCFD351_.wvu.Cols" localSheetId="1" hidden="1">WTI!$G:$M,WTI!$T:$X,WTI!$AI:$AT</definedName>
    <definedName name="Z_B081B6D7_A74F_46D7_8C77_4880ABCFD351_.wvu.Rows" localSheetId="5" hidden="1">BAKKEN!$1:$1</definedName>
    <definedName name="Z_B081B6D7_A74F_46D7_8C77_4880ABCFD351_.wvu.Rows" localSheetId="10" hidden="1">CASTILLA!$1:$1</definedName>
    <definedName name="Z_B081B6D7_A74F_46D7_8C77_4880ABCFD351_.wvu.Rows" localSheetId="4" hidden="1">'CLK1'!$1:$1</definedName>
    <definedName name="Z_B081B6D7_A74F_46D7_8C77_4880ABCFD351_.wvu.Rows" localSheetId="9" hidden="1">FORTIES!$1:$1</definedName>
    <definedName name="Z_B081B6D7_A74F_46D7_8C77_4880ABCFD351_.wvu.Rows" localSheetId="8" hidden="1">LIZA!$1:$1</definedName>
    <definedName name="Z_B081B6D7_A74F_46D7_8C77_4880ABCFD351_.wvu.Rows" localSheetId="6" hidden="1">LULA!$1:$1</definedName>
    <definedName name="Z_B081B6D7_A74F_46D7_8C77_4880ABCFD351_.wvu.Rows" localSheetId="7" hidden="1">MARS!$1:$1</definedName>
    <definedName name="Z_B081B6D7_A74F_46D7_8C77_4880ABCFD351_.wvu.Rows" localSheetId="11" hidden="1">MOLO!$1:$1</definedName>
    <definedName name="Z_B081B6D7_A74F_46D7_8C77_4880ABCFD351_.wvu.Rows" localSheetId="3" hidden="1">Report!$1:$1</definedName>
    <definedName name="Z_B081B6D7_A74F_46D7_8C77_4880ABCFD351_.wvu.Rows" localSheetId="1" hidden="1">WTI!$1:$1</definedName>
    <definedName name="Zones">Control!$B$3:$C$63</definedName>
  </definedNames>
  <calcPr calcId="191028"/>
  <customWorkbookViews>
    <customWorkbookView name="EVRARD Mathilde - Personal View" guid="{B081B6D7-A74F-46D7-8C77-4880ABCFD351}" mergeInterval="0" personalView="1" maximized="1" windowWidth="1920" windowHeight="815" activeSheetId="6"/>
    <customWorkbookView name="ROJAS Carmen - Personal View" guid="{3AFF74FC-96F2-4A79-B113-398E91D110C0}" mergeInterval="0" personalView="1" maximized="1" windowWidth="1614" windowHeight="807" activeSheetId="4"/>
    <customWorkbookView name="MORRIS Jonathan - Personal View" guid="{754F2B3C-051D-4D59-B458-9B82C17AD057}" mergeInterval="0" personalView="1" maximized="1" xWindow="-8" yWindow="-8" windowWidth="1936" windowHeight="1056" activeSheetId="2"/>
    <customWorkbookView name="CANTAFIO Alberto - Personal View" guid="{8FAE2493-C53D-4522-BEA9-8F5F31F08801}" mergeInterval="0" personalView="1" maximized="1" xWindow="-8" yWindow="-8" windowWidth="1936" windowHeight="1176" activeSheetId="2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6" i="16" l="1"/>
  <c r="D47" i="39"/>
  <c r="D46" i="39"/>
  <c r="D45" i="39"/>
  <c r="D44" i="39"/>
  <c r="D43" i="39"/>
  <c r="AF44" i="39"/>
  <c r="AF45" i="39"/>
  <c r="AF46" i="39"/>
  <c r="AF47" i="39"/>
  <c r="AD43" i="39"/>
  <c r="BC3" i="39"/>
  <c r="AY114" i="16"/>
  <c r="AY113" i="16"/>
  <c r="AY115" i="16"/>
  <c r="AW115" i="16"/>
  <c r="AX115" i="16"/>
  <c r="AV115" i="16"/>
  <c r="AK92" i="16" l="1"/>
  <c r="AK91" i="16"/>
  <c r="AJ92" i="16"/>
  <c r="AJ91" i="16"/>
  <c r="AC141" i="38" l="1"/>
  <c r="BE3" i="16"/>
  <c r="BF3" i="16" l="1"/>
  <c r="BD3" i="39"/>
  <c r="AB127" i="38"/>
  <c r="AC127" i="38" s="1"/>
  <c r="AF127" i="38" s="1"/>
  <c r="AG127" i="38" s="1"/>
  <c r="AJ127" i="38"/>
  <c r="C56" i="38"/>
  <c r="C55" i="38"/>
  <c r="C54" i="38"/>
  <c r="BG3" i="16" l="1"/>
  <c r="BF3" i="39" s="1"/>
  <c r="BE3" i="39"/>
  <c r="B9" i="16"/>
  <c r="AD34" i="16" l="1"/>
  <c r="AD37" i="16" s="1"/>
  <c r="AG57" i="31"/>
  <c r="AP51" i="31"/>
  <c r="AO51" i="31"/>
  <c r="AN51" i="31"/>
  <c r="AM51" i="31"/>
  <c r="AH51" i="31"/>
  <c r="AF51" i="31"/>
  <c r="AE51" i="31"/>
  <c r="AA51" i="31"/>
  <c r="Y51" i="31"/>
  <c r="U51" i="31"/>
  <c r="R51" i="31"/>
  <c r="AC51" i="31" s="1"/>
  <c r="G51" i="31"/>
  <c r="K51" i="31"/>
  <c r="AA50" i="31"/>
  <c r="U50" i="31"/>
  <c r="N50" i="31"/>
  <c r="D49" i="31"/>
  <c r="AP48" i="31"/>
  <c r="AO48" i="31"/>
  <c r="AN48" i="31"/>
  <c r="AM48" i="31"/>
  <c r="AD48" i="31"/>
  <c r="AF48" i="31" s="1"/>
  <c r="AB48" i="31"/>
  <c r="AB51" i="31"/>
  <c r="Y48" i="31"/>
  <c r="U48" i="31"/>
  <c r="R48" i="31"/>
  <c r="G48" i="31"/>
  <c r="H48" i="31" s="1"/>
  <c r="AP47" i="31"/>
  <c r="AO47" i="31"/>
  <c r="AN47" i="31"/>
  <c r="AM47" i="31"/>
  <c r="AE47" i="31"/>
  <c r="AG47" i="31" s="1"/>
  <c r="AD47" i="31"/>
  <c r="AF47" i="31" s="1"/>
  <c r="Y47" i="31"/>
  <c r="U47" i="31"/>
  <c r="R47" i="31"/>
  <c r="G47" i="31"/>
  <c r="AP46" i="31"/>
  <c r="AO46" i="31"/>
  <c r="AN46" i="31"/>
  <c r="AM46" i="31"/>
  <c r="AD46" i="31"/>
  <c r="Z46" i="31"/>
  <c r="Y46" i="31"/>
  <c r="U46" i="31"/>
  <c r="R46" i="31"/>
  <c r="G46" i="31"/>
  <c r="H46" i="31"/>
  <c r="AP45" i="31"/>
  <c r="AO45" i="31"/>
  <c r="AN45" i="31"/>
  <c r="AM45" i="31"/>
  <c r="AE45" i="31"/>
  <c r="AG45" i="31" s="1"/>
  <c r="AQ45" i="31" s="1"/>
  <c r="AD45" i="31"/>
  <c r="Z45" i="31"/>
  <c r="Y45" i="31"/>
  <c r="U45" i="31"/>
  <c r="R45" i="31"/>
  <c r="G45" i="31"/>
  <c r="H45" i="31" s="1"/>
  <c r="AP44" i="31"/>
  <c r="AO44" i="31"/>
  <c r="AN44" i="31"/>
  <c r="AM44" i="31"/>
  <c r="AE44" i="31"/>
  <c r="AG44" i="31" s="1"/>
  <c r="AD44" i="31"/>
  <c r="Z44" i="31"/>
  <c r="Y44" i="31"/>
  <c r="U44" i="31"/>
  <c r="R44" i="31"/>
  <c r="G44" i="31"/>
  <c r="AP43" i="31"/>
  <c r="AO43" i="31"/>
  <c r="AN43" i="31"/>
  <c r="AM43" i="31"/>
  <c r="AE43" i="31"/>
  <c r="AG43" i="31" s="1"/>
  <c r="AD43" i="31"/>
  <c r="AB43" i="31"/>
  <c r="AB44" i="31" s="1"/>
  <c r="AB46" i="31" s="1"/>
  <c r="Z43" i="31"/>
  <c r="Y43" i="31"/>
  <c r="U43" i="31"/>
  <c r="R43" i="31"/>
  <c r="G43" i="31"/>
  <c r="BA42" i="31"/>
  <c r="AP42" i="31"/>
  <c r="AO42" i="31"/>
  <c r="AN42" i="31"/>
  <c r="AM42" i="31"/>
  <c r="AF42" i="31"/>
  <c r="AE42" i="31"/>
  <c r="AG42" i="31" s="1"/>
  <c r="AQ42" i="31" s="1"/>
  <c r="Y42" i="31"/>
  <c r="U42" i="31"/>
  <c r="R42" i="31"/>
  <c r="G42" i="31"/>
  <c r="H42" i="31" s="1"/>
  <c r="AA41" i="31"/>
  <c r="U41" i="31"/>
  <c r="N41" i="31"/>
  <c r="AT39" i="31"/>
  <c r="AP39" i="31"/>
  <c r="AO39" i="31"/>
  <c r="AN39" i="31"/>
  <c r="AM39" i="31"/>
  <c r="Z39" i="31"/>
  <c r="AF39" i="31" s="1"/>
  <c r="Y39" i="31"/>
  <c r="U39" i="31"/>
  <c r="R39" i="31"/>
  <c r="G39" i="31"/>
  <c r="AW39" i="31" s="1"/>
  <c r="AE39" i="31" s="1"/>
  <c r="AG39" i="31" s="1"/>
  <c r="AT38" i="31"/>
  <c r="AP38" i="31"/>
  <c r="AO38" i="31"/>
  <c r="AN38" i="31"/>
  <c r="AM38" i="31"/>
  <c r="AF38" i="31"/>
  <c r="Y38" i="31"/>
  <c r="U38" i="31"/>
  <c r="R38" i="31"/>
  <c r="G38" i="31"/>
  <c r="E38" i="31" s="1"/>
  <c r="AT37" i="31"/>
  <c r="AP37" i="31"/>
  <c r="AO37" i="31"/>
  <c r="AN37" i="31"/>
  <c r="AM37" i="31"/>
  <c r="AB37" i="31"/>
  <c r="AB39" i="31" s="1"/>
  <c r="Z37" i="31"/>
  <c r="AF37" i="31"/>
  <c r="Y37" i="31"/>
  <c r="U37" i="31"/>
  <c r="R37" i="31"/>
  <c r="G37" i="31"/>
  <c r="AT36" i="31"/>
  <c r="AP36" i="31"/>
  <c r="AO36" i="31"/>
  <c r="AN36" i="31"/>
  <c r="AM36" i="31"/>
  <c r="AF36" i="31"/>
  <c r="AB36" i="31"/>
  <c r="AC36" i="31" s="1"/>
  <c r="Y36" i="31"/>
  <c r="U36" i="31"/>
  <c r="R36" i="31"/>
  <c r="G36" i="31"/>
  <c r="AW36" i="31"/>
  <c r="AE36" i="31" s="1"/>
  <c r="AG36" i="31" s="1"/>
  <c r="AQ36" i="31" s="1"/>
  <c r="AT35" i="31"/>
  <c r="AP35" i="31"/>
  <c r="AO35" i="31"/>
  <c r="AN35" i="31"/>
  <c r="AM35" i="31"/>
  <c r="AF35" i="31"/>
  <c r="AC35" i="31"/>
  <c r="Y35" i="31"/>
  <c r="U35" i="31"/>
  <c r="R35" i="31"/>
  <c r="G35" i="31"/>
  <c r="AT34" i="31"/>
  <c r="AP34" i="31"/>
  <c r="AO34" i="31"/>
  <c r="AN34" i="31"/>
  <c r="AM34" i="31"/>
  <c r="AF34" i="31"/>
  <c r="AC34" i="31"/>
  <c r="Y34" i="31"/>
  <c r="U34" i="31"/>
  <c r="R34" i="31"/>
  <c r="G34" i="31"/>
  <c r="AW34" i="31" s="1"/>
  <c r="AE34" i="31" s="1"/>
  <c r="AG34" i="31" s="1"/>
  <c r="AT33" i="31"/>
  <c r="AP33" i="31"/>
  <c r="AO33" i="31"/>
  <c r="AN33" i="31"/>
  <c r="AM33" i="31"/>
  <c r="AB33" i="31"/>
  <c r="AC33" i="31"/>
  <c r="Z33" i="31"/>
  <c r="Y33" i="31"/>
  <c r="U33" i="31"/>
  <c r="R33" i="31"/>
  <c r="G33" i="31"/>
  <c r="AT32" i="31"/>
  <c r="AP32" i="31"/>
  <c r="AO32" i="31"/>
  <c r="AN32" i="31"/>
  <c r="AM32" i="31"/>
  <c r="AF32" i="31"/>
  <c r="AB32" i="31"/>
  <c r="AC32" i="31" s="1"/>
  <c r="Y32" i="31"/>
  <c r="U32" i="31"/>
  <c r="R32" i="31"/>
  <c r="G32" i="31"/>
  <c r="AW32" i="31" s="1"/>
  <c r="AE32" i="31" s="1"/>
  <c r="AG32" i="31" s="1"/>
  <c r="AQ32" i="31" s="1"/>
  <c r="AW31" i="31"/>
  <c r="AE31" i="31" s="1"/>
  <c r="AG31" i="31" s="1"/>
  <c r="AT31" i="31"/>
  <c r="AP31" i="31"/>
  <c r="AO31" i="31"/>
  <c r="AN31" i="31"/>
  <c r="AM31" i="31"/>
  <c r="AI31" i="31"/>
  <c r="AB31" i="31"/>
  <c r="Z31" i="31"/>
  <c r="Y31" i="31"/>
  <c r="U31" i="31"/>
  <c r="R31" i="31"/>
  <c r="K31" i="31"/>
  <c r="H31" i="31"/>
  <c r="E31" i="31"/>
  <c r="AT30" i="31"/>
  <c r="AP30" i="31"/>
  <c r="AO30" i="31"/>
  <c r="AN30" i="31"/>
  <c r="AM30" i="31"/>
  <c r="AI30" i="31"/>
  <c r="AF30" i="31"/>
  <c r="AE30" i="31"/>
  <c r="AG30" i="31" s="1"/>
  <c r="AC30" i="31"/>
  <c r="Y30" i="31"/>
  <c r="U30" i="31"/>
  <c r="R30" i="31"/>
  <c r="K30" i="31"/>
  <c r="H30" i="31"/>
  <c r="E30" i="31"/>
  <c r="U29" i="31"/>
  <c r="S29" i="31"/>
  <c r="AW27" i="31"/>
  <c r="AE27" i="31" s="1"/>
  <c r="AG27" i="31" s="1"/>
  <c r="AQ27" i="31" s="1"/>
  <c r="AT27" i="31"/>
  <c r="AP27" i="31"/>
  <c r="AO27" i="31"/>
  <c r="AN27" i="31"/>
  <c r="AM27" i="31"/>
  <c r="AI27" i="31"/>
  <c r="AH27" i="31"/>
  <c r="AF27" i="31"/>
  <c r="AC27" i="31"/>
  <c r="Y27" i="31"/>
  <c r="R27" i="31"/>
  <c r="K27" i="31"/>
  <c r="H27" i="31"/>
  <c r="E27" i="31"/>
  <c r="AW26" i="31"/>
  <c r="AT26" i="31"/>
  <c r="AP26" i="31"/>
  <c r="AO26" i="31"/>
  <c r="AN26" i="31"/>
  <c r="AM26" i="31"/>
  <c r="AI26" i="31"/>
  <c r="AH26" i="31"/>
  <c r="AF26" i="31"/>
  <c r="AC26" i="31"/>
  <c r="Y26" i="31"/>
  <c r="R26" i="31"/>
  <c r="K26" i="31"/>
  <c r="H26" i="31"/>
  <c r="E26" i="31"/>
  <c r="U25" i="31"/>
  <c r="S25" i="31"/>
  <c r="D24" i="31"/>
  <c r="AW23" i="31"/>
  <c r="AY23" i="31" s="1"/>
  <c r="AP23" i="31"/>
  <c r="AO23" i="31"/>
  <c r="AN23" i="31"/>
  <c r="AM23" i="31"/>
  <c r="AI23" i="31"/>
  <c r="AF23" i="31"/>
  <c r="AE23" i="31"/>
  <c r="AG23" i="31" s="1"/>
  <c r="Y23" i="31"/>
  <c r="U23" i="31"/>
  <c r="R23" i="31"/>
  <c r="K23" i="31"/>
  <c r="H23" i="31"/>
  <c r="E23" i="31"/>
  <c r="AW22" i="31"/>
  <c r="AE22" i="31" s="1"/>
  <c r="AG22" i="31" s="1"/>
  <c r="AQ22" i="31" s="1"/>
  <c r="AP22" i="31"/>
  <c r="AO22" i="31"/>
  <c r="AN22" i="31"/>
  <c r="AM22" i="31"/>
  <c r="AI22" i="31"/>
  <c r="AF22" i="31"/>
  <c r="Y22" i="31"/>
  <c r="U22" i="31"/>
  <c r="R22" i="31"/>
  <c r="K22" i="31"/>
  <c r="H22" i="31"/>
  <c r="E22" i="31"/>
  <c r="P22" i="31" s="1"/>
  <c r="BD21" i="31"/>
  <c r="BD11" i="31"/>
  <c r="AW21" i="31"/>
  <c r="AE21" i="31" s="1"/>
  <c r="AG21" i="31" s="1"/>
  <c r="AP21" i="31"/>
  <c r="AO21" i="31"/>
  <c r="AN21" i="31"/>
  <c r="AM21" i="31"/>
  <c r="AI21" i="31"/>
  <c r="AF21" i="31"/>
  <c r="Y21" i="31"/>
  <c r="U21" i="31"/>
  <c r="R21" i="31"/>
  <c r="AC21" i="31" s="1"/>
  <c r="K21" i="31"/>
  <c r="H21" i="31"/>
  <c r="E21" i="31"/>
  <c r="AW20" i="31"/>
  <c r="AE20" i="31" s="1"/>
  <c r="AG20" i="31" s="1"/>
  <c r="AQ20" i="31" s="1"/>
  <c r="AP20" i="31"/>
  <c r="AO20" i="31"/>
  <c r="AN20" i="31"/>
  <c r="AM20" i="31"/>
  <c r="AI20" i="31"/>
  <c r="AF20" i="31"/>
  <c r="Y20" i="31"/>
  <c r="U20" i="31"/>
  <c r="R20" i="31"/>
  <c r="K20" i="31"/>
  <c r="H20" i="31"/>
  <c r="E20" i="31"/>
  <c r="AW19" i="31"/>
  <c r="AZ19" i="31" s="1"/>
  <c r="AS19" i="31" s="1"/>
  <c r="AP19" i="31"/>
  <c r="AO19" i="31"/>
  <c r="AN19" i="31"/>
  <c r="AM19" i="31"/>
  <c r="AI19" i="31"/>
  <c r="AF19" i="31"/>
  <c r="AE19" i="31"/>
  <c r="AG19" i="31" s="1"/>
  <c r="AQ19" i="31" s="1"/>
  <c r="Y19" i="31"/>
  <c r="U19" i="31"/>
  <c r="R19" i="31"/>
  <c r="K19" i="31"/>
  <c r="H19" i="31"/>
  <c r="E19" i="31"/>
  <c r="AW18" i="31"/>
  <c r="AZ18" i="31" s="1"/>
  <c r="AP18" i="31"/>
  <c r="AO18" i="31"/>
  <c r="AN18" i="31"/>
  <c r="AM18" i="31"/>
  <c r="AI18" i="31"/>
  <c r="AF18" i="31"/>
  <c r="AE18" i="31"/>
  <c r="AG18" i="31" s="1"/>
  <c r="AQ18" i="31" s="1"/>
  <c r="AC18" i="31"/>
  <c r="Y18" i="31"/>
  <c r="U18" i="31"/>
  <c r="R18" i="31"/>
  <c r="K18" i="31"/>
  <c r="H18" i="31"/>
  <c r="E18" i="31"/>
  <c r="BD17" i="31"/>
  <c r="V48" i="31" s="1"/>
  <c r="AT17" i="31"/>
  <c r="AT25" i="31"/>
  <c r="AT29" i="31"/>
  <c r="AT41" i="31" s="1"/>
  <c r="AT50" i="31" s="1"/>
  <c r="AH17" i="31"/>
  <c r="AH25" i="31" s="1"/>
  <c r="AH29" i="31" s="1"/>
  <c r="AH50" i="31" s="1"/>
  <c r="AH41" i="31" s="1"/>
  <c r="U17" i="31"/>
  <c r="AP15" i="31"/>
  <c r="AO15" i="31"/>
  <c r="AN15" i="31"/>
  <c r="AM15" i="31"/>
  <c r="AH15" i="31"/>
  <c r="AF15" i="31"/>
  <c r="Y15" i="31"/>
  <c r="R15" i="31"/>
  <c r="G15" i="31"/>
  <c r="AI15" i="31" s="1"/>
  <c r="BK14" i="31"/>
  <c r="BJ18" i="31" s="1"/>
  <c r="AP14" i="31"/>
  <c r="AO14" i="31"/>
  <c r="AN14" i="31"/>
  <c r="AM14" i="31"/>
  <c r="AH14" i="31"/>
  <c r="AF14" i="31"/>
  <c r="AE14" i="31"/>
  <c r="AG14" i="31" s="1"/>
  <c r="AQ14" i="31" s="1"/>
  <c r="AC14" i="31"/>
  <c r="Y14" i="31"/>
  <c r="R14" i="31"/>
  <c r="G14" i="31"/>
  <c r="H14" i="31"/>
  <c r="BD13" i="31"/>
  <c r="AL20" i="31"/>
  <c r="AP13" i="31"/>
  <c r="AO13" i="31"/>
  <c r="AN13" i="31"/>
  <c r="AM13" i="31"/>
  <c r="AH13" i="31"/>
  <c r="AF13" i="31"/>
  <c r="Y13" i="31"/>
  <c r="R13" i="31"/>
  <c r="G13" i="31"/>
  <c r="E13" i="31" s="1"/>
  <c r="BD12" i="31"/>
  <c r="AK9" i="31"/>
  <c r="AP12" i="31"/>
  <c r="AO12" i="31"/>
  <c r="AN12" i="31"/>
  <c r="AM12" i="31"/>
  <c r="AH12" i="31"/>
  <c r="AF12" i="31"/>
  <c r="AC12" i="31"/>
  <c r="Y12" i="31"/>
  <c r="R12" i="31"/>
  <c r="G12" i="31"/>
  <c r="H12" i="31"/>
  <c r="AP11" i="31"/>
  <c r="AO11" i="31"/>
  <c r="AN11" i="31"/>
  <c r="AM11" i="31"/>
  <c r="AH11" i="31"/>
  <c r="AF11" i="31"/>
  <c r="AE11" i="31"/>
  <c r="AG11" i="31" s="1"/>
  <c r="AQ11" i="31" s="1"/>
  <c r="Y11" i="31"/>
  <c r="R11" i="31"/>
  <c r="AC11" i="31" s="1"/>
  <c r="G11" i="31"/>
  <c r="E11" i="31" s="1"/>
  <c r="AW10" i="31"/>
  <c r="AP10" i="31"/>
  <c r="AO10" i="31"/>
  <c r="AN10" i="31"/>
  <c r="AM10" i="31"/>
  <c r="AI10" i="31"/>
  <c r="AH10" i="31"/>
  <c r="AF10" i="31"/>
  <c r="AE10" i="31"/>
  <c r="AG10" i="31" s="1"/>
  <c r="AQ10" i="31" s="1"/>
  <c r="Y10" i="31"/>
  <c r="R10" i="31"/>
  <c r="K10" i="31"/>
  <c r="H10" i="31"/>
  <c r="E10" i="31"/>
  <c r="AW9" i="31"/>
  <c r="AY9" i="31" s="1"/>
  <c r="AP9" i="31"/>
  <c r="AO9" i="31"/>
  <c r="AN9" i="31"/>
  <c r="AM9" i="31"/>
  <c r="AI9" i="31"/>
  <c r="AH9" i="31"/>
  <c r="AF9" i="31"/>
  <c r="AE9" i="31"/>
  <c r="AG9" i="31" s="1"/>
  <c r="AQ9" i="31" s="1"/>
  <c r="Y9" i="31"/>
  <c r="R9" i="31"/>
  <c r="K9" i="31"/>
  <c r="H9" i="31"/>
  <c r="E9" i="31"/>
  <c r="A9" i="31"/>
  <c r="B8" i="31"/>
  <c r="AU6" i="31"/>
  <c r="AT6" i="31"/>
  <c r="AS6" i="31"/>
  <c r="AW5" i="31"/>
  <c r="AU5" i="31"/>
  <c r="AT5" i="31"/>
  <c r="AS5" i="31"/>
  <c r="W5" i="31"/>
  <c r="R5" i="31"/>
  <c r="N5" i="31"/>
  <c r="AU4" i="31"/>
  <c r="AT4" i="31"/>
  <c r="AS4" i="31"/>
  <c r="AD4" i="31"/>
  <c r="AS3" i="31"/>
  <c r="AT3" i="31" s="1"/>
  <c r="AU3" i="31" s="1"/>
  <c r="BC2" i="31"/>
  <c r="BD2" i="31"/>
  <c r="AF1" i="31"/>
  <c r="U1" i="31"/>
  <c r="W55" i="22"/>
  <c r="W54" i="22"/>
  <c r="W53" i="22"/>
  <c r="AS45" i="22"/>
  <c r="AR45" i="22"/>
  <c r="AQ45" i="22"/>
  <c r="AP45" i="22"/>
  <c r="AO45" i="22"/>
  <c r="AN45" i="22"/>
  <c r="AK45" i="22"/>
  <c r="AI45" i="22"/>
  <c r="AH45" i="22"/>
  <c r="AJ45" i="22" s="1"/>
  <c r="AT45" i="22" s="1"/>
  <c r="AD45" i="22"/>
  <c r="AB45" i="22"/>
  <c r="W45" i="22"/>
  <c r="S45" i="22"/>
  <c r="H45" i="22"/>
  <c r="AL45" i="22"/>
  <c r="B45" i="22"/>
  <c r="AD44" i="22"/>
  <c r="X44" i="22"/>
  <c r="O44" i="22"/>
  <c r="E43" i="22"/>
  <c r="AS42" i="22"/>
  <c r="AR42" i="22"/>
  <c r="AQ42" i="22"/>
  <c r="AP42" i="22"/>
  <c r="AO42" i="22"/>
  <c r="AN42" i="22"/>
  <c r="AK42" i="22"/>
  <c r="AI42" i="22"/>
  <c r="AB42" i="22"/>
  <c r="X42" i="22"/>
  <c r="W42" i="22"/>
  <c r="T42" i="22"/>
  <c r="S42" i="22"/>
  <c r="H42" i="22"/>
  <c r="F42" i="22"/>
  <c r="B42" i="22"/>
  <c r="C42" i="22" s="1"/>
  <c r="AS41" i="22"/>
  <c r="AR41" i="22"/>
  <c r="AQ41" i="22"/>
  <c r="AP41" i="22"/>
  <c r="AO41" i="22"/>
  <c r="AN41" i="22"/>
  <c r="AK41" i="22"/>
  <c r="AI41" i="22"/>
  <c r="AH41" i="22"/>
  <c r="AJ41" i="22" s="1"/>
  <c r="AT41" i="22" s="1"/>
  <c r="AB41" i="22"/>
  <c r="X41" i="22"/>
  <c r="W41" i="22"/>
  <c r="T41" i="22"/>
  <c r="S41" i="22"/>
  <c r="H41" i="22"/>
  <c r="B41" i="22"/>
  <c r="C41" i="22"/>
  <c r="AS40" i="22"/>
  <c r="AR40" i="22"/>
  <c r="AQ40" i="22"/>
  <c r="AP40" i="22"/>
  <c r="AO40" i="22"/>
  <c r="AN40" i="22"/>
  <c r="AK40" i="22"/>
  <c r="AI40" i="22"/>
  <c r="AB40" i="22"/>
  <c r="X40" i="22"/>
  <c r="W40" i="22"/>
  <c r="T40" i="22"/>
  <c r="S40" i="22"/>
  <c r="AF40" i="22" s="1"/>
  <c r="H40" i="22"/>
  <c r="G40" i="22" s="1"/>
  <c r="B40" i="22"/>
  <c r="AS39" i="22"/>
  <c r="AR39" i="22"/>
  <c r="AQ39" i="22"/>
  <c r="AP39" i="22"/>
  <c r="AO39" i="22"/>
  <c r="AN39" i="22"/>
  <c r="AK39" i="22"/>
  <c r="AI39" i="22"/>
  <c r="AH39" i="22"/>
  <c r="AJ39" i="22" s="1"/>
  <c r="AT39" i="22" s="1"/>
  <c r="AE39" i="22"/>
  <c r="AE40" i="22"/>
  <c r="AB39" i="22"/>
  <c r="X39" i="22"/>
  <c r="W39" i="22"/>
  <c r="T39" i="22"/>
  <c r="S39" i="22"/>
  <c r="H39" i="22"/>
  <c r="I39" i="22"/>
  <c r="B39" i="22"/>
  <c r="C39" i="22" s="1"/>
  <c r="AS38" i="22"/>
  <c r="AR38" i="22"/>
  <c r="AQ38" i="22"/>
  <c r="AP38" i="22"/>
  <c r="AO38" i="22"/>
  <c r="AN38" i="22"/>
  <c r="AK38" i="22"/>
  <c r="AI38" i="22"/>
  <c r="AH38" i="22"/>
  <c r="AJ38" i="22" s="1"/>
  <c r="AT38" i="22" s="1"/>
  <c r="AE38" i="22"/>
  <c r="AB38" i="22"/>
  <c r="X38" i="22"/>
  <c r="W38" i="22"/>
  <c r="T38" i="22"/>
  <c r="S38" i="22"/>
  <c r="H38" i="22"/>
  <c r="I38" i="22"/>
  <c r="B38" i="22"/>
  <c r="C38" i="22"/>
  <c r="BC37" i="22"/>
  <c r="AS37" i="22"/>
  <c r="AR37" i="22"/>
  <c r="AQ37" i="22"/>
  <c r="AP37" i="22"/>
  <c r="AO37" i="22"/>
  <c r="AN37" i="22"/>
  <c r="AK37" i="22"/>
  <c r="AI37" i="22"/>
  <c r="AH37" i="22"/>
  <c r="AJ37" i="22" s="1"/>
  <c r="AT37" i="22" s="1"/>
  <c r="AB37" i="22"/>
  <c r="X37" i="22"/>
  <c r="W37" i="22"/>
  <c r="T37" i="22"/>
  <c r="S37" i="22"/>
  <c r="AF37" i="22" s="1"/>
  <c r="H37" i="22"/>
  <c r="AL37" i="22"/>
  <c r="AD36" i="22"/>
  <c r="X36" i="22"/>
  <c r="O36" i="22"/>
  <c r="AS34" i="22"/>
  <c r="AR34" i="22"/>
  <c r="AQ34" i="22"/>
  <c r="AP34" i="22"/>
  <c r="AO34" i="22"/>
  <c r="AN34" i="22"/>
  <c r="AK34" i="22"/>
  <c r="AI34" i="22"/>
  <c r="AB34" i="22"/>
  <c r="X34" i="22"/>
  <c r="W34" i="22"/>
  <c r="T34" i="22"/>
  <c r="S34" i="22"/>
  <c r="H34" i="22"/>
  <c r="AY34" i="22"/>
  <c r="AH34" i="22" s="1"/>
  <c r="B34" i="22"/>
  <c r="AS33" i="22"/>
  <c r="AR33" i="22"/>
  <c r="AQ33" i="22"/>
  <c r="AP33" i="22"/>
  <c r="AO33" i="22"/>
  <c r="AN33" i="22"/>
  <c r="AK33" i="22"/>
  <c r="AI33" i="22"/>
  <c r="AE33" i="22"/>
  <c r="AF33" i="22"/>
  <c r="AB33" i="22"/>
  <c r="X33" i="22"/>
  <c r="W33" i="22"/>
  <c r="T33" i="22"/>
  <c r="S33" i="22"/>
  <c r="H33" i="22"/>
  <c r="I33" i="22"/>
  <c r="B33" i="22"/>
  <c r="C33" i="22"/>
  <c r="AS32" i="22"/>
  <c r="AR32" i="22"/>
  <c r="AQ32" i="22"/>
  <c r="AP32" i="22"/>
  <c r="AO32" i="22"/>
  <c r="AN32" i="22"/>
  <c r="AK32" i="22"/>
  <c r="AI32" i="22"/>
  <c r="AE32" i="22"/>
  <c r="AE34" i="22" s="1"/>
  <c r="AF34" i="22" s="1"/>
  <c r="AB32" i="22"/>
  <c r="X32" i="22"/>
  <c r="W32" i="22"/>
  <c r="T32" i="22"/>
  <c r="S32" i="22"/>
  <c r="H32" i="22"/>
  <c r="I32" i="22"/>
  <c r="B32" i="22"/>
  <c r="C32" i="22"/>
  <c r="AS31" i="22"/>
  <c r="AR31" i="22"/>
  <c r="AQ31" i="22"/>
  <c r="AP31" i="22"/>
  <c r="AO31" i="22"/>
  <c r="AN31" i="22"/>
  <c r="AK31" i="22"/>
  <c r="AI31" i="22"/>
  <c r="AF31" i="22"/>
  <c r="AB31" i="22"/>
  <c r="X31" i="22"/>
  <c r="W31" i="22"/>
  <c r="T31" i="22"/>
  <c r="S31" i="22"/>
  <c r="H31" i="22"/>
  <c r="B31" i="22"/>
  <c r="C31" i="22"/>
  <c r="AS30" i="22"/>
  <c r="AR30" i="22"/>
  <c r="AQ30" i="22"/>
  <c r="AP30" i="22"/>
  <c r="AO30" i="22"/>
  <c r="AN30" i="22"/>
  <c r="AK30" i="22"/>
  <c r="AI30" i="22"/>
  <c r="AF30" i="22"/>
  <c r="AB30" i="22"/>
  <c r="X30" i="22"/>
  <c r="W30" i="22"/>
  <c r="T30" i="22"/>
  <c r="S30" i="22"/>
  <c r="H30" i="22"/>
  <c r="AY30" i="22" s="1"/>
  <c r="AH30" i="22" s="1"/>
  <c r="AJ30" i="22" s="1"/>
  <c r="AT30" i="22" s="1"/>
  <c r="B30" i="22"/>
  <c r="C30" i="22" s="1"/>
  <c r="AS29" i="22"/>
  <c r="AR29" i="22"/>
  <c r="AQ29" i="22"/>
  <c r="AP29" i="22"/>
  <c r="AO29" i="22"/>
  <c r="AN29" i="22"/>
  <c r="AK29" i="22"/>
  <c r="AI29" i="22"/>
  <c r="AF29" i="22"/>
  <c r="AB29" i="22"/>
  <c r="X29" i="22"/>
  <c r="W29" i="22"/>
  <c r="T29" i="22"/>
  <c r="S29" i="22"/>
  <c r="H29" i="22"/>
  <c r="I29" i="22"/>
  <c r="B29" i="22"/>
  <c r="C29" i="22"/>
  <c r="AS28" i="22"/>
  <c r="AR28" i="22"/>
  <c r="AQ28" i="22"/>
  <c r="AP28" i="22"/>
  <c r="AO28" i="22"/>
  <c r="AN28" i="22"/>
  <c r="AK28" i="22"/>
  <c r="AI28" i="22"/>
  <c r="AE28" i="22"/>
  <c r="AF28" i="22" s="1"/>
  <c r="AB28" i="22"/>
  <c r="X28" i="22"/>
  <c r="W28" i="22"/>
  <c r="T28" i="22"/>
  <c r="S28" i="22"/>
  <c r="H28" i="22"/>
  <c r="B28" i="22"/>
  <c r="C28" i="22"/>
  <c r="AS27" i="22"/>
  <c r="AR27" i="22"/>
  <c r="AQ27" i="22"/>
  <c r="AP27" i="22"/>
  <c r="AO27" i="22"/>
  <c r="AN27" i="22"/>
  <c r="AK27" i="22"/>
  <c r="AI27" i="22"/>
  <c r="AE27" i="22"/>
  <c r="AF27" i="22"/>
  <c r="AB27" i="22"/>
  <c r="X27" i="22"/>
  <c r="W27" i="22"/>
  <c r="T27" i="22"/>
  <c r="S27" i="22"/>
  <c r="H27" i="22"/>
  <c r="B27" i="22"/>
  <c r="C27" i="22" s="1"/>
  <c r="BC26" i="22"/>
  <c r="AY26" i="22"/>
  <c r="BA26" i="22" s="1"/>
  <c r="AS26" i="22"/>
  <c r="AR26" i="22"/>
  <c r="AQ26" i="22"/>
  <c r="AP26" i="22"/>
  <c r="AO26" i="22"/>
  <c r="AN26" i="22"/>
  <c r="AL26" i="22"/>
  <c r="AK26" i="22"/>
  <c r="AI26" i="22"/>
  <c r="AE26" i="22"/>
  <c r="AD26" i="22"/>
  <c r="AB26" i="22"/>
  <c r="X26" i="22"/>
  <c r="W26" i="22"/>
  <c r="T26" i="22"/>
  <c r="S26" i="22"/>
  <c r="L26" i="22"/>
  <c r="I26" i="22"/>
  <c r="G26" i="22"/>
  <c r="F26" i="22"/>
  <c r="B26" i="22"/>
  <c r="AY25" i="22"/>
  <c r="BA25" i="22" s="1"/>
  <c r="AS25" i="22"/>
  <c r="AR25" i="22"/>
  <c r="AQ25" i="22"/>
  <c r="AP25" i="22"/>
  <c r="AO25" i="22"/>
  <c r="AN25" i="22"/>
  <c r="AL25" i="22"/>
  <c r="AK25" i="22"/>
  <c r="AI25" i="22"/>
  <c r="AE25" i="22"/>
  <c r="AF25" i="22" s="1"/>
  <c r="AB25" i="22"/>
  <c r="X25" i="22"/>
  <c r="W25" i="22"/>
  <c r="T25" i="22"/>
  <c r="S25" i="22"/>
  <c r="L25" i="22"/>
  <c r="I25" i="22"/>
  <c r="G25" i="22"/>
  <c r="F25" i="22"/>
  <c r="B25" i="22"/>
  <c r="C25" i="22" s="1"/>
  <c r="X24" i="22"/>
  <c r="T24" i="22"/>
  <c r="AY22" i="22"/>
  <c r="BB22" i="22" s="1"/>
  <c r="AV22" i="22" s="1"/>
  <c r="AS22" i="22"/>
  <c r="AR22" i="22"/>
  <c r="AQ22" i="22"/>
  <c r="AP22" i="22"/>
  <c r="AO22" i="22"/>
  <c r="AN22" i="22"/>
  <c r="AL22" i="22"/>
  <c r="AI22" i="22"/>
  <c r="AH22" i="22"/>
  <c r="AJ22" i="22" s="1"/>
  <c r="AT22" i="22" s="1"/>
  <c r="AF22" i="22"/>
  <c r="AB22" i="22"/>
  <c r="W22" i="22"/>
  <c r="S22" i="22"/>
  <c r="L22" i="22"/>
  <c r="I22" i="22"/>
  <c r="G22" i="22"/>
  <c r="F22" i="22"/>
  <c r="B22" i="22"/>
  <c r="AY21" i="22"/>
  <c r="AS21" i="22"/>
  <c r="AR21" i="22"/>
  <c r="AQ21" i="22"/>
  <c r="AP21" i="22"/>
  <c r="AO21" i="22"/>
  <c r="AN21" i="22"/>
  <c r="AL21" i="22"/>
  <c r="AI21" i="22"/>
  <c r="AH21" i="22"/>
  <c r="AJ21" i="22" s="1"/>
  <c r="AT21" i="22" s="1"/>
  <c r="AF21" i="22"/>
  <c r="AB21" i="22"/>
  <c r="W21" i="22"/>
  <c r="S21" i="22"/>
  <c r="L21" i="22"/>
  <c r="I21" i="22"/>
  <c r="G21" i="22"/>
  <c r="F21" i="22"/>
  <c r="B21" i="22"/>
  <c r="C21" i="22" s="1"/>
  <c r="BE20" i="22"/>
  <c r="BF20" i="22" s="1"/>
  <c r="BF9" i="22" s="1"/>
  <c r="X20" i="22"/>
  <c r="T20" i="22"/>
  <c r="BF19" i="22"/>
  <c r="E19" i="22"/>
  <c r="AY18" i="22"/>
  <c r="BA18" i="22" s="1"/>
  <c r="AS18" i="22"/>
  <c r="AR18" i="22"/>
  <c r="AQ18" i="22"/>
  <c r="AP18" i="22"/>
  <c r="AO18" i="22"/>
  <c r="AN18" i="22"/>
  <c r="AL18" i="22"/>
  <c r="AK18" i="22"/>
  <c r="AI18" i="22"/>
  <c r="AH18" i="22"/>
  <c r="AB18" i="22"/>
  <c r="X18" i="22"/>
  <c r="W18" i="22"/>
  <c r="T18" i="22"/>
  <c r="S18" i="22"/>
  <c r="L18" i="22"/>
  <c r="I18" i="22"/>
  <c r="G18" i="22"/>
  <c r="F18" i="22"/>
  <c r="Q18" i="22" s="1"/>
  <c r="B18" i="22"/>
  <c r="C18" i="22"/>
  <c r="AY17" i="22"/>
  <c r="BB17" i="22" s="1"/>
  <c r="AV17" i="22" s="1"/>
  <c r="AS17" i="22"/>
  <c r="AR17" i="22"/>
  <c r="AQ17" i="22"/>
  <c r="AP17" i="22"/>
  <c r="AO17" i="22"/>
  <c r="AN17" i="22"/>
  <c r="AL17" i="22"/>
  <c r="AK17" i="22"/>
  <c r="AI17" i="22"/>
  <c r="AH17" i="22"/>
  <c r="AJ17" i="22" s="1"/>
  <c r="AT17" i="22" s="1"/>
  <c r="AF17" i="22"/>
  <c r="AB17" i="22"/>
  <c r="X17" i="22"/>
  <c r="W17" i="22"/>
  <c r="T17" i="22"/>
  <c r="S17" i="22"/>
  <c r="L17" i="22"/>
  <c r="I17" i="22"/>
  <c r="G17" i="22"/>
  <c r="F17" i="22"/>
  <c r="Q17" i="22" s="1"/>
  <c r="B17" i="22"/>
  <c r="C17" i="22"/>
  <c r="AY16" i="22"/>
  <c r="BB16" i="22" s="1"/>
  <c r="AV16" i="22" s="1"/>
  <c r="AS16" i="22"/>
  <c r="AR16" i="22"/>
  <c r="AQ16" i="22"/>
  <c r="AP16" i="22"/>
  <c r="AO16" i="22"/>
  <c r="AN16" i="22"/>
  <c r="AL16" i="22"/>
  <c r="AK16" i="22"/>
  <c r="AI16" i="22"/>
  <c r="AH16" i="22"/>
  <c r="AF16" i="22"/>
  <c r="AB16" i="22"/>
  <c r="X16" i="22"/>
  <c r="W16" i="22"/>
  <c r="T16" i="22"/>
  <c r="S16" i="22"/>
  <c r="L16" i="22"/>
  <c r="I16" i="22"/>
  <c r="G16" i="22"/>
  <c r="F16" i="22"/>
  <c r="B16" i="22"/>
  <c r="BF15" i="22"/>
  <c r="J39" i="22"/>
  <c r="AK15" i="22"/>
  <c r="AK20" i="22"/>
  <c r="AK24" i="22" s="1"/>
  <c r="AK44" i="22" s="1"/>
  <c r="AK36" i="22" s="1"/>
  <c r="X15" i="22"/>
  <c r="AS13" i="22"/>
  <c r="AR13" i="22"/>
  <c r="AQ13" i="22"/>
  <c r="AP13" i="22"/>
  <c r="AO13" i="22"/>
  <c r="AN13" i="22"/>
  <c r="AK13" i="22"/>
  <c r="AI13" i="22"/>
  <c r="AB13" i="22"/>
  <c r="W13" i="22"/>
  <c r="S13" i="22"/>
  <c r="H13" i="22"/>
  <c r="L13" i="22" s="1"/>
  <c r="B13" i="22"/>
  <c r="C13" i="22"/>
  <c r="BM12" i="22"/>
  <c r="AS12" i="22"/>
  <c r="AR12" i="22"/>
  <c r="AQ12" i="22"/>
  <c r="AP12" i="22"/>
  <c r="AO12" i="22"/>
  <c r="AN12" i="22"/>
  <c r="AK12" i="22"/>
  <c r="AI12" i="22"/>
  <c r="AH12" i="22"/>
  <c r="AJ12" i="22" s="1"/>
  <c r="AT12" i="22" s="1"/>
  <c r="AF12" i="22"/>
  <c r="AB12" i="22"/>
  <c r="W12" i="22"/>
  <c r="S12" i="22"/>
  <c r="H12" i="22"/>
  <c r="I12" i="22" s="1"/>
  <c r="B12" i="22"/>
  <c r="C12" i="22" s="1"/>
  <c r="AS11" i="22"/>
  <c r="AR11" i="22"/>
  <c r="AQ11" i="22"/>
  <c r="AP11" i="22"/>
  <c r="AO11" i="22"/>
  <c r="AN11" i="22"/>
  <c r="AK11" i="22"/>
  <c r="AI11" i="22"/>
  <c r="AB11" i="22"/>
  <c r="W11" i="22"/>
  <c r="S11" i="22"/>
  <c r="H11" i="22"/>
  <c r="F11" i="22"/>
  <c r="Q11" i="22" s="1"/>
  <c r="B11" i="22"/>
  <c r="C11" i="22"/>
  <c r="AS10" i="22"/>
  <c r="AR10" i="22"/>
  <c r="AQ10" i="22"/>
  <c r="AP10" i="22"/>
  <c r="AO10" i="22"/>
  <c r="AN10" i="22"/>
  <c r="AK10" i="22"/>
  <c r="AI10" i="22"/>
  <c r="AF10" i="22"/>
  <c r="AB10" i="22"/>
  <c r="W10" i="22"/>
  <c r="S10" i="22"/>
  <c r="H10" i="22"/>
  <c r="G10" i="22"/>
  <c r="B10" i="22"/>
  <c r="C10" i="22" s="1"/>
  <c r="AS9" i="22"/>
  <c r="AR9" i="22"/>
  <c r="AQ9" i="22"/>
  <c r="AP9" i="22"/>
  <c r="AO9" i="22"/>
  <c r="AN9" i="22"/>
  <c r="AK9" i="22"/>
  <c r="AI9" i="22"/>
  <c r="AH9" i="22"/>
  <c r="AJ9" i="22" s="1"/>
  <c r="AT9" i="22" s="1"/>
  <c r="AB9" i="22"/>
  <c r="W9" i="22"/>
  <c r="S9" i="22"/>
  <c r="H9" i="22"/>
  <c r="AY9" i="22" s="1"/>
  <c r="BA9" i="22" s="1"/>
  <c r="B9" i="22"/>
  <c r="AY8" i="22"/>
  <c r="BB8" i="22" s="1"/>
  <c r="AV8" i="22" s="1"/>
  <c r="AS8" i="22"/>
  <c r="AR8" i="22"/>
  <c r="AQ8" i="22"/>
  <c r="AP8" i="22"/>
  <c r="AO8" i="22"/>
  <c r="AN8" i="22"/>
  <c r="AL8" i="22"/>
  <c r="AK8" i="22"/>
  <c r="AI8" i="22"/>
  <c r="AH8" i="22"/>
  <c r="AJ8" i="22" s="1"/>
  <c r="AT8" i="22" s="1"/>
  <c r="AB8" i="22"/>
  <c r="W8" i="22"/>
  <c r="S8" i="22"/>
  <c r="L8" i="22"/>
  <c r="I8" i="22"/>
  <c r="G8" i="22"/>
  <c r="F8" i="22"/>
  <c r="B8" i="22"/>
  <c r="C8" i="22"/>
  <c r="AY7" i="22"/>
  <c r="BA7" i="22" s="1"/>
  <c r="AS7" i="22"/>
  <c r="AR7" i="22"/>
  <c r="AQ7" i="22"/>
  <c r="AP7" i="22"/>
  <c r="AO7" i="22"/>
  <c r="AN7" i="22"/>
  <c r="AL7" i="22"/>
  <c r="AK7" i="22"/>
  <c r="AI7" i="22"/>
  <c r="AH7" i="22"/>
  <c r="AJ7" i="22" s="1"/>
  <c r="AT7" i="22" s="1"/>
  <c r="AB7" i="22"/>
  <c r="W7" i="22"/>
  <c r="S7" i="22"/>
  <c r="L7" i="22"/>
  <c r="I7" i="22"/>
  <c r="G7" i="22"/>
  <c r="F7" i="22"/>
  <c r="C7" i="22"/>
  <c r="AH4" i="22"/>
  <c r="AI1" i="22"/>
  <c r="X1" i="22"/>
  <c r="AB151" i="37"/>
  <c r="AD149" i="37"/>
  <c r="AD148" i="37"/>
  <c r="AD147" i="37"/>
  <c r="AD146" i="37"/>
  <c r="AD145" i="37"/>
  <c r="AH133" i="37"/>
  <c r="F127" i="37"/>
  <c r="BC114" i="37"/>
  <c r="P104" i="37"/>
  <c r="AE95" i="37"/>
  <c r="AB94" i="37"/>
  <c r="AB93" i="37"/>
  <c r="AB91" i="37"/>
  <c r="D91" i="37"/>
  <c r="E91" i="37" s="1"/>
  <c r="AD90" i="37"/>
  <c r="AB90" i="37"/>
  <c r="AA90" i="37"/>
  <c r="Z89" i="37"/>
  <c r="A86" i="37"/>
  <c r="BC85" i="37"/>
  <c r="BD85" i="37" s="1"/>
  <c r="AV85" i="37" s="1"/>
  <c r="BA85" i="37"/>
  <c r="D90" i="37"/>
  <c r="AP85" i="37"/>
  <c r="AO85" i="37"/>
  <c r="AM85" i="37"/>
  <c r="AK85" i="37"/>
  <c r="AH85" i="37"/>
  <c r="AE85" i="37"/>
  <c r="AA85" i="37"/>
  <c r="W85" i="37"/>
  <c r="U85" i="37"/>
  <c r="B85" i="37"/>
  <c r="E85" i="37"/>
  <c r="AQ83" i="37"/>
  <c r="AO83" i="37"/>
  <c r="AM83" i="37"/>
  <c r="AL83" i="37"/>
  <c r="AK83" i="37"/>
  <c r="AJ83" i="37"/>
  <c r="AF83" i="37"/>
  <c r="AH83" i="37" s="1"/>
  <c r="AD83" i="37"/>
  <c r="AA83" i="37"/>
  <c r="W83" i="37"/>
  <c r="T83" i="37"/>
  <c r="AQ82" i="37"/>
  <c r="AO82" i="37"/>
  <c r="AM82" i="37"/>
  <c r="AK82" i="37"/>
  <c r="AD82" i="37"/>
  <c r="AB82" i="37"/>
  <c r="AJ82" i="37"/>
  <c r="AA82" i="37"/>
  <c r="W82" i="37"/>
  <c r="T82" i="37"/>
  <c r="AE82" i="37" s="1"/>
  <c r="AQ81" i="37"/>
  <c r="AO81" i="37"/>
  <c r="AM81" i="37"/>
  <c r="AK81" i="37"/>
  <c r="AF81" i="37"/>
  <c r="AD81" i="37"/>
  <c r="W81" i="37"/>
  <c r="T81" i="37"/>
  <c r="AQ80" i="37"/>
  <c r="AP80" i="37"/>
  <c r="AO80" i="37"/>
  <c r="AM80" i="37"/>
  <c r="AK80" i="37"/>
  <c r="AF80" i="37"/>
  <c r="AD80" i="37"/>
  <c r="AA80" i="37"/>
  <c r="W80" i="37"/>
  <c r="T80" i="37"/>
  <c r="AQ79" i="37"/>
  <c r="AP79" i="37"/>
  <c r="AO79" i="37"/>
  <c r="AM79" i="37"/>
  <c r="AK79" i="37"/>
  <c r="AF79" i="37"/>
  <c r="AD79" i="37"/>
  <c r="AA79" i="37"/>
  <c r="W79" i="37"/>
  <c r="T79" i="37"/>
  <c r="AQ78" i="37"/>
  <c r="AP78" i="37"/>
  <c r="AO78" i="37"/>
  <c r="AM78" i="37"/>
  <c r="AK78" i="37"/>
  <c r="AF78" i="37"/>
  <c r="AD78" i="37"/>
  <c r="AA78" i="37"/>
  <c r="W78" i="37"/>
  <c r="T78" i="37"/>
  <c r="AQ77" i="37"/>
  <c r="AP77" i="37"/>
  <c r="AO77" i="37"/>
  <c r="AM77" i="37"/>
  <c r="AK77" i="37"/>
  <c r="AF77" i="37"/>
  <c r="AD77" i="37"/>
  <c r="AA77" i="37"/>
  <c r="W77" i="37"/>
  <c r="T77" i="37"/>
  <c r="AE77" i="37" s="1"/>
  <c r="AQ76" i="37"/>
  <c r="AP76" i="37"/>
  <c r="AP83" i="37" s="1"/>
  <c r="AO76" i="37"/>
  <c r="AM76" i="37"/>
  <c r="AK76" i="37"/>
  <c r="AF76" i="37"/>
  <c r="AD76" i="37"/>
  <c r="AB76" i="37"/>
  <c r="AJ76" i="37"/>
  <c r="AA76" i="37"/>
  <c r="W76" i="37"/>
  <c r="T76" i="37"/>
  <c r="AQ75" i="37"/>
  <c r="AP75" i="37"/>
  <c r="AO75" i="37"/>
  <c r="AM75" i="37"/>
  <c r="AK75" i="37"/>
  <c r="AJ75" i="37"/>
  <c r="AH75" i="37"/>
  <c r="AD75" i="37"/>
  <c r="AA75" i="37"/>
  <c r="W75" i="37"/>
  <c r="AZ73" i="37"/>
  <c r="AQ73" i="37"/>
  <c r="AP73" i="37"/>
  <c r="AO73" i="37"/>
  <c r="AM73" i="37"/>
  <c r="AK73" i="37"/>
  <c r="AJ73" i="37"/>
  <c r="AD73" i="37"/>
  <c r="AE73" i="37" s="1"/>
  <c r="AA73" i="37"/>
  <c r="W73" i="37"/>
  <c r="B73" i="37"/>
  <c r="AR71" i="37"/>
  <c r="AM71" i="37"/>
  <c r="AK71" i="37"/>
  <c r="AJ71" i="37"/>
  <c r="D71" i="37" s="1"/>
  <c r="AH71" i="37"/>
  <c r="U71" i="37"/>
  <c r="AR70" i="37"/>
  <c r="AM70" i="37"/>
  <c r="AK70" i="37"/>
  <c r="AJ70" i="37"/>
  <c r="D70" i="37" s="1"/>
  <c r="E70" i="37" s="1"/>
  <c r="AH70" i="37"/>
  <c r="W70" i="37"/>
  <c r="U70" i="37"/>
  <c r="AR67" i="37"/>
  <c r="AM67" i="37"/>
  <c r="AK67" i="37"/>
  <c r="AJ67" i="37"/>
  <c r="D67" i="37" s="1"/>
  <c r="AH67" i="37"/>
  <c r="W67" i="37"/>
  <c r="U67" i="37"/>
  <c r="BC66" i="37"/>
  <c r="AC66" i="37"/>
  <c r="W66" i="37"/>
  <c r="AO64" i="37"/>
  <c r="AM64" i="37"/>
  <c r="AK64" i="37"/>
  <c r="T64" i="37"/>
  <c r="AP63" i="37"/>
  <c r="AP64" i="37"/>
  <c r="AO63" i="37"/>
  <c r="AM63" i="37"/>
  <c r="AK63" i="37"/>
  <c r="AD63" i="37"/>
  <c r="W63" i="37"/>
  <c r="W64" i="37" s="1"/>
  <c r="U63" i="37"/>
  <c r="AZ62" i="37"/>
  <c r="BA62" i="37" s="1"/>
  <c r="BB62" i="37" s="1"/>
  <c r="BD62" i="37" s="1"/>
  <c r="AO62" i="37"/>
  <c r="AM62" i="37"/>
  <c r="AK62" i="37"/>
  <c r="AD62" i="37"/>
  <c r="AB62" i="37"/>
  <c r="AA62" i="37"/>
  <c r="T62" i="37"/>
  <c r="AZ61" i="37"/>
  <c r="AQ61" i="37"/>
  <c r="AO61" i="37"/>
  <c r="AM61" i="37"/>
  <c r="AL61" i="37"/>
  <c r="AJ61" i="37" s="1"/>
  <c r="AK61" i="37"/>
  <c r="AD61" i="37"/>
  <c r="AE61" i="37" s="1"/>
  <c r="AA61" i="37"/>
  <c r="T61" i="37"/>
  <c r="AZ60" i="37"/>
  <c r="AQ60" i="37"/>
  <c r="AP60" i="37"/>
  <c r="AP61" i="37" s="1"/>
  <c r="AP62" i="37" s="1"/>
  <c r="AO60" i="37"/>
  <c r="AM60" i="37"/>
  <c r="AK60" i="37"/>
  <c r="AB60" i="37"/>
  <c r="AB63" i="37"/>
  <c r="AH63" i="37" s="1"/>
  <c r="AA60" i="37"/>
  <c r="W60" i="37"/>
  <c r="W61" i="37"/>
  <c r="W62" i="37" s="1"/>
  <c r="U60" i="37"/>
  <c r="AO59" i="37"/>
  <c r="AM59" i="37"/>
  <c r="AL59" i="37"/>
  <c r="AJ59" i="37" s="1"/>
  <c r="D59" i="37" s="1"/>
  <c r="AK59" i="37"/>
  <c r="AF59" i="37"/>
  <c r="AH59" i="37"/>
  <c r="AA59" i="37"/>
  <c r="T59" i="37"/>
  <c r="AQ58" i="37"/>
  <c r="AO58" i="37"/>
  <c r="AM58" i="37"/>
  <c r="AL58" i="37"/>
  <c r="AJ58" i="37"/>
  <c r="D58" i="37" s="1"/>
  <c r="AK58" i="37"/>
  <c r="AF58" i="37"/>
  <c r="AH58" i="37"/>
  <c r="AA58" i="37"/>
  <c r="T58" i="37"/>
  <c r="AE58" i="37" s="1"/>
  <c r="AZ57" i="37"/>
  <c r="AQ57" i="37"/>
  <c r="AO57" i="37"/>
  <c r="AM57" i="37"/>
  <c r="AK57" i="37"/>
  <c r="AD57" i="37"/>
  <c r="AB57" i="37"/>
  <c r="AH57" i="37" s="1"/>
  <c r="AA57" i="37"/>
  <c r="W57" i="37"/>
  <c r="U57" i="37"/>
  <c r="T57" i="37"/>
  <c r="AQ56" i="37"/>
  <c r="AO56" i="37"/>
  <c r="AM56" i="37"/>
  <c r="AK56" i="37"/>
  <c r="AF56" i="37"/>
  <c r="AD56" i="37"/>
  <c r="W56" i="37"/>
  <c r="U56" i="37"/>
  <c r="T56" i="37"/>
  <c r="AZ55" i="37"/>
  <c r="AQ55" i="37"/>
  <c r="AP55" i="37"/>
  <c r="AO55" i="37"/>
  <c r="AM55" i="37"/>
  <c r="AK55" i="37"/>
  <c r="AF55" i="37"/>
  <c r="AD55" i="37"/>
  <c r="AA55" i="37"/>
  <c r="AA56" i="37" s="1"/>
  <c r="W55" i="37"/>
  <c r="U55" i="37"/>
  <c r="T55" i="37"/>
  <c r="AZ54" i="37"/>
  <c r="AQ54" i="37"/>
  <c r="AP54" i="37"/>
  <c r="AO54" i="37"/>
  <c r="AM54" i="37"/>
  <c r="AK54" i="37"/>
  <c r="AF54" i="37"/>
  <c r="AD54" i="37"/>
  <c r="AA54" i="37"/>
  <c r="W54" i="37"/>
  <c r="U54" i="37"/>
  <c r="T54" i="37"/>
  <c r="AZ53" i="37"/>
  <c r="AQ53" i="37"/>
  <c r="AP53" i="37"/>
  <c r="AO53" i="37"/>
  <c r="AM53" i="37"/>
  <c r="AK53" i="37"/>
  <c r="AF53" i="37"/>
  <c r="AD53" i="37"/>
  <c r="AA53" i="37"/>
  <c r="W53" i="37"/>
  <c r="U53" i="37"/>
  <c r="T53" i="37"/>
  <c r="AZ52" i="37"/>
  <c r="AQ52" i="37"/>
  <c r="AP52" i="37"/>
  <c r="AO52" i="37"/>
  <c r="AM52" i="37"/>
  <c r="AK52" i="37"/>
  <c r="AF52" i="37"/>
  <c r="AD52" i="37"/>
  <c r="AA52" i="37"/>
  <c r="AA71" i="37"/>
  <c r="W52" i="37"/>
  <c r="U52" i="37"/>
  <c r="T52" i="37"/>
  <c r="AE52" i="37" s="1"/>
  <c r="AZ51" i="37"/>
  <c r="AQ51" i="37"/>
  <c r="AP51" i="37"/>
  <c r="AP59" i="37" s="1"/>
  <c r="AO51" i="37"/>
  <c r="AM51" i="37"/>
  <c r="AK51" i="37"/>
  <c r="AF51" i="37"/>
  <c r="AD51" i="37"/>
  <c r="AB51" i="37"/>
  <c r="AJ51" i="37" s="1"/>
  <c r="D51" i="37" s="1"/>
  <c r="AA51" i="37"/>
  <c r="AA70" i="37" s="1"/>
  <c r="W51" i="37"/>
  <c r="U51" i="37"/>
  <c r="T51" i="37"/>
  <c r="AE51" i="37" s="1"/>
  <c r="AZ50" i="37"/>
  <c r="AZ67" i="37" s="1"/>
  <c r="AQ50" i="37"/>
  <c r="AP50" i="37"/>
  <c r="AP58" i="37" s="1"/>
  <c r="AO50" i="37"/>
  <c r="AM50" i="37"/>
  <c r="AK50" i="37"/>
  <c r="AJ50" i="37"/>
  <c r="D50" i="37" s="1"/>
  <c r="E50" i="37" s="1"/>
  <c r="AH50" i="37"/>
  <c r="AA50" i="37"/>
  <c r="AA67" i="37" s="1"/>
  <c r="W50" i="37"/>
  <c r="U50" i="37"/>
  <c r="T50" i="37"/>
  <c r="A50" i="37"/>
  <c r="BE49" i="37"/>
  <c r="BE66" i="37"/>
  <c r="BD49" i="37"/>
  <c r="BD66" i="37"/>
  <c r="AV49" i="37"/>
  <c r="AV66" i="37" s="1"/>
  <c r="AJ49" i="37"/>
  <c r="AC49" i="37"/>
  <c r="W49" i="37"/>
  <c r="AQ47" i="37"/>
  <c r="AM47" i="37"/>
  <c r="AK47" i="37"/>
  <c r="AF47" i="37"/>
  <c r="AD47" i="37"/>
  <c r="AB47" i="37"/>
  <c r="AJ47" i="37" s="1"/>
  <c r="W47" i="37"/>
  <c r="U47" i="37"/>
  <c r="T47" i="37"/>
  <c r="AZ46" i="37"/>
  <c r="AZ30" i="37" s="1"/>
  <c r="AZ36" i="37" s="1"/>
  <c r="AQ46" i="37"/>
  <c r="AO46" i="37"/>
  <c r="AM46" i="37"/>
  <c r="AK46" i="37"/>
  <c r="AF46" i="37"/>
  <c r="AB46" i="37"/>
  <c r="AJ46" i="37" s="1"/>
  <c r="AA46" i="37"/>
  <c r="AA30" i="37" s="1"/>
  <c r="W46" i="37"/>
  <c r="U46" i="37"/>
  <c r="T46" i="37"/>
  <c r="BC45" i="37"/>
  <c r="AZ45" i="37"/>
  <c r="AQ45" i="37"/>
  <c r="AO45" i="37"/>
  <c r="AM45" i="37"/>
  <c r="AK45" i="37"/>
  <c r="AA45" i="37"/>
  <c r="W45" i="37"/>
  <c r="U45" i="37"/>
  <c r="T45" i="37"/>
  <c r="AZ44" i="37"/>
  <c r="AZ29" i="37" s="1"/>
  <c r="AQ44" i="37"/>
  <c r="AO44" i="37"/>
  <c r="AM44" i="37"/>
  <c r="AK44" i="37"/>
  <c r="AF44" i="37"/>
  <c r="AD44" i="37"/>
  <c r="AB44" i="37"/>
  <c r="AJ44" i="37"/>
  <c r="D44" i="37" s="1"/>
  <c r="AA44" i="37"/>
  <c r="AA33" i="37" s="1"/>
  <c r="W44" i="37"/>
  <c r="U44" i="37"/>
  <c r="T44" i="37"/>
  <c r="AZ43" i="37"/>
  <c r="AQ43" i="37"/>
  <c r="AO43" i="37"/>
  <c r="AM43" i="37"/>
  <c r="AK43" i="37"/>
  <c r="AJ43" i="37"/>
  <c r="AF43" i="37"/>
  <c r="AH43" i="37" s="1"/>
  <c r="AD43" i="37"/>
  <c r="AE43" i="37"/>
  <c r="AA43" i="37"/>
  <c r="AA35" i="37" s="1"/>
  <c r="W43" i="37"/>
  <c r="U43" i="37"/>
  <c r="T43" i="37"/>
  <c r="BC42" i="37"/>
  <c r="AZ42" i="37"/>
  <c r="AZ28" i="37" s="1"/>
  <c r="AZ34" i="37" s="1"/>
  <c r="AQ42" i="37"/>
  <c r="AM42" i="37"/>
  <c r="AK42" i="37"/>
  <c r="AJ42" i="37"/>
  <c r="AH42" i="37"/>
  <c r="AE42" i="37"/>
  <c r="AA42" i="37"/>
  <c r="W42" i="37"/>
  <c r="U42" i="37"/>
  <c r="T42" i="37"/>
  <c r="BC41" i="37"/>
  <c r="AZ41" i="37"/>
  <c r="AQ41" i="37"/>
  <c r="AO41" i="37"/>
  <c r="AM41" i="37"/>
  <c r="AK41" i="37"/>
  <c r="AJ41" i="37"/>
  <c r="AF41" i="37"/>
  <c r="AH41" i="37"/>
  <c r="AE41" i="37"/>
  <c r="AA41" i="37"/>
  <c r="W41" i="37"/>
  <c r="U41" i="37"/>
  <c r="T41" i="37"/>
  <c r="BC40" i="37"/>
  <c r="AZ40" i="37"/>
  <c r="AZ27" i="37" s="1"/>
  <c r="AZ33" i="37" s="1"/>
  <c r="AQ40" i="37"/>
  <c r="AO40" i="37"/>
  <c r="AM40" i="37"/>
  <c r="AK40" i="37"/>
  <c r="AJ40" i="37"/>
  <c r="AH40" i="37"/>
  <c r="AD40" i="37"/>
  <c r="AE40" i="37"/>
  <c r="AA40" i="37"/>
  <c r="W40" i="37"/>
  <c r="U40" i="37"/>
  <c r="T40" i="37"/>
  <c r="BC38" i="37"/>
  <c r="AM38" i="37"/>
  <c r="AK38" i="37"/>
  <c r="AA38" i="37"/>
  <c r="AA27" i="37" s="1"/>
  <c r="U38" i="37"/>
  <c r="AM37" i="37"/>
  <c r="AK37" i="37"/>
  <c r="AB37" i="37"/>
  <c r="AQ37" i="37"/>
  <c r="U37" i="37"/>
  <c r="AO36" i="37"/>
  <c r="AM36" i="37"/>
  <c r="AK36" i="37"/>
  <c r="U36" i="37"/>
  <c r="AO35" i="37"/>
  <c r="AO38" i="37"/>
  <c r="AM35" i="37"/>
  <c r="AK35" i="37"/>
  <c r="AB35" i="37"/>
  <c r="AB38" i="37" s="1"/>
  <c r="AL38" i="37" s="1"/>
  <c r="U35" i="37"/>
  <c r="BC34" i="37"/>
  <c r="AQ34" i="37"/>
  <c r="AO34" i="37"/>
  <c r="AM34" i="37"/>
  <c r="AL34" i="37"/>
  <c r="AJ34" i="37"/>
  <c r="AK34" i="37"/>
  <c r="U34" i="37"/>
  <c r="BC33" i="37"/>
  <c r="AO33" i="37"/>
  <c r="AM33" i="37"/>
  <c r="AK33" i="37"/>
  <c r="AB33" i="37"/>
  <c r="U33" i="37"/>
  <c r="AZ31" i="37"/>
  <c r="AZ37" i="37"/>
  <c r="AM31" i="37"/>
  <c r="AK31" i="37"/>
  <c r="AB31" i="37"/>
  <c r="U31" i="37"/>
  <c r="AO30" i="37"/>
  <c r="AM30" i="37"/>
  <c r="AK30" i="37"/>
  <c r="U30" i="37"/>
  <c r="AO29" i="37"/>
  <c r="AM29" i="37"/>
  <c r="AK29" i="37"/>
  <c r="AB29" i="37"/>
  <c r="AQ29" i="37" s="1"/>
  <c r="U29" i="37"/>
  <c r="BC28" i="37"/>
  <c r="AQ28" i="37"/>
  <c r="AO28" i="37"/>
  <c r="AM28" i="37"/>
  <c r="AL28" i="37"/>
  <c r="AJ28" i="37" s="1"/>
  <c r="AK28" i="37"/>
  <c r="AD28" i="37"/>
  <c r="AE28" i="37" s="1"/>
  <c r="AA93" i="37" s="1"/>
  <c r="U28" i="37"/>
  <c r="BC27" i="37"/>
  <c r="AO27" i="37"/>
  <c r="AM27" i="37"/>
  <c r="AK27" i="37"/>
  <c r="AB27" i="37"/>
  <c r="U27" i="37"/>
  <c r="BC25" i="37"/>
  <c r="AZ25" i="37"/>
  <c r="AG25" i="37" s="1"/>
  <c r="AQ25" i="37"/>
  <c r="AO25" i="37"/>
  <c r="AM25" i="37"/>
  <c r="AK25" i="37"/>
  <c r="AJ25" i="37"/>
  <c r="AH25" i="37"/>
  <c r="AE25" i="37"/>
  <c r="AA25" i="37"/>
  <c r="W25" i="37"/>
  <c r="U25" i="37"/>
  <c r="T25" i="37"/>
  <c r="BC24" i="37"/>
  <c r="AQ24" i="37"/>
  <c r="AO24" i="37"/>
  <c r="AM24" i="37"/>
  <c r="AK24" i="37"/>
  <c r="AJ24" i="37"/>
  <c r="AH24" i="37"/>
  <c r="AG24" i="37"/>
  <c r="AE24" i="37"/>
  <c r="AA24" i="37"/>
  <c r="W24" i="37"/>
  <c r="U24" i="37"/>
  <c r="T24" i="37"/>
  <c r="BE23" i="37"/>
  <c r="BD23" i="37"/>
  <c r="BC23" i="37"/>
  <c r="BC49" i="37" s="1"/>
  <c r="AV23" i="37"/>
  <c r="AJ23" i="37"/>
  <c r="AJ66" i="37" s="1"/>
  <c r="W23" i="37"/>
  <c r="U23" i="37"/>
  <c r="E23" i="37"/>
  <c r="E49" i="37"/>
  <c r="E66" i="37" s="1"/>
  <c r="D23" i="37"/>
  <c r="D49" i="37" s="1"/>
  <c r="D66" i="37"/>
  <c r="BC21" i="37"/>
  <c r="BD21" i="37"/>
  <c r="AZ21" i="37"/>
  <c r="AR21" i="37"/>
  <c r="AP21" i="37"/>
  <c r="AO21" i="37"/>
  <c r="AM21" i="37"/>
  <c r="AK21" i="37"/>
  <c r="AJ21" i="37"/>
  <c r="D21" i="37" s="1"/>
  <c r="E21" i="37" s="1"/>
  <c r="AH21" i="37"/>
  <c r="AG21" i="37"/>
  <c r="AI21" i="37" s="1"/>
  <c r="AA21" i="37"/>
  <c r="W21" i="37"/>
  <c r="U21" i="37"/>
  <c r="T21" i="37"/>
  <c r="BC20" i="37"/>
  <c r="BD20" i="37"/>
  <c r="AZ20" i="37"/>
  <c r="AR20" i="37"/>
  <c r="AP20" i="37"/>
  <c r="AO20" i="37"/>
  <c r="AM20" i="37"/>
  <c r="AK20" i="37"/>
  <c r="AJ20" i="37"/>
  <c r="D20" i="37" s="1"/>
  <c r="E20" i="37" s="1"/>
  <c r="AH20" i="37"/>
  <c r="AG20" i="37"/>
  <c r="AI20" i="37" s="1"/>
  <c r="AA20" i="37"/>
  <c r="W20" i="37"/>
  <c r="U20" i="37"/>
  <c r="T20" i="37"/>
  <c r="BC19" i="37"/>
  <c r="BD19" i="37" s="1"/>
  <c r="AZ19" i="37"/>
  <c r="AR19" i="37"/>
  <c r="AP19" i="37"/>
  <c r="AO19" i="37"/>
  <c r="AM19" i="37"/>
  <c r="AK19" i="37"/>
  <c r="AJ19" i="37"/>
  <c r="D19" i="37" s="1"/>
  <c r="E19" i="37" s="1"/>
  <c r="AH19" i="37"/>
  <c r="AG19" i="37"/>
  <c r="AI19" i="37" s="1"/>
  <c r="AD19" i="37"/>
  <c r="AD20" i="37"/>
  <c r="AD21" i="37"/>
  <c r="AA19" i="37"/>
  <c r="W19" i="37"/>
  <c r="U19" i="37"/>
  <c r="T19" i="37"/>
  <c r="BC18" i="37"/>
  <c r="BD18" i="37" s="1"/>
  <c r="AZ18" i="37"/>
  <c r="AR18" i="37"/>
  <c r="AP18" i="37"/>
  <c r="AO18" i="37"/>
  <c r="AM18" i="37"/>
  <c r="AK18" i="37"/>
  <c r="AJ18" i="37"/>
  <c r="D18" i="37" s="1"/>
  <c r="AH18" i="37"/>
  <c r="AA18" i="37"/>
  <c r="W18" i="37"/>
  <c r="U18" i="37"/>
  <c r="T18" i="37"/>
  <c r="AE18" i="37" s="1"/>
  <c r="BC17" i="37"/>
  <c r="BD17" i="37"/>
  <c r="AZ17" i="37"/>
  <c r="AG17" i="37" s="1"/>
  <c r="AI17" i="37" s="1"/>
  <c r="AR17" i="37"/>
  <c r="AP17" i="37"/>
  <c r="AO17" i="37"/>
  <c r="AM17" i="37"/>
  <c r="AK17" i="37"/>
  <c r="AJ17" i="37"/>
  <c r="D17" i="37" s="1"/>
  <c r="E17" i="37" s="1"/>
  <c r="AH17" i="37"/>
  <c r="AA17" i="37"/>
  <c r="W17" i="37"/>
  <c r="U17" i="37"/>
  <c r="T17" i="37"/>
  <c r="BC16" i="37"/>
  <c r="BD16" i="37"/>
  <c r="AZ16" i="37"/>
  <c r="AR16" i="37"/>
  <c r="AP16" i="37"/>
  <c r="AO16" i="37"/>
  <c r="AM16" i="37"/>
  <c r="AK16" i="37"/>
  <c r="AJ16" i="37"/>
  <c r="D16" i="37" s="1"/>
  <c r="E16" i="37" s="1"/>
  <c r="AH16" i="37"/>
  <c r="AG16" i="37"/>
  <c r="AI16" i="37" s="1"/>
  <c r="AE16" i="37"/>
  <c r="AA16" i="37"/>
  <c r="W16" i="37"/>
  <c r="U16" i="37"/>
  <c r="T16" i="37"/>
  <c r="B16" i="37"/>
  <c r="AZ15" i="37"/>
  <c r="AG15" i="37" s="1"/>
  <c r="AI15" i="37" s="1"/>
  <c r="AR15" i="37"/>
  <c r="AP15" i="37"/>
  <c r="AO15" i="37"/>
  <c r="AM15" i="37"/>
  <c r="AK15" i="37"/>
  <c r="AJ15" i="37"/>
  <c r="D15" i="37" s="1"/>
  <c r="AH15" i="37"/>
  <c r="AA15" i="37"/>
  <c r="T15" i="37"/>
  <c r="AZ14" i="37"/>
  <c r="BA14" i="37" s="1"/>
  <c r="AR14" i="37"/>
  <c r="AP14" i="37"/>
  <c r="AO14" i="37"/>
  <c r="AM14" i="37"/>
  <c r="AK14" i="37"/>
  <c r="AJ14" i="37"/>
  <c r="D14" i="37" s="1"/>
  <c r="AH14" i="37"/>
  <c r="AG14" i="37"/>
  <c r="AI14" i="37" s="1"/>
  <c r="AE14" i="37"/>
  <c r="AA14" i="37"/>
  <c r="T14" i="37"/>
  <c r="AZ13" i="37"/>
  <c r="AG13" i="37" s="1"/>
  <c r="AI13" i="37" s="1"/>
  <c r="AS13" i="37" s="1"/>
  <c r="AR13" i="37"/>
  <c r="AP13" i="37"/>
  <c r="AO13" i="37"/>
  <c r="AM13" i="37"/>
  <c r="AK13" i="37"/>
  <c r="AJ13" i="37"/>
  <c r="D13" i="37" s="1"/>
  <c r="AH13" i="37"/>
  <c r="AA13" i="37"/>
  <c r="T13" i="37"/>
  <c r="AZ12" i="37"/>
  <c r="AG12" i="37" s="1"/>
  <c r="AI12" i="37" s="1"/>
  <c r="AR12" i="37"/>
  <c r="AP12" i="37"/>
  <c r="AO12" i="37"/>
  <c r="AM12" i="37"/>
  <c r="AK12" i="37"/>
  <c r="AJ12" i="37"/>
  <c r="D12" i="37" s="1"/>
  <c r="AH12" i="37"/>
  <c r="AE12" i="37"/>
  <c r="AA12" i="37"/>
  <c r="T12" i="37"/>
  <c r="AZ11" i="37"/>
  <c r="BB11" i="37" s="1"/>
  <c r="AU11" i="37" s="1"/>
  <c r="AR11" i="37"/>
  <c r="AP11" i="37"/>
  <c r="AO11" i="37"/>
  <c r="AM11" i="37"/>
  <c r="AK11" i="37"/>
  <c r="AJ11" i="37"/>
  <c r="D11" i="37" s="1"/>
  <c r="AH11" i="37"/>
  <c r="AG11" i="37"/>
  <c r="AI11" i="37" s="1"/>
  <c r="AA11" i="37"/>
  <c r="T11" i="37"/>
  <c r="AZ10" i="37"/>
  <c r="BB10" i="37" s="1"/>
  <c r="AU10" i="37" s="1"/>
  <c r="AR10" i="37"/>
  <c r="AP10" i="37"/>
  <c r="AO10" i="37"/>
  <c r="AM10" i="37"/>
  <c r="AK10" i="37"/>
  <c r="AJ10" i="37"/>
  <c r="D10" i="37" s="1"/>
  <c r="AH10" i="37"/>
  <c r="AG10" i="37"/>
  <c r="AI10" i="37" s="1"/>
  <c r="AA10" i="37"/>
  <c r="T10" i="37"/>
  <c r="AZ9" i="37"/>
  <c r="BB9" i="37" s="1"/>
  <c r="AU9" i="37" s="1"/>
  <c r="AR9" i="37"/>
  <c r="AP9" i="37"/>
  <c r="AO9" i="37"/>
  <c r="AM9" i="37"/>
  <c r="AK9" i="37"/>
  <c r="AJ9" i="37"/>
  <c r="D9" i="37" s="1"/>
  <c r="AH9" i="37"/>
  <c r="AG9" i="37"/>
  <c r="AI9" i="37" s="1"/>
  <c r="AA9" i="37"/>
  <c r="T9" i="37"/>
  <c r="A9" i="37"/>
  <c r="A30" i="37"/>
  <c r="B30" i="37" s="1"/>
  <c r="B8" i="37"/>
  <c r="T5" i="37"/>
  <c r="Y4" i="37"/>
  <c r="BB3" i="37"/>
  <c r="BC3" i="37" s="1"/>
  <c r="BD3" i="37"/>
  <c r="BE3" i="37" s="1"/>
  <c r="AH1" i="37"/>
  <c r="W1" i="37"/>
  <c r="AG57" i="29"/>
  <c r="AT51" i="29"/>
  <c r="AP51" i="29"/>
  <c r="AO51" i="29"/>
  <c r="AN51" i="29"/>
  <c r="AM51" i="29"/>
  <c r="AH51" i="29"/>
  <c r="AF51" i="29"/>
  <c r="AE51" i="29"/>
  <c r="AG51" i="29" s="1"/>
  <c r="AQ51" i="29" s="1"/>
  <c r="AA51" i="29"/>
  <c r="Y51" i="29"/>
  <c r="U51" i="29"/>
  <c r="R51" i="29"/>
  <c r="AC51" i="29" s="1"/>
  <c r="G51" i="29"/>
  <c r="E51" i="29"/>
  <c r="AA50" i="29"/>
  <c r="U50" i="29"/>
  <c r="N50" i="29"/>
  <c r="D49" i="29"/>
  <c r="AT48" i="29"/>
  <c r="AP48" i="29"/>
  <c r="AO48" i="29"/>
  <c r="AN48" i="29"/>
  <c r="AM48" i="29"/>
  <c r="AH48" i="29"/>
  <c r="AD48" i="29"/>
  <c r="AF48" i="29" s="1"/>
  <c r="AB48" i="29"/>
  <c r="AB51" i="29"/>
  <c r="Y48" i="29"/>
  <c r="U48" i="29"/>
  <c r="R48" i="29"/>
  <c r="AC48" i="29" s="1"/>
  <c r="G48" i="29"/>
  <c r="AW48" i="29" s="1"/>
  <c r="AZ48" i="29" s="1"/>
  <c r="AT47" i="29"/>
  <c r="AP47" i="29"/>
  <c r="AO47" i="29"/>
  <c r="AN47" i="29"/>
  <c r="AM47" i="29"/>
  <c r="AH47" i="29"/>
  <c r="AE47" i="29"/>
  <c r="AG47" i="29" s="1"/>
  <c r="AD47" i="29"/>
  <c r="AF47" i="29" s="1"/>
  <c r="Y47" i="29"/>
  <c r="U47" i="29"/>
  <c r="R47" i="29"/>
  <c r="G47" i="29"/>
  <c r="AI47" i="29" s="1"/>
  <c r="AT46" i="29"/>
  <c r="AP46" i="29"/>
  <c r="AO46" i="29"/>
  <c r="AN46" i="29"/>
  <c r="AM46" i="29"/>
  <c r="AD46" i="29"/>
  <c r="Z46" i="29"/>
  <c r="AH46" i="29" s="1"/>
  <c r="Y46" i="29"/>
  <c r="U46" i="29"/>
  <c r="R46" i="29"/>
  <c r="AC46" i="29" s="1"/>
  <c r="G46" i="29"/>
  <c r="AT45" i="29"/>
  <c r="AP45" i="29"/>
  <c r="AO45" i="29"/>
  <c r="AN45" i="29"/>
  <c r="AM45" i="29"/>
  <c r="AE45" i="29"/>
  <c r="AG45" i="29" s="1"/>
  <c r="AQ45" i="29" s="1"/>
  <c r="AD45" i="29"/>
  <c r="Z45" i="29"/>
  <c r="Y45" i="29"/>
  <c r="U45" i="29"/>
  <c r="R45" i="29"/>
  <c r="G45" i="29"/>
  <c r="K45" i="29" s="1"/>
  <c r="AT44" i="29"/>
  <c r="AP44" i="29"/>
  <c r="AO44" i="29"/>
  <c r="AN44" i="29"/>
  <c r="AM44" i="29"/>
  <c r="AE44" i="29"/>
  <c r="AG44" i="29" s="1"/>
  <c r="AQ44" i="29" s="1"/>
  <c r="AD44" i="29"/>
  <c r="Z44" i="29"/>
  <c r="AH44" i="29" s="1"/>
  <c r="Y44" i="29"/>
  <c r="U44" i="29"/>
  <c r="R44" i="29"/>
  <c r="G44" i="29"/>
  <c r="AT43" i="29"/>
  <c r="AP43" i="29"/>
  <c r="AO43" i="29"/>
  <c r="AN43" i="29"/>
  <c r="AM43" i="29"/>
  <c r="AE43" i="29"/>
  <c r="AG43" i="29" s="1"/>
  <c r="AQ43" i="29" s="1"/>
  <c r="AD43" i="29"/>
  <c r="AB43" i="29"/>
  <c r="AB44" i="29" s="1"/>
  <c r="AB46" i="29" s="1"/>
  <c r="Z43" i="29"/>
  <c r="Y43" i="29"/>
  <c r="U43" i="29"/>
  <c r="R43" i="29"/>
  <c r="G43" i="29"/>
  <c r="AW43" i="29" s="1"/>
  <c r="AY43" i="29" s="1"/>
  <c r="BA42" i="29"/>
  <c r="AP42" i="29"/>
  <c r="AO42" i="29"/>
  <c r="AN42" i="29"/>
  <c r="AM42" i="29"/>
  <c r="AH42" i="29"/>
  <c r="AF42" i="29"/>
  <c r="AE42" i="29"/>
  <c r="Y42" i="29"/>
  <c r="U42" i="29"/>
  <c r="R42" i="29"/>
  <c r="AC42" i="29" s="1"/>
  <c r="G42" i="29"/>
  <c r="AA41" i="29"/>
  <c r="U41" i="29"/>
  <c r="N41" i="29"/>
  <c r="AT39" i="29"/>
  <c r="AP39" i="29"/>
  <c r="AO39" i="29"/>
  <c r="AN39" i="29"/>
  <c r="AM39" i="29"/>
  <c r="Z39" i="29"/>
  <c r="AH39" i="29"/>
  <c r="Y39" i="29"/>
  <c r="U39" i="29"/>
  <c r="R39" i="29"/>
  <c r="G39" i="29"/>
  <c r="K39" i="29"/>
  <c r="AT38" i="29"/>
  <c r="AP38" i="29"/>
  <c r="AO38" i="29"/>
  <c r="AN38" i="29"/>
  <c r="AM38" i="29"/>
  <c r="AH38" i="29"/>
  <c r="AF38" i="29"/>
  <c r="Y38" i="29"/>
  <c r="U38" i="29"/>
  <c r="R38" i="29"/>
  <c r="G38" i="29"/>
  <c r="H38" i="29"/>
  <c r="AT37" i="29"/>
  <c r="AP37" i="29"/>
  <c r="AO37" i="29"/>
  <c r="AN37" i="29"/>
  <c r="AM37" i="29"/>
  <c r="Z37" i="29"/>
  <c r="AF37" i="29"/>
  <c r="Y37" i="29"/>
  <c r="U37" i="29"/>
  <c r="R37" i="29"/>
  <c r="G37" i="29"/>
  <c r="AT36" i="29"/>
  <c r="AP36" i="29"/>
  <c r="AO36" i="29"/>
  <c r="AN36" i="29"/>
  <c r="AM36" i="29"/>
  <c r="AH36" i="29"/>
  <c r="AF36" i="29"/>
  <c r="Y36" i="29"/>
  <c r="U36" i="29"/>
  <c r="R36" i="29"/>
  <c r="G36" i="29"/>
  <c r="E36" i="29"/>
  <c r="P36" i="29" s="1"/>
  <c r="AT35" i="29"/>
  <c r="AP35" i="29"/>
  <c r="AO35" i="29"/>
  <c r="AN35" i="29"/>
  <c r="AM35" i="29"/>
  <c r="AH35" i="29"/>
  <c r="AF35" i="29"/>
  <c r="Y35" i="29"/>
  <c r="U35" i="29"/>
  <c r="R35" i="29"/>
  <c r="G35" i="29"/>
  <c r="H35" i="29"/>
  <c r="AT34" i="29"/>
  <c r="AP34" i="29"/>
  <c r="AO34" i="29"/>
  <c r="AN34" i="29"/>
  <c r="AM34" i="29"/>
  <c r="AH34" i="29"/>
  <c r="AF34" i="29"/>
  <c r="Y34" i="29"/>
  <c r="U34" i="29"/>
  <c r="R34" i="29"/>
  <c r="G34" i="29"/>
  <c r="AT33" i="29"/>
  <c r="AP33" i="29"/>
  <c r="AO33" i="29"/>
  <c r="AN33" i="29"/>
  <c r="AM33" i="29"/>
  <c r="Z33" i="29"/>
  <c r="AH33" i="29" s="1"/>
  <c r="Y33" i="29"/>
  <c r="U33" i="29"/>
  <c r="R33" i="29"/>
  <c r="G33" i="29"/>
  <c r="AT32" i="29"/>
  <c r="AP32" i="29"/>
  <c r="AO32" i="29"/>
  <c r="AN32" i="29"/>
  <c r="AM32" i="29"/>
  <c r="AH32" i="29"/>
  <c r="AF32" i="29"/>
  <c r="Y32" i="29"/>
  <c r="U32" i="29"/>
  <c r="R32" i="29"/>
  <c r="G32" i="29"/>
  <c r="AW31" i="29"/>
  <c r="AE31" i="29" s="1"/>
  <c r="AG31" i="29" s="1"/>
  <c r="AQ31" i="29" s="1"/>
  <c r="AT31" i="29"/>
  <c r="AP31" i="29"/>
  <c r="AO31" i="29"/>
  <c r="AN31" i="29"/>
  <c r="AM31" i="29"/>
  <c r="AI31" i="29"/>
  <c r="Z31" i="29"/>
  <c r="Y31" i="29"/>
  <c r="U31" i="29"/>
  <c r="R31" i="29"/>
  <c r="K31" i="29"/>
  <c r="H31" i="29"/>
  <c r="E31" i="29"/>
  <c r="AT30" i="29"/>
  <c r="AP30" i="29"/>
  <c r="AO30" i="29"/>
  <c r="AN30" i="29"/>
  <c r="AM30" i="29"/>
  <c r="AI30" i="29"/>
  <c r="AH30" i="29"/>
  <c r="AF30" i="29"/>
  <c r="AE30" i="29"/>
  <c r="AC30" i="29"/>
  <c r="Y30" i="29"/>
  <c r="U30" i="29"/>
  <c r="R30" i="29"/>
  <c r="K30" i="29"/>
  <c r="H30" i="29"/>
  <c r="E30" i="29"/>
  <c r="U29" i="29"/>
  <c r="S29" i="29"/>
  <c r="AW27" i="29"/>
  <c r="AT27" i="29"/>
  <c r="AP27" i="29"/>
  <c r="AO27" i="29"/>
  <c r="AN27" i="29"/>
  <c r="AM27" i="29"/>
  <c r="AI27" i="29"/>
  <c r="AF27" i="29"/>
  <c r="AC27" i="29"/>
  <c r="Y27" i="29"/>
  <c r="R27" i="29"/>
  <c r="K27" i="29"/>
  <c r="H27" i="29"/>
  <c r="E27" i="29"/>
  <c r="AW26" i="29"/>
  <c r="AE26" i="29" s="1"/>
  <c r="AG26" i="29" s="1"/>
  <c r="AQ26" i="29" s="1"/>
  <c r="AT26" i="29"/>
  <c r="AP26" i="29"/>
  <c r="AO26" i="29"/>
  <c r="AN26" i="29"/>
  <c r="AM26" i="29"/>
  <c r="AI26" i="29"/>
  <c r="AF26" i="29"/>
  <c r="AC26" i="29"/>
  <c r="Y26" i="29"/>
  <c r="R26" i="29"/>
  <c r="K26" i="29"/>
  <c r="H26" i="29"/>
  <c r="E26" i="29"/>
  <c r="P26" i="29" s="1"/>
  <c r="U25" i="29"/>
  <c r="S25" i="29"/>
  <c r="D24" i="29"/>
  <c r="AW23" i="29"/>
  <c r="AE23" i="29" s="1"/>
  <c r="AG23" i="29" s="1"/>
  <c r="AQ23" i="29" s="1"/>
  <c r="AT23" i="29"/>
  <c r="AP23" i="29"/>
  <c r="AO23" i="29"/>
  <c r="AM23" i="29"/>
  <c r="AI23" i="29"/>
  <c r="AH23" i="29"/>
  <c r="AF23" i="29"/>
  <c r="Y23" i="29"/>
  <c r="K23" i="29"/>
  <c r="H23" i="29"/>
  <c r="E23" i="29"/>
  <c r="AW22" i="29"/>
  <c r="AY22" i="29" s="1"/>
  <c r="AT22" i="29"/>
  <c r="AP22" i="29"/>
  <c r="AO22" i="29"/>
  <c r="AM22" i="29"/>
  <c r="AI22" i="29"/>
  <c r="AH22" i="29"/>
  <c r="AF22" i="29"/>
  <c r="AE22" i="29"/>
  <c r="AG22" i="29" s="1"/>
  <c r="AQ22" i="29" s="1"/>
  <c r="AB22" i="29"/>
  <c r="AB23" i="29"/>
  <c r="Y22" i="29"/>
  <c r="K22" i="29"/>
  <c r="H22" i="29"/>
  <c r="E22" i="29"/>
  <c r="P22" i="29" s="1"/>
  <c r="BD21" i="29"/>
  <c r="BD11" i="29" s="1"/>
  <c r="AW21" i="29"/>
  <c r="AY21" i="29" s="1"/>
  <c r="AT21" i="29"/>
  <c r="AP21" i="29"/>
  <c r="AO21" i="29"/>
  <c r="AM21" i="29"/>
  <c r="AI21" i="29"/>
  <c r="AH21" i="29"/>
  <c r="AF21" i="29"/>
  <c r="Y21" i="29"/>
  <c r="U21" i="29"/>
  <c r="R21" i="29"/>
  <c r="K21" i="29"/>
  <c r="H21" i="29"/>
  <c r="E21" i="29"/>
  <c r="AW20" i="29"/>
  <c r="AY20" i="29" s="1"/>
  <c r="AT20" i="29"/>
  <c r="AP20" i="29"/>
  <c r="AO20" i="29"/>
  <c r="AM20" i="29"/>
  <c r="AI20" i="29"/>
  <c r="AH20" i="29"/>
  <c r="AF20" i="29"/>
  <c r="Y20" i="29"/>
  <c r="U20" i="29"/>
  <c r="R20" i="29"/>
  <c r="AC20" i="29" s="1"/>
  <c r="K20" i="29"/>
  <c r="H20" i="29"/>
  <c r="E20" i="29"/>
  <c r="AW19" i="29"/>
  <c r="AT19" i="29"/>
  <c r="AP19" i="29"/>
  <c r="AO19" i="29"/>
  <c r="AM19" i="29"/>
  <c r="AI19" i="29"/>
  <c r="AH19" i="29"/>
  <c r="AF19" i="29"/>
  <c r="AE19" i="29"/>
  <c r="AG19" i="29" s="1"/>
  <c r="AQ19" i="29" s="1"/>
  <c r="Y19" i="29"/>
  <c r="U19" i="29"/>
  <c r="R19" i="29"/>
  <c r="AC19" i="29" s="1"/>
  <c r="K19" i="29"/>
  <c r="H19" i="29"/>
  <c r="E19" i="29"/>
  <c r="P19" i="29" s="1"/>
  <c r="AW18" i="29"/>
  <c r="AT18" i="29"/>
  <c r="AP18" i="29"/>
  <c r="AO18" i="29"/>
  <c r="AM18" i="29"/>
  <c r="AI18" i="29"/>
  <c r="AH18" i="29"/>
  <c r="AF18" i="29"/>
  <c r="AE18" i="29"/>
  <c r="AC18" i="29"/>
  <c r="Y18" i="29"/>
  <c r="U18" i="29"/>
  <c r="R18" i="29"/>
  <c r="K18" i="29"/>
  <c r="H18" i="29"/>
  <c r="E18" i="29"/>
  <c r="BD17" i="29"/>
  <c r="AT17" i="29"/>
  <c r="AT25" i="29"/>
  <c r="AT29" i="29" s="1"/>
  <c r="AT41" i="29" s="1"/>
  <c r="AT50" i="29" s="1"/>
  <c r="AH17" i="29"/>
  <c r="AH25" i="29" s="1"/>
  <c r="AH29" i="29" s="1"/>
  <c r="AH50" i="29" s="1"/>
  <c r="AH41" i="29" s="1"/>
  <c r="U17" i="29"/>
  <c r="AT15" i="29"/>
  <c r="AP15" i="29"/>
  <c r="AO15" i="29"/>
  <c r="AN15" i="29"/>
  <c r="AM15" i="29"/>
  <c r="AH15" i="29"/>
  <c r="AF15" i="29"/>
  <c r="Y15" i="29"/>
  <c r="R15" i="29"/>
  <c r="AC15" i="29" s="1"/>
  <c r="G15" i="29"/>
  <c r="BK14" i="29"/>
  <c r="BJ19" i="29"/>
  <c r="AT14" i="29"/>
  <c r="AP14" i="29"/>
  <c r="AO14" i="29"/>
  <c r="AN14" i="29"/>
  <c r="AM14" i="29"/>
  <c r="AH14" i="29"/>
  <c r="AF14" i="29"/>
  <c r="AE14" i="29"/>
  <c r="AG14" i="29" s="1"/>
  <c r="AQ14" i="29" s="1"/>
  <c r="AC14" i="29"/>
  <c r="Y14" i="29"/>
  <c r="R14" i="29"/>
  <c r="G14" i="29"/>
  <c r="BD13" i="29"/>
  <c r="AT13" i="29"/>
  <c r="AP13" i="29"/>
  <c r="AO13" i="29"/>
  <c r="AN13" i="29"/>
  <c r="AM13" i="29"/>
  <c r="AH13" i="29"/>
  <c r="AF13" i="29"/>
  <c r="Y13" i="29"/>
  <c r="R13" i="29"/>
  <c r="G13" i="29"/>
  <c r="BD12" i="29"/>
  <c r="AT12" i="29"/>
  <c r="AP12" i="29"/>
  <c r="AO12" i="29"/>
  <c r="AN12" i="29"/>
  <c r="AM12" i="29"/>
  <c r="AH12" i="29"/>
  <c r="AF12" i="29"/>
  <c r="AC12" i="29"/>
  <c r="Y12" i="29"/>
  <c r="R12" i="29"/>
  <c r="G12" i="29"/>
  <c r="AT11" i="29"/>
  <c r="AP11" i="29"/>
  <c r="AO11" i="29"/>
  <c r="AN11" i="29"/>
  <c r="AM11" i="29"/>
  <c r="AH11" i="29"/>
  <c r="AF11" i="29"/>
  <c r="AE11" i="29"/>
  <c r="AG11" i="29" s="1"/>
  <c r="Y11" i="29"/>
  <c r="R11" i="29"/>
  <c r="AC11" i="29" s="1"/>
  <c r="G11" i="29"/>
  <c r="AW10" i="29"/>
  <c r="AT10" i="29"/>
  <c r="AP10" i="29"/>
  <c r="AO10" i="29"/>
  <c r="AN10" i="29"/>
  <c r="AM10" i="29"/>
  <c r="AI10" i="29"/>
  <c r="AH10" i="29"/>
  <c r="AF10" i="29"/>
  <c r="AE10" i="29"/>
  <c r="Y10" i="29"/>
  <c r="R10" i="29"/>
  <c r="K10" i="29"/>
  <c r="H10" i="29"/>
  <c r="E10" i="29"/>
  <c r="AW9" i="29"/>
  <c r="AZ9" i="29" s="1"/>
  <c r="AT9" i="29"/>
  <c r="AP9" i="29"/>
  <c r="AO9" i="29"/>
  <c r="AN9" i="29"/>
  <c r="AM9" i="29"/>
  <c r="AI9" i="29"/>
  <c r="AH9" i="29"/>
  <c r="AF9" i="29"/>
  <c r="AE9" i="29"/>
  <c r="AG9" i="29" s="1"/>
  <c r="Y9" i="29"/>
  <c r="R9" i="29"/>
  <c r="K9" i="29"/>
  <c r="H9" i="29"/>
  <c r="E9" i="29"/>
  <c r="P9" i="29" s="1"/>
  <c r="A9" i="29"/>
  <c r="A39" i="29" s="1"/>
  <c r="A19" i="29"/>
  <c r="B8" i="29"/>
  <c r="AT6" i="29"/>
  <c r="AS6" i="29"/>
  <c r="AR6" i="29"/>
  <c r="AU5" i="29"/>
  <c r="AT5" i="29"/>
  <c r="AS5" i="29"/>
  <c r="AR5" i="29"/>
  <c r="W5" i="29"/>
  <c r="R5" i="29"/>
  <c r="N5" i="29"/>
  <c r="AT4" i="29"/>
  <c r="AS4" i="29"/>
  <c r="AR4" i="29"/>
  <c r="AR3" i="29"/>
  <c r="AS3" i="29" s="1"/>
  <c r="AT3" i="29" s="1"/>
  <c r="AU3" i="29" s="1"/>
  <c r="BC2" i="29"/>
  <c r="BD2" i="29" s="1"/>
  <c r="AF1" i="29"/>
  <c r="U1" i="29"/>
  <c r="AE67" i="33" a="1"/>
  <c r="AE67" i="33"/>
  <c r="Z65" i="33"/>
  <c r="Z64" i="33"/>
  <c r="Z67" i="33" s="1"/>
  <c r="AP51" i="33"/>
  <c r="AO51" i="33"/>
  <c r="AN51" i="33"/>
  <c r="AM51" i="33"/>
  <c r="AH51" i="33"/>
  <c r="AF51" i="33"/>
  <c r="AE51" i="33"/>
  <c r="AG51" i="33" s="1"/>
  <c r="AQ51" i="33" s="1"/>
  <c r="AB51" i="33"/>
  <c r="AA51" i="33"/>
  <c r="Y51" i="33"/>
  <c r="U51" i="33"/>
  <c r="R51" i="33"/>
  <c r="AC51" i="33" s="1"/>
  <c r="G51" i="33"/>
  <c r="AA50" i="33"/>
  <c r="U50" i="33"/>
  <c r="N50" i="33"/>
  <c r="D49" i="33"/>
  <c r="AP48" i="33"/>
  <c r="AO48" i="33"/>
  <c r="AN48" i="33"/>
  <c r="AM48" i="33"/>
  <c r="AH48" i="33"/>
  <c r="AE48" i="33"/>
  <c r="AG48" i="33" s="1"/>
  <c r="AQ48" i="33" s="1"/>
  <c r="AD48" i="33"/>
  <c r="AF48" i="33" s="1"/>
  <c r="AC48" i="33"/>
  <c r="Y48" i="33"/>
  <c r="R48" i="33"/>
  <c r="G48" i="33"/>
  <c r="AI48" i="33" s="1"/>
  <c r="AP47" i="33"/>
  <c r="AO47" i="33"/>
  <c r="AN47" i="33"/>
  <c r="AM47" i="33"/>
  <c r="AH47" i="33"/>
  <c r="AE47" i="33"/>
  <c r="AG47" i="33" s="1"/>
  <c r="AQ47" i="33" s="1"/>
  <c r="AD47" i="33"/>
  <c r="AF47" i="33" s="1"/>
  <c r="Y47" i="33"/>
  <c r="R47" i="33"/>
  <c r="G47" i="33"/>
  <c r="K47" i="33"/>
  <c r="AP46" i="33"/>
  <c r="AO46" i="33"/>
  <c r="AN46" i="33"/>
  <c r="AM46" i="33"/>
  <c r="AE46" i="33"/>
  <c r="AG46" i="33" s="1"/>
  <c r="AD46" i="33"/>
  <c r="Z46" i="33"/>
  <c r="Y46" i="33"/>
  <c r="R46" i="33"/>
  <c r="K46" i="33"/>
  <c r="G46" i="33"/>
  <c r="H46" i="33"/>
  <c r="AP45" i="33"/>
  <c r="AO45" i="33"/>
  <c r="AN45" i="33"/>
  <c r="AM45" i="33"/>
  <c r="AE45" i="33"/>
  <c r="AG45" i="33" s="1"/>
  <c r="AD45" i="33"/>
  <c r="Z45" i="33"/>
  <c r="AH45" i="33"/>
  <c r="Y45" i="33"/>
  <c r="R45" i="33"/>
  <c r="G45" i="33"/>
  <c r="F45" i="33"/>
  <c r="AP44" i="33"/>
  <c r="AO44" i="33"/>
  <c r="AN44" i="33"/>
  <c r="AM44" i="33"/>
  <c r="AH44" i="33"/>
  <c r="AE44" i="33"/>
  <c r="AG44" i="33" s="1"/>
  <c r="AD44" i="33"/>
  <c r="AF44" i="33"/>
  <c r="AB44" i="33"/>
  <c r="Y44" i="33"/>
  <c r="R44" i="33"/>
  <c r="AC44" i="33" s="1"/>
  <c r="G44" i="33"/>
  <c r="AP43" i="33"/>
  <c r="AO43" i="33"/>
  <c r="AN43" i="33"/>
  <c r="AM43" i="33"/>
  <c r="AE43" i="33"/>
  <c r="Z43" i="33"/>
  <c r="AH43" i="33"/>
  <c r="Y43" i="33"/>
  <c r="G43" i="33"/>
  <c r="AI43" i="33" s="1"/>
  <c r="BA42" i="33"/>
  <c r="AP42" i="33"/>
  <c r="AO42" i="33"/>
  <c r="AN42" i="33"/>
  <c r="AM42" i="33"/>
  <c r="AH42" i="33"/>
  <c r="AF42" i="33"/>
  <c r="AE42" i="33"/>
  <c r="AG42" i="33" s="1"/>
  <c r="AQ42" i="33" s="1"/>
  <c r="Y42" i="33"/>
  <c r="R42" i="33"/>
  <c r="AC42" i="33" s="1"/>
  <c r="G42" i="33"/>
  <c r="H42" i="33"/>
  <c r="AA41" i="33"/>
  <c r="U41" i="33"/>
  <c r="N41" i="33"/>
  <c r="AP39" i="33"/>
  <c r="AO39" i="33"/>
  <c r="AN39" i="33"/>
  <c r="AM39" i="33"/>
  <c r="Z39" i="33"/>
  <c r="Y39" i="33"/>
  <c r="R39" i="33"/>
  <c r="G39" i="33"/>
  <c r="F39" i="33"/>
  <c r="AP38" i="33"/>
  <c r="AO38" i="33"/>
  <c r="AN38" i="33"/>
  <c r="AM38" i="33"/>
  <c r="AH38" i="33"/>
  <c r="AF38" i="33"/>
  <c r="Y38" i="33"/>
  <c r="R38" i="33"/>
  <c r="G38" i="33"/>
  <c r="AW38" i="33"/>
  <c r="AE38" i="33" s="1"/>
  <c r="AG38" i="33" s="1"/>
  <c r="AQ38" i="33" s="1"/>
  <c r="AP37" i="33"/>
  <c r="AO37" i="33"/>
  <c r="AN37" i="33"/>
  <c r="AM37" i="33"/>
  <c r="Z37" i="33"/>
  <c r="Y37" i="33"/>
  <c r="R37" i="33"/>
  <c r="G37" i="33"/>
  <c r="H37" i="33" s="1"/>
  <c r="AP36" i="33"/>
  <c r="AO36" i="33"/>
  <c r="AN36" i="33"/>
  <c r="AM36" i="33"/>
  <c r="AH36" i="33"/>
  <c r="AF36" i="33"/>
  <c r="Y36" i="33"/>
  <c r="R36" i="33"/>
  <c r="G36" i="33"/>
  <c r="AW36" i="33" s="1"/>
  <c r="AE36" i="33" s="1"/>
  <c r="AG36" i="33" s="1"/>
  <c r="AQ36" i="33" s="1"/>
  <c r="AP35" i="33"/>
  <c r="AO35" i="33"/>
  <c r="AN35" i="33"/>
  <c r="AM35" i="33"/>
  <c r="AH35" i="33"/>
  <c r="AF35" i="33"/>
  <c r="Y35" i="33"/>
  <c r="R35" i="33"/>
  <c r="G35" i="33"/>
  <c r="K35" i="33"/>
  <c r="AP34" i="33"/>
  <c r="AO34" i="33"/>
  <c r="AN34" i="33"/>
  <c r="AF34" i="33"/>
  <c r="Y34" i="33"/>
  <c r="R34" i="33"/>
  <c r="G34" i="33"/>
  <c r="F34" i="33"/>
  <c r="AP33" i="33"/>
  <c r="AO33" i="33"/>
  <c r="AN33" i="33"/>
  <c r="AM33" i="33"/>
  <c r="Z33" i="33"/>
  <c r="AH33" i="33" s="1"/>
  <c r="Y33" i="33"/>
  <c r="R33" i="33"/>
  <c r="G33" i="33"/>
  <c r="AW33" i="33" s="1"/>
  <c r="AE33" i="33" s="1"/>
  <c r="AG33" i="33" s="1"/>
  <c r="AQ33" i="33" s="1"/>
  <c r="AP32" i="33"/>
  <c r="AO32" i="33"/>
  <c r="AN32" i="33"/>
  <c r="AM32" i="33"/>
  <c r="AH32" i="33"/>
  <c r="AF32" i="33"/>
  <c r="Y32" i="33"/>
  <c r="R32" i="33"/>
  <c r="G32" i="33"/>
  <c r="AW31" i="33"/>
  <c r="AY31" i="33" s="1"/>
  <c r="AP31" i="33"/>
  <c r="AO31" i="33"/>
  <c r="AN31" i="33"/>
  <c r="AM31" i="33"/>
  <c r="AI31" i="33"/>
  <c r="Z31" i="33"/>
  <c r="Y31" i="33"/>
  <c r="R31" i="33"/>
  <c r="K31" i="33"/>
  <c r="H31" i="33"/>
  <c r="F31" i="33"/>
  <c r="E31" i="33"/>
  <c r="P31" i="33" s="1"/>
  <c r="AP30" i="33"/>
  <c r="AO30" i="33"/>
  <c r="AN30" i="33"/>
  <c r="AM30" i="33"/>
  <c r="AI30" i="33"/>
  <c r="AH30" i="33"/>
  <c r="AF30" i="33"/>
  <c r="AE30" i="33"/>
  <c r="AC30" i="33"/>
  <c r="Y30" i="33"/>
  <c r="R30" i="33"/>
  <c r="K30" i="33"/>
  <c r="H30" i="33"/>
  <c r="F30" i="33"/>
  <c r="E30" i="33"/>
  <c r="U29" i="33"/>
  <c r="S29" i="33"/>
  <c r="AW27" i="33"/>
  <c r="AE27" i="33" s="1"/>
  <c r="AG27" i="33" s="1"/>
  <c r="AQ27" i="33" s="1"/>
  <c r="AP27" i="33"/>
  <c r="AO27" i="33"/>
  <c r="AN27" i="33"/>
  <c r="AM27" i="33"/>
  <c r="AI27" i="33"/>
  <c r="AF27" i="33"/>
  <c r="AC27" i="33"/>
  <c r="Y27" i="33"/>
  <c r="R27" i="33"/>
  <c r="K27" i="33"/>
  <c r="H27" i="33"/>
  <c r="F27" i="33"/>
  <c r="E27" i="33"/>
  <c r="P27" i="33" s="1"/>
  <c r="AW26" i="33"/>
  <c r="AE26" i="33" s="1"/>
  <c r="AG26" i="33" s="1"/>
  <c r="AQ26" i="33" s="1"/>
  <c r="AP26" i="33"/>
  <c r="AO26" i="33"/>
  <c r="AN26" i="33"/>
  <c r="AM26" i="33"/>
  <c r="AI26" i="33"/>
  <c r="AF26" i="33"/>
  <c r="AC26" i="33"/>
  <c r="Y26" i="33"/>
  <c r="R26" i="33"/>
  <c r="K26" i="33"/>
  <c r="H26" i="33"/>
  <c r="F26" i="33"/>
  <c r="E26" i="33"/>
  <c r="U25" i="33"/>
  <c r="S25" i="33"/>
  <c r="D24" i="33"/>
  <c r="AW23" i="33"/>
  <c r="AP23" i="33"/>
  <c r="AO23" i="33"/>
  <c r="AN23" i="33"/>
  <c r="AM23" i="33"/>
  <c r="AI23" i="33"/>
  <c r="AH23" i="33"/>
  <c r="AF23" i="33"/>
  <c r="AE23" i="33"/>
  <c r="Y23" i="33"/>
  <c r="R23" i="33"/>
  <c r="K23" i="33"/>
  <c r="H23" i="33"/>
  <c r="F23" i="33"/>
  <c r="E23" i="33"/>
  <c r="P23" i="33" s="1"/>
  <c r="AW22" i="33"/>
  <c r="AP22" i="33"/>
  <c r="AO22" i="33"/>
  <c r="AN22" i="33"/>
  <c r="AM22" i="33"/>
  <c r="AI22" i="33"/>
  <c r="AH22" i="33"/>
  <c r="AF22" i="33"/>
  <c r="AE22" i="33"/>
  <c r="AG22" i="33" s="1"/>
  <c r="AQ22" i="33" s="1"/>
  <c r="Y22" i="33"/>
  <c r="R22" i="33"/>
  <c r="K22" i="33"/>
  <c r="H22" i="33"/>
  <c r="F22" i="33"/>
  <c r="E22" i="33"/>
  <c r="P22" i="33" s="1"/>
  <c r="BD21" i="33"/>
  <c r="BD11" i="33" s="1"/>
  <c r="AW21" i="33"/>
  <c r="AY21" i="33" s="1"/>
  <c r="AP21" i="33"/>
  <c r="AO21" i="33"/>
  <c r="AN21" i="33"/>
  <c r="AM21" i="33"/>
  <c r="AI21" i="33"/>
  <c r="AH21" i="33"/>
  <c r="AF21" i="33"/>
  <c r="AE21" i="33"/>
  <c r="AG21" i="33" s="1"/>
  <c r="AQ21" i="33" s="1"/>
  <c r="AB21" i="33"/>
  <c r="AB22" i="33"/>
  <c r="AB23" i="33" s="1"/>
  <c r="Y21" i="33"/>
  <c r="R21" i="33"/>
  <c r="AC21" i="33" s="1"/>
  <c r="K21" i="33"/>
  <c r="H21" i="33"/>
  <c r="F21" i="33"/>
  <c r="E21" i="33"/>
  <c r="AW20" i="33"/>
  <c r="AY20" i="33" s="1"/>
  <c r="AP20" i="33"/>
  <c r="AO20" i="33"/>
  <c r="AN20" i="33"/>
  <c r="AM20" i="33"/>
  <c r="AI20" i="33"/>
  <c r="AH20" i="33"/>
  <c r="AF20" i="33"/>
  <c r="Y20" i="33"/>
  <c r="R20" i="33"/>
  <c r="AC20" i="33" s="1"/>
  <c r="K20" i="33"/>
  <c r="H20" i="33"/>
  <c r="F20" i="33"/>
  <c r="E20" i="33"/>
  <c r="P20" i="33" s="1"/>
  <c r="BJ19" i="33"/>
  <c r="AW19" i="33"/>
  <c r="AY19" i="33" s="1"/>
  <c r="AP19" i="33"/>
  <c r="AO19" i="33"/>
  <c r="AN19" i="33"/>
  <c r="AM19" i="33"/>
  <c r="AI19" i="33"/>
  <c r="AH19" i="33"/>
  <c r="AF19" i="33"/>
  <c r="AE19" i="33"/>
  <c r="AG19" i="33" s="1"/>
  <c r="AQ19" i="33" s="1"/>
  <c r="Y19" i="33"/>
  <c r="R19" i="33"/>
  <c r="AC19" i="33" s="1"/>
  <c r="K19" i="33"/>
  <c r="H19" i="33"/>
  <c r="F19" i="33"/>
  <c r="E19" i="33"/>
  <c r="P19" i="33" s="1"/>
  <c r="BJ18" i="33"/>
  <c r="AW18" i="33"/>
  <c r="AP18" i="33"/>
  <c r="AO18" i="33"/>
  <c r="AN18" i="33"/>
  <c r="AM18" i="33"/>
  <c r="AI18" i="33"/>
  <c r="AH18" i="33"/>
  <c r="AF18" i="33"/>
  <c r="AE18" i="33"/>
  <c r="AG18" i="33" s="1"/>
  <c r="AQ18" i="33" s="1"/>
  <c r="AC18" i="33"/>
  <c r="Y18" i="33"/>
  <c r="R18" i="33"/>
  <c r="K18" i="33"/>
  <c r="H18" i="33"/>
  <c r="F18" i="33"/>
  <c r="E18" i="33"/>
  <c r="BD17" i="33"/>
  <c r="V46" i="33" s="1"/>
  <c r="AT17" i="33"/>
  <c r="AT25" i="33" s="1"/>
  <c r="AT29" i="33" s="1"/>
  <c r="AT41" i="33"/>
  <c r="AT50" i="33" s="1"/>
  <c r="AH17" i="33"/>
  <c r="AH25" i="33"/>
  <c r="AH29" i="33"/>
  <c r="AH50" i="33" s="1"/>
  <c r="AH41" i="33" s="1"/>
  <c r="U17" i="33"/>
  <c r="AP15" i="33"/>
  <c r="AO15" i="33"/>
  <c r="AN15" i="33"/>
  <c r="AM15" i="33"/>
  <c r="AH15" i="33"/>
  <c r="AF15" i="33"/>
  <c r="Y15" i="33"/>
  <c r="R15" i="33"/>
  <c r="G15" i="33"/>
  <c r="H15" i="33"/>
  <c r="AP14" i="33"/>
  <c r="AO14" i="33"/>
  <c r="AN14" i="33"/>
  <c r="AM14" i="33"/>
  <c r="AH14" i="33"/>
  <c r="AF14" i="33"/>
  <c r="AE14" i="33"/>
  <c r="AG14" i="33" s="1"/>
  <c r="AQ14" i="33" s="1"/>
  <c r="AC14" i="33"/>
  <c r="Y14" i="33"/>
  <c r="R14" i="33"/>
  <c r="G14" i="33"/>
  <c r="E14" i="33" s="1"/>
  <c r="P14" i="33" s="1"/>
  <c r="BD13" i="33"/>
  <c r="AL35" i="33" s="1"/>
  <c r="AL23" i="33"/>
  <c r="AP13" i="33"/>
  <c r="AO13" i="33"/>
  <c r="AN13" i="33"/>
  <c r="AM13" i="33"/>
  <c r="AH13" i="33"/>
  <c r="AF13" i="33"/>
  <c r="Y13" i="33"/>
  <c r="R13" i="33"/>
  <c r="AC13" i="33" s="1"/>
  <c r="G13" i="33"/>
  <c r="BD12" i="33"/>
  <c r="AK14" i="33"/>
  <c r="AP12" i="33"/>
  <c r="AO12" i="33"/>
  <c r="AN12" i="33"/>
  <c r="AM12" i="33"/>
  <c r="AH12" i="33"/>
  <c r="AF12" i="33"/>
  <c r="AC12" i="33"/>
  <c r="Y12" i="33"/>
  <c r="R12" i="33"/>
  <c r="G12" i="33"/>
  <c r="AW12" i="33" s="1"/>
  <c r="AE12" i="33" s="1"/>
  <c r="AG12" i="33" s="1"/>
  <c r="AQ12" i="33" s="1"/>
  <c r="AP11" i="33"/>
  <c r="AO11" i="33"/>
  <c r="AN11" i="33"/>
  <c r="AM11" i="33"/>
  <c r="AH11" i="33"/>
  <c r="AF11" i="33"/>
  <c r="AE11" i="33"/>
  <c r="Y11" i="33"/>
  <c r="R11" i="33"/>
  <c r="G11" i="33"/>
  <c r="AI11" i="33" s="1"/>
  <c r="AW10" i="33"/>
  <c r="AY10" i="33" s="1"/>
  <c r="AP10" i="33"/>
  <c r="AO10" i="33"/>
  <c r="AN10" i="33"/>
  <c r="AM10" i="33"/>
  <c r="AI10" i="33"/>
  <c r="AH10" i="33"/>
  <c r="AF10" i="33"/>
  <c r="AE10" i="33"/>
  <c r="AG10" i="33" s="1"/>
  <c r="AQ10" i="33" s="1"/>
  <c r="Y10" i="33"/>
  <c r="R10" i="33"/>
  <c r="K10" i="33"/>
  <c r="H10" i="33"/>
  <c r="F10" i="33"/>
  <c r="E10" i="33"/>
  <c r="P10" i="33" s="1"/>
  <c r="AW9" i="33"/>
  <c r="AZ9" i="33" s="1"/>
  <c r="AP9" i="33"/>
  <c r="AO9" i="33"/>
  <c r="AN9" i="33"/>
  <c r="AM9" i="33"/>
  <c r="AI9" i="33"/>
  <c r="AH9" i="33"/>
  <c r="AF9" i="33"/>
  <c r="AE9" i="33"/>
  <c r="Y9" i="33"/>
  <c r="R9" i="33"/>
  <c r="AC9" i="33" s="1"/>
  <c r="K9" i="33"/>
  <c r="H9" i="33"/>
  <c r="F9" i="33"/>
  <c r="E9" i="33"/>
  <c r="A9" i="33"/>
  <c r="A35" i="33"/>
  <c r="B35" i="33" s="1"/>
  <c r="B8" i="33"/>
  <c r="AU6" i="33"/>
  <c r="AT6" i="33"/>
  <c r="AS6" i="33"/>
  <c r="Z69" i="33" s="1"/>
  <c r="AR6" i="33"/>
  <c r="AU5" i="33"/>
  <c r="AT5" i="33"/>
  <c r="AS5" i="33"/>
  <c r="AR5" i="33"/>
  <c r="AB56" i="33" s="1"/>
  <c r="AB57" i="33" s="1"/>
  <c r="W5" i="33"/>
  <c r="R5" i="33"/>
  <c r="N5" i="33"/>
  <c r="AW4" i="33"/>
  <c r="AU4" i="33"/>
  <c r="AT4" i="33"/>
  <c r="AS4" i="33"/>
  <c r="AR4" i="33"/>
  <c r="AR3" i="33"/>
  <c r="AS3" i="33" s="1"/>
  <c r="AT3" i="33" s="1"/>
  <c r="AU3" i="33" s="1"/>
  <c r="BC2" i="33"/>
  <c r="BD2" i="33"/>
  <c r="AF1" i="33"/>
  <c r="U1" i="33"/>
  <c r="AL70" i="10"/>
  <c r="BB66" i="10"/>
  <c r="AY66" i="10"/>
  <c r="AX66" i="10"/>
  <c r="AW66" i="10"/>
  <c r="AV66" i="10"/>
  <c r="AU66" i="10"/>
  <c r="AT66" i="10"/>
  <c r="AO66" i="10"/>
  <c r="AH66" i="10"/>
  <c r="AB66" i="10"/>
  <c r="AA66" i="10"/>
  <c r="AC66" i="10" s="1"/>
  <c r="V66" i="10"/>
  <c r="I66" i="10"/>
  <c r="AQ66" i="10" s="1"/>
  <c r="B66" i="10"/>
  <c r="C66" i="10" s="1"/>
  <c r="BB65" i="10"/>
  <c r="AY65" i="10"/>
  <c r="AX65" i="10"/>
  <c r="AW65" i="10"/>
  <c r="AV65" i="10"/>
  <c r="AU65" i="10"/>
  <c r="AT65" i="10"/>
  <c r="AO65" i="10"/>
  <c r="AL65" i="10"/>
  <c r="AH65" i="10"/>
  <c r="AB65" i="10"/>
  <c r="AA65" i="10"/>
  <c r="AC65" i="10"/>
  <c r="V65" i="10"/>
  <c r="I65" i="10"/>
  <c r="BE65" i="10"/>
  <c r="BG65" i="10" s="1"/>
  <c r="B65" i="10"/>
  <c r="J65" i="10"/>
  <c r="BB64" i="10"/>
  <c r="AY64" i="10"/>
  <c r="AX64" i="10"/>
  <c r="AW64" i="10"/>
  <c r="AV64" i="10"/>
  <c r="AU64" i="10"/>
  <c r="AT64" i="10"/>
  <c r="AO64" i="10"/>
  <c r="AL64" i="10"/>
  <c r="AH64" i="10"/>
  <c r="AB64" i="10"/>
  <c r="AA64" i="10"/>
  <c r="AC64" i="10"/>
  <c r="V64" i="10"/>
  <c r="I64" i="10"/>
  <c r="B64" i="10"/>
  <c r="AJ63" i="10"/>
  <c r="R63" i="10"/>
  <c r="BB61" i="10"/>
  <c r="AY61" i="10"/>
  <c r="AX61" i="10"/>
  <c r="AW61" i="10"/>
  <c r="AV61" i="10"/>
  <c r="AU61" i="10"/>
  <c r="AT61" i="10"/>
  <c r="AO61" i="10"/>
  <c r="AJ61" i="10"/>
  <c r="AL61" i="10"/>
  <c r="AH61" i="10"/>
  <c r="AB61" i="10"/>
  <c r="AA61" i="10"/>
  <c r="AC61" i="10" s="1"/>
  <c r="V61" i="10"/>
  <c r="I61" i="10"/>
  <c r="B61" i="10"/>
  <c r="BB60" i="10"/>
  <c r="AY60" i="10"/>
  <c r="AX60" i="10"/>
  <c r="AW60" i="10"/>
  <c r="AV60" i="10"/>
  <c r="AU60" i="10"/>
  <c r="AT60" i="10"/>
  <c r="AO60" i="10"/>
  <c r="AJ60" i="10"/>
  <c r="AL60" i="10" s="1"/>
  <c r="AH60" i="10"/>
  <c r="AB60" i="10"/>
  <c r="AA60" i="10"/>
  <c r="AC60" i="10" s="1"/>
  <c r="V60" i="10"/>
  <c r="I60" i="10"/>
  <c r="B60" i="10"/>
  <c r="C60" i="10" s="1"/>
  <c r="BB59" i="10"/>
  <c r="AY59" i="10"/>
  <c r="AX59" i="10"/>
  <c r="AW59" i="10"/>
  <c r="AV59" i="10"/>
  <c r="AU59" i="10"/>
  <c r="AT59" i="10"/>
  <c r="AO59" i="10"/>
  <c r="AJ59" i="10"/>
  <c r="AL59" i="10"/>
  <c r="AH59" i="10"/>
  <c r="AB59" i="10"/>
  <c r="AA59" i="10"/>
  <c r="AC59" i="10"/>
  <c r="V59" i="10"/>
  <c r="I59" i="10"/>
  <c r="O59" i="10" s="1"/>
  <c r="B59" i="10"/>
  <c r="C59" i="10"/>
  <c r="K59" i="10" s="1"/>
  <c r="AJ58" i="10"/>
  <c r="R58" i="10"/>
  <c r="BB56" i="10"/>
  <c r="AY56" i="10"/>
  <c r="AX56" i="10"/>
  <c r="AW56" i="10"/>
  <c r="AV56" i="10"/>
  <c r="AU56" i="10"/>
  <c r="AT56" i="10"/>
  <c r="AO56" i="10"/>
  <c r="AL56" i="10"/>
  <c r="AH56" i="10"/>
  <c r="AB56" i="10"/>
  <c r="AA56" i="10"/>
  <c r="AC56" i="10" s="1"/>
  <c r="V56" i="10"/>
  <c r="I56" i="10"/>
  <c r="F56" i="10" s="1"/>
  <c r="T56" i="10" s="1"/>
  <c r="AN56" i="10"/>
  <c r="AP56" i="10" s="1"/>
  <c r="B56" i="10"/>
  <c r="C56" i="10" s="1"/>
  <c r="K56" i="10" s="1"/>
  <c r="BB55" i="10"/>
  <c r="AX55" i="10"/>
  <c r="AW55" i="10"/>
  <c r="AV55" i="10"/>
  <c r="AU55" i="10"/>
  <c r="AT55" i="10"/>
  <c r="AO55" i="10"/>
  <c r="AB55" i="10"/>
  <c r="AA55" i="10"/>
  <c r="AC55" i="10" s="1"/>
  <c r="Y55" i="10"/>
  <c r="AY55" i="10"/>
  <c r="I55" i="10"/>
  <c r="B55" i="10"/>
  <c r="AJ54" i="10"/>
  <c r="R54" i="10"/>
  <c r="BB52" i="10"/>
  <c r="AY52" i="10"/>
  <c r="AX52" i="10"/>
  <c r="AW52" i="10"/>
  <c r="AV52" i="10"/>
  <c r="AU52" i="10"/>
  <c r="AT52" i="10"/>
  <c r="AO52" i="10"/>
  <c r="AL52" i="10"/>
  <c r="AH52" i="10"/>
  <c r="AB52" i="10"/>
  <c r="AA52" i="10"/>
  <c r="AC52" i="10" s="1"/>
  <c r="V52" i="10"/>
  <c r="I52" i="10"/>
  <c r="F52" i="10" s="1"/>
  <c r="B52" i="10"/>
  <c r="C52" i="10" s="1"/>
  <c r="K52" i="10"/>
  <c r="BB51" i="10"/>
  <c r="AX51" i="10"/>
  <c r="AW51" i="10"/>
  <c r="AV51" i="10"/>
  <c r="AU51" i="10"/>
  <c r="AT51" i="10"/>
  <c r="AO51" i="10"/>
  <c r="AB51" i="10"/>
  <c r="AA51" i="10"/>
  <c r="AC51" i="10"/>
  <c r="Y51" i="10"/>
  <c r="I51" i="10"/>
  <c r="B51" i="10"/>
  <c r="J51" i="10" s="1"/>
  <c r="AJ50" i="10"/>
  <c r="R50" i="10"/>
  <c r="BB48" i="10"/>
  <c r="AY48" i="10"/>
  <c r="AX48" i="10"/>
  <c r="AW48" i="10"/>
  <c r="AV48" i="10"/>
  <c r="AU48" i="10"/>
  <c r="AT48" i="10"/>
  <c r="AO48" i="10"/>
  <c r="AL48" i="10"/>
  <c r="AH48" i="10"/>
  <c r="AB48" i="10"/>
  <c r="AA48" i="10"/>
  <c r="AC48" i="10"/>
  <c r="V48" i="10"/>
  <c r="I48" i="10"/>
  <c r="B48" i="10"/>
  <c r="C48" i="10"/>
  <c r="K48" i="10"/>
  <c r="BB47" i="10"/>
  <c r="AY47" i="10"/>
  <c r="AX47" i="10"/>
  <c r="AW47" i="10"/>
  <c r="AV47" i="10"/>
  <c r="AU47" i="10"/>
  <c r="AT47" i="10"/>
  <c r="AO47" i="10"/>
  <c r="AH47" i="10"/>
  <c r="AB47" i="10"/>
  <c r="AA47" i="10"/>
  <c r="AC47" i="10" s="1"/>
  <c r="V47" i="10"/>
  <c r="I47" i="10"/>
  <c r="F47" i="10"/>
  <c r="B47" i="10"/>
  <c r="J47" i="10"/>
  <c r="BB46" i="10"/>
  <c r="AY46" i="10"/>
  <c r="AX46" i="10"/>
  <c r="AW46" i="10"/>
  <c r="AV46" i="10"/>
  <c r="AU46" i="10"/>
  <c r="AT46" i="10"/>
  <c r="AO46" i="10"/>
  <c r="AK46" i="10"/>
  <c r="AH46" i="10"/>
  <c r="AB46" i="10"/>
  <c r="AA46" i="10"/>
  <c r="AC46" i="10"/>
  <c r="I46" i="10"/>
  <c r="F46" i="10"/>
  <c r="T46" i="10" s="1"/>
  <c r="B46" i="10"/>
  <c r="J46" i="10"/>
  <c r="BC45" i="10"/>
  <c r="BC50" i="10" s="1"/>
  <c r="BC63" i="10" s="1"/>
  <c r="BB45" i="10"/>
  <c r="BB50" i="10"/>
  <c r="BB63" i="10" s="1"/>
  <c r="BA45" i="10"/>
  <c r="AZ45" i="10"/>
  <c r="AZ54" i="10" s="1"/>
  <c r="AY45" i="10"/>
  <c r="AY54" i="10" s="1"/>
  <c r="AX45" i="10"/>
  <c r="AX54" i="10"/>
  <c r="AW45" i="10"/>
  <c r="AV45" i="10"/>
  <c r="AU45" i="10"/>
  <c r="AT45" i="10"/>
  <c r="AT54" i="10"/>
  <c r="AS45" i="10"/>
  <c r="AR45" i="10"/>
  <c r="AR50" i="10" s="1"/>
  <c r="AR63" i="10" s="1"/>
  <c r="AQ45" i="10"/>
  <c r="AP45" i="10"/>
  <c r="AP50" i="10" s="1"/>
  <c r="AP54" i="10"/>
  <c r="AJ45" i="10"/>
  <c r="R45" i="10"/>
  <c r="BB43" i="10"/>
  <c r="AY43" i="10"/>
  <c r="AX43" i="10"/>
  <c r="AW43" i="10"/>
  <c r="AV43" i="10"/>
  <c r="AU43" i="10"/>
  <c r="AT43" i="10"/>
  <c r="AO43" i="10"/>
  <c r="AL43" i="10"/>
  <c r="AH43" i="10"/>
  <c r="AB43" i="10"/>
  <c r="AA43" i="10"/>
  <c r="AC43" i="10"/>
  <c r="I43" i="10"/>
  <c r="B43" i="10"/>
  <c r="J43" i="10" s="1"/>
  <c r="BB42" i="10"/>
  <c r="AY42" i="10"/>
  <c r="AX42" i="10"/>
  <c r="AW42" i="10"/>
  <c r="AV42" i="10"/>
  <c r="AU42" i="10"/>
  <c r="AT42" i="10"/>
  <c r="AO42" i="10"/>
  <c r="AL42" i="10"/>
  <c r="AH42" i="10"/>
  <c r="AB42" i="10"/>
  <c r="AA42" i="10"/>
  <c r="AC42" i="10"/>
  <c r="I42" i="10"/>
  <c r="O42" i="10"/>
  <c r="B42" i="10"/>
  <c r="BB41" i="10"/>
  <c r="AY41" i="10"/>
  <c r="AX41" i="10"/>
  <c r="AW41" i="10"/>
  <c r="AV41" i="10"/>
  <c r="AU41" i="10"/>
  <c r="AT41" i="10"/>
  <c r="AO41" i="10"/>
  <c r="AL41" i="10"/>
  <c r="AH41" i="10"/>
  <c r="AB41" i="10"/>
  <c r="AA41" i="10"/>
  <c r="AC41" i="10" s="1"/>
  <c r="I41" i="10"/>
  <c r="B41" i="10"/>
  <c r="BB40" i="10"/>
  <c r="AY40" i="10"/>
  <c r="AX40" i="10"/>
  <c r="AW40" i="10"/>
  <c r="AV40" i="10"/>
  <c r="AU40" i="10"/>
  <c r="AT40" i="10"/>
  <c r="AO40" i="10"/>
  <c r="AL40" i="10"/>
  <c r="AH40" i="10"/>
  <c r="AB40" i="10"/>
  <c r="AA40" i="10"/>
  <c r="AC40" i="10"/>
  <c r="I40" i="10"/>
  <c r="O40" i="10"/>
  <c r="B40" i="10"/>
  <c r="BB39" i="10"/>
  <c r="AY39" i="10"/>
  <c r="AX39" i="10"/>
  <c r="AW39" i="10"/>
  <c r="AV39" i="10"/>
  <c r="AU39" i="10"/>
  <c r="AT39" i="10"/>
  <c r="AO39" i="10"/>
  <c r="AL39" i="10"/>
  <c r="AH39" i="10"/>
  <c r="AB39" i="10"/>
  <c r="AA39" i="10"/>
  <c r="AC39" i="10" s="1"/>
  <c r="I39" i="10"/>
  <c r="B39" i="10"/>
  <c r="BB38" i="10"/>
  <c r="AY38" i="10"/>
  <c r="AX38" i="10"/>
  <c r="AW38" i="10"/>
  <c r="AV38" i="10"/>
  <c r="AU38" i="10"/>
  <c r="AT38" i="10"/>
  <c r="AO38" i="10"/>
  <c r="AL38" i="10"/>
  <c r="AH38" i="10"/>
  <c r="AB38" i="10"/>
  <c r="AA38" i="10"/>
  <c r="AC38" i="10" s="1"/>
  <c r="I38" i="10"/>
  <c r="BE38" i="10" s="1"/>
  <c r="B38" i="10"/>
  <c r="C38" i="10"/>
  <c r="K38" i="10" s="1"/>
  <c r="AO37" i="10"/>
  <c r="AO45" i="10"/>
  <c r="AO54" i="10" s="1"/>
  <c r="AN37" i="10"/>
  <c r="AN45" i="10" s="1"/>
  <c r="AN50" i="10" s="1"/>
  <c r="AN63" i="10" s="1"/>
  <c r="AM37" i="10"/>
  <c r="AM45" i="10"/>
  <c r="AJ37" i="10"/>
  <c r="R37" i="10"/>
  <c r="BB35" i="10"/>
  <c r="AY35" i="10"/>
  <c r="AX35" i="10"/>
  <c r="AW35" i="10"/>
  <c r="AV35" i="10"/>
  <c r="AU35" i="10"/>
  <c r="AT35" i="10"/>
  <c r="AO35" i="10"/>
  <c r="AL35" i="10"/>
  <c r="AH35" i="10"/>
  <c r="AB35" i="10"/>
  <c r="AA35" i="10"/>
  <c r="AC35" i="10"/>
  <c r="I35" i="10"/>
  <c r="BE35" i="10" s="1"/>
  <c r="BG35" i="10" s="1"/>
  <c r="B35" i="10"/>
  <c r="J35" i="10"/>
  <c r="BB34" i="10"/>
  <c r="AY34" i="10"/>
  <c r="AX34" i="10"/>
  <c r="AW34" i="10"/>
  <c r="AV34" i="10"/>
  <c r="AU34" i="10"/>
  <c r="AT34" i="10"/>
  <c r="AO34" i="10"/>
  <c r="AK34" i="10"/>
  <c r="AH34" i="10"/>
  <c r="AB34" i="10"/>
  <c r="AA34" i="10"/>
  <c r="AC34" i="10"/>
  <c r="I34" i="10"/>
  <c r="AQ34" i="10"/>
  <c r="BE34" i="10"/>
  <c r="BG34" i="10" s="1"/>
  <c r="B34" i="10"/>
  <c r="C34" i="10" s="1"/>
  <c r="K34" i="10" s="1"/>
  <c r="BB33" i="10"/>
  <c r="AY33" i="10"/>
  <c r="AX33" i="10"/>
  <c r="AW33" i="10"/>
  <c r="AV33" i="10"/>
  <c r="AU33" i="10"/>
  <c r="AT33" i="10"/>
  <c r="AO33" i="10"/>
  <c r="AH33" i="10"/>
  <c r="AB33" i="10"/>
  <c r="AA33" i="10"/>
  <c r="AC33" i="10"/>
  <c r="I33" i="10"/>
  <c r="B33" i="10"/>
  <c r="BB30" i="10"/>
  <c r="AY30" i="10"/>
  <c r="AX30" i="10"/>
  <c r="AW30" i="10"/>
  <c r="AV30" i="10"/>
  <c r="AU30" i="10"/>
  <c r="AT30" i="10"/>
  <c r="AO30" i="10"/>
  <c r="AL30" i="10"/>
  <c r="AH30" i="10"/>
  <c r="AB30" i="10"/>
  <c r="AA30" i="10"/>
  <c r="AC30" i="10" s="1"/>
  <c r="I30" i="10"/>
  <c r="AN30" i="10"/>
  <c r="AP30" i="10" s="1"/>
  <c r="AZ30" i="10" s="1"/>
  <c r="B30" i="10"/>
  <c r="C30" i="10" s="1"/>
  <c r="K30" i="10"/>
  <c r="BB29" i="10"/>
  <c r="AY29" i="10"/>
  <c r="AX29" i="10"/>
  <c r="AW29" i="10"/>
  <c r="AV29" i="10"/>
  <c r="AU29" i="10"/>
  <c r="AT29" i="10"/>
  <c r="AO29" i="10"/>
  <c r="AL29" i="10"/>
  <c r="AH29" i="10"/>
  <c r="AB29" i="10"/>
  <c r="AA29" i="10"/>
  <c r="AC29" i="10"/>
  <c r="I29" i="10"/>
  <c r="AQ29" i="10"/>
  <c r="B29" i="10"/>
  <c r="C29" i="10"/>
  <c r="BB28" i="10"/>
  <c r="AY28" i="10"/>
  <c r="AX28" i="10"/>
  <c r="AW28" i="10"/>
  <c r="AV28" i="10"/>
  <c r="AU28" i="10"/>
  <c r="AT28" i="10"/>
  <c r="AO28" i="10"/>
  <c r="AL28" i="10"/>
  <c r="AH28" i="10"/>
  <c r="AB28" i="10"/>
  <c r="AA28" i="10"/>
  <c r="AC28" i="10" s="1"/>
  <c r="I28" i="10"/>
  <c r="B28" i="10"/>
  <c r="BB27" i="10"/>
  <c r="AY27" i="10"/>
  <c r="AX27" i="10"/>
  <c r="AW27" i="10"/>
  <c r="AV27" i="10"/>
  <c r="AU27" i="10"/>
  <c r="AT27" i="10"/>
  <c r="AO27" i="10"/>
  <c r="AL27" i="10"/>
  <c r="AH27" i="10"/>
  <c r="AB27" i="10"/>
  <c r="AA27" i="10"/>
  <c r="AC27" i="10"/>
  <c r="I27" i="10"/>
  <c r="B27" i="10"/>
  <c r="BB26" i="10"/>
  <c r="AY26" i="10"/>
  <c r="AX26" i="10"/>
  <c r="AW26" i="10"/>
  <c r="AV26" i="10"/>
  <c r="AU26" i="10"/>
  <c r="AT26" i="10"/>
  <c r="AO26" i="10"/>
  <c r="AL26" i="10"/>
  <c r="AH26" i="10"/>
  <c r="AB26" i="10"/>
  <c r="AA26" i="10"/>
  <c r="AC26" i="10"/>
  <c r="I26" i="10"/>
  <c r="B26" i="10"/>
  <c r="J26" i="10" s="1"/>
  <c r="BB25" i="10"/>
  <c r="AY25" i="10"/>
  <c r="AX25" i="10"/>
  <c r="AW25" i="10"/>
  <c r="AV25" i="10"/>
  <c r="AU25" i="10"/>
  <c r="AT25" i="10"/>
  <c r="AO25" i="10"/>
  <c r="AL25" i="10"/>
  <c r="AH25" i="10"/>
  <c r="AB25" i="10"/>
  <c r="AA25" i="10"/>
  <c r="AC25" i="10"/>
  <c r="I25" i="10"/>
  <c r="B25" i="10"/>
  <c r="C25" i="10" s="1"/>
  <c r="BB24" i="10"/>
  <c r="AY24" i="10"/>
  <c r="AX24" i="10"/>
  <c r="AW24" i="10"/>
  <c r="AV24" i="10"/>
  <c r="AU24" i="10"/>
  <c r="AT24" i="10"/>
  <c r="AO24" i="10"/>
  <c r="AH24" i="10"/>
  <c r="AB24" i="10"/>
  <c r="AA24" i="10"/>
  <c r="AC24" i="10" s="1"/>
  <c r="I24" i="10"/>
  <c r="B24" i="10"/>
  <c r="J24" i="10"/>
  <c r="BE23" i="10"/>
  <c r="BH23" i="10" s="1"/>
  <c r="BB23" i="10"/>
  <c r="AY23" i="10"/>
  <c r="AX23" i="10"/>
  <c r="AW23" i="10"/>
  <c r="AV23" i="10"/>
  <c r="AU23" i="10"/>
  <c r="AT23" i="10"/>
  <c r="AQ23" i="10"/>
  <c r="AO23" i="10"/>
  <c r="AN23" i="10"/>
  <c r="AP23" i="10" s="1"/>
  <c r="AZ23" i="10" s="1"/>
  <c r="AH23" i="10"/>
  <c r="AB23" i="10"/>
  <c r="AA23" i="10"/>
  <c r="AC23" i="10" s="1"/>
  <c r="O23" i="10"/>
  <c r="B23" i="10"/>
  <c r="BE22" i="10"/>
  <c r="BH22" i="10" s="1"/>
  <c r="BB22" i="10"/>
  <c r="AY22" i="10"/>
  <c r="AX22" i="10"/>
  <c r="AW22" i="10"/>
  <c r="AV22" i="10"/>
  <c r="AU22" i="10"/>
  <c r="AT22" i="10"/>
  <c r="AQ22" i="10"/>
  <c r="AO22" i="10"/>
  <c r="AN22" i="10"/>
  <c r="AP22" i="10" s="1"/>
  <c r="AZ22" i="10" s="1"/>
  <c r="BA22" i="10" s="1"/>
  <c r="BC22" i="10" s="1"/>
  <c r="AH22" i="10"/>
  <c r="AB22" i="10"/>
  <c r="AA22" i="10"/>
  <c r="AC22" i="10"/>
  <c r="O22" i="10"/>
  <c r="B22" i="10"/>
  <c r="J22" i="10" s="1"/>
  <c r="C22" i="10"/>
  <c r="BE19" i="10"/>
  <c r="BB19" i="10"/>
  <c r="AY19" i="10"/>
  <c r="AX19" i="10"/>
  <c r="AW19" i="10"/>
  <c r="AV19" i="10"/>
  <c r="AU19" i="10"/>
  <c r="AT19" i="10"/>
  <c r="AQ19" i="10"/>
  <c r="AO19" i="10"/>
  <c r="AN19" i="10"/>
  <c r="AP19" i="10" s="1"/>
  <c r="AZ19" i="10" s="1"/>
  <c r="AK19" i="10"/>
  <c r="AJ19" i="10"/>
  <c r="AH19" i="10"/>
  <c r="AB19" i="10"/>
  <c r="AA19" i="10"/>
  <c r="AC19" i="10" s="1"/>
  <c r="V19" i="10"/>
  <c r="AL19" i="10" s="1"/>
  <c r="O19" i="10"/>
  <c r="F19" i="10"/>
  <c r="T19" i="10" s="1"/>
  <c r="B19" i="10"/>
  <c r="BE18" i="10"/>
  <c r="BH18" i="10" s="1"/>
  <c r="BB18" i="10"/>
  <c r="AY18" i="10"/>
  <c r="AX18" i="10"/>
  <c r="AW18" i="10"/>
  <c r="AV18" i="10"/>
  <c r="AU18" i="10"/>
  <c r="AT18" i="10"/>
  <c r="AQ18" i="10"/>
  <c r="AO18" i="10"/>
  <c r="AN18" i="10"/>
  <c r="AP18" i="10" s="1"/>
  <c r="AZ18" i="10" s="1"/>
  <c r="AH18" i="10"/>
  <c r="AB18" i="10"/>
  <c r="AA18" i="10"/>
  <c r="AC18" i="10"/>
  <c r="V18" i="10"/>
  <c r="O18" i="10"/>
  <c r="F18" i="10"/>
  <c r="T18" i="10" s="1"/>
  <c r="B18" i="10"/>
  <c r="BE17" i="10"/>
  <c r="BH17" i="10" s="1"/>
  <c r="BB17" i="10"/>
  <c r="AY17" i="10"/>
  <c r="AX17" i="10"/>
  <c r="AW17" i="10"/>
  <c r="AV17" i="10"/>
  <c r="AU17" i="10"/>
  <c r="AT17" i="10"/>
  <c r="AQ17" i="10"/>
  <c r="AO17" i="10"/>
  <c r="AN17" i="10"/>
  <c r="AP17" i="10" s="1"/>
  <c r="AZ17" i="10" s="1"/>
  <c r="AH17" i="10"/>
  <c r="AB17" i="10"/>
  <c r="AA17" i="10"/>
  <c r="AC17" i="10" s="1"/>
  <c r="V17" i="10"/>
  <c r="O17" i="10"/>
  <c r="F17" i="10"/>
  <c r="B17" i="10"/>
  <c r="BL15" i="10"/>
  <c r="BB14" i="10"/>
  <c r="AY14" i="10"/>
  <c r="AX14" i="10"/>
  <c r="AW14" i="10"/>
  <c r="AV14" i="10"/>
  <c r="AU14" i="10"/>
  <c r="AT14" i="10"/>
  <c r="AO14" i="10"/>
  <c r="AH14" i="10"/>
  <c r="AB14" i="10"/>
  <c r="AA14" i="10"/>
  <c r="AC14" i="10" s="1"/>
  <c r="V14" i="10"/>
  <c r="AL14" i="10" s="1"/>
  <c r="I14" i="10"/>
  <c r="B14" i="10"/>
  <c r="C14" i="10"/>
  <c r="BB13" i="10"/>
  <c r="AY13" i="10"/>
  <c r="AX13" i="10"/>
  <c r="AW13" i="10"/>
  <c r="AV13" i="10"/>
  <c r="AU13" i="10"/>
  <c r="AT13" i="10"/>
  <c r="AO13" i="10"/>
  <c r="AH13" i="10"/>
  <c r="AB13" i="10"/>
  <c r="AA13" i="10"/>
  <c r="AC13" i="10" s="1"/>
  <c r="V13" i="10"/>
  <c r="I13" i="10"/>
  <c r="F13" i="10"/>
  <c r="B13" i="10"/>
  <c r="J13" i="10" s="1"/>
  <c r="BB12" i="10"/>
  <c r="AY12" i="10"/>
  <c r="AX12" i="10"/>
  <c r="AW12" i="10"/>
  <c r="AV12" i="10"/>
  <c r="AU12" i="10"/>
  <c r="AT12" i="10"/>
  <c r="AO12" i="10"/>
  <c r="AL12" i="10"/>
  <c r="AH12" i="10"/>
  <c r="AB12" i="10"/>
  <c r="AA12" i="10"/>
  <c r="AC12" i="10"/>
  <c r="V12" i="10"/>
  <c r="I12" i="10"/>
  <c r="F12" i="10" s="1"/>
  <c r="B12" i="10"/>
  <c r="C12" i="10"/>
  <c r="BB11" i="10"/>
  <c r="AY11" i="10"/>
  <c r="AX11" i="10"/>
  <c r="AW11" i="10"/>
  <c r="AV11" i="10"/>
  <c r="AU11" i="10"/>
  <c r="AT11" i="10"/>
  <c r="AO11" i="10"/>
  <c r="AL11" i="10"/>
  <c r="AH11" i="10"/>
  <c r="AB11" i="10"/>
  <c r="AA11" i="10"/>
  <c r="AC11" i="10" s="1"/>
  <c r="V11" i="10"/>
  <c r="I11" i="10"/>
  <c r="BE11" i="10" s="1"/>
  <c r="BG11" i="10" s="1"/>
  <c r="B11" i="10"/>
  <c r="J11" i="10" s="1"/>
  <c r="BB10" i="10"/>
  <c r="AY10" i="10"/>
  <c r="AX10" i="10"/>
  <c r="AW10" i="10"/>
  <c r="AV10" i="10"/>
  <c r="AU10" i="10"/>
  <c r="AT10" i="10"/>
  <c r="AO10" i="10"/>
  <c r="AH10" i="10"/>
  <c r="AB10" i="10"/>
  <c r="AA10" i="10"/>
  <c r="AC10" i="10"/>
  <c r="V10" i="10"/>
  <c r="AL10" i="10" s="1"/>
  <c r="I10" i="10"/>
  <c r="AQ10" i="10" s="1"/>
  <c r="B10" i="10"/>
  <c r="C10" i="10"/>
  <c r="K10" i="10" s="1"/>
  <c r="BB9" i="10"/>
  <c r="AY9" i="10"/>
  <c r="AX9" i="10"/>
  <c r="AW9" i="10"/>
  <c r="AV9" i="10"/>
  <c r="AU9" i="10"/>
  <c r="AT9" i="10"/>
  <c r="AO9" i="10"/>
  <c r="AH9" i="10"/>
  <c r="AB9" i="10"/>
  <c r="AA9" i="10"/>
  <c r="AC9" i="10" s="1"/>
  <c r="V9" i="10"/>
  <c r="AL9" i="10" s="1"/>
  <c r="I9" i="10"/>
  <c r="BE9" i="10" s="1"/>
  <c r="BG9" i="10" s="1"/>
  <c r="B9" i="10"/>
  <c r="J9" i="10" s="1"/>
  <c r="C9" i="10"/>
  <c r="K9" i="10" s="1"/>
  <c r="BE8" i="10"/>
  <c r="BG8" i="10" s="1"/>
  <c r="BB8" i="10"/>
  <c r="AY8" i="10"/>
  <c r="AX8" i="10"/>
  <c r="AW8" i="10"/>
  <c r="AV8" i="10"/>
  <c r="AU8" i="10"/>
  <c r="AT8" i="10"/>
  <c r="AQ8" i="10"/>
  <c r="AO8" i="10"/>
  <c r="AN8" i="10"/>
  <c r="AP8" i="10" s="1"/>
  <c r="AZ8" i="10" s="1"/>
  <c r="AH8" i="10"/>
  <c r="AB8" i="10"/>
  <c r="AA8" i="10"/>
  <c r="AC8" i="10"/>
  <c r="V8" i="10"/>
  <c r="AL8" i="10" s="1"/>
  <c r="O8" i="10"/>
  <c r="F8" i="10"/>
  <c r="T8" i="10" s="1"/>
  <c r="B8" i="10"/>
  <c r="BE7" i="10"/>
  <c r="BG7" i="10" s="1"/>
  <c r="BB7" i="10"/>
  <c r="AY7" i="10"/>
  <c r="AX7" i="10"/>
  <c r="AW7" i="10"/>
  <c r="AV7" i="10"/>
  <c r="AU7" i="10"/>
  <c r="AT7" i="10"/>
  <c r="AQ7" i="10"/>
  <c r="AO7" i="10"/>
  <c r="AN7" i="10"/>
  <c r="AP7" i="10" s="1"/>
  <c r="AZ7" i="10" s="1"/>
  <c r="AH7" i="10"/>
  <c r="AB7" i="10"/>
  <c r="AA7" i="10"/>
  <c r="AC7" i="10" s="1"/>
  <c r="V7" i="10"/>
  <c r="AL7" i="10" s="1"/>
  <c r="O7" i="10"/>
  <c r="J7" i="10"/>
  <c r="F7" i="10"/>
  <c r="C7" i="10"/>
  <c r="W55" i="23"/>
  <c r="W54" i="23"/>
  <c r="W53" i="23"/>
  <c r="AY52" i="23"/>
  <c r="BA52" i="23" s="1"/>
  <c r="AS52" i="23"/>
  <c r="AR52" i="23"/>
  <c r="AQ52" i="23"/>
  <c r="AO52" i="23"/>
  <c r="AN52" i="23"/>
  <c r="AL52" i="23"/>
  <c r="AI52" i="23"/>
  <c r="AF52" i="23"/>
  <c r="AB52" i="23"/>
  <c r="W52" i="23"/>
  <c r="S52" i="23"/>
  <c r="L52" i="23"/>
  <c r="I52" i="23"/>
  <c r="F52" i="23"/>
  <c r="Q52" i="23" s="1"/>
  <c r="B52" i="23"/>
  <c r="C52" i="23"/>
  <c r="AY51" i="23"/>
  <c r="BB51" i="23" s="1"/>
  <c r="AV51" i="23" s="1"/>
  <c r="AS51" i="23"/>
  <c r="AR51" i="23"/>
  <c r="AQ51" i="23"/>
  <c r="AO51" i="23"/>
  <c r="AN51" i="23"/>
  <c r="AL51" i="23"/>
  <c r="AI51" i="23"/>
  <c r="AF51" i="23"/>
  <c r="AB51" i="23"/>
  <c r="W51" i="23"/>
  <c r="S51" i="23"/>
  <c r="L51" i="23"/>
  <c r="I51" i="23"/>
  <c r="F51" i="23"/>
  <c r="B51" i="23"/>
  <c r="C51" i="23"/>
  <c r="AY50" i="23"/>
  <c r="BA50" i="23" s="1"/>
  <c r="AS50" i="23"/>
  <c r="AR50" i="23"/>
  <c r="AQ50" i="23"/>
  <c r="AO50" i="23"/>
  <c r="AN50" i="23"/>
  <c r="AL50" i="23"/>
  <c r="AI50" i="23"/>
  <c r="AF50" i="23"/>
  <c r="AB50" i="23"/>
  <c r="W50" i="23"/>
  <c r="S50" i="23"/>
  <c r="L50" i="23"/>
  <c r="I50" i="23"/>
  <c r="F50" i="23"/>
  <c r="Q50" i="23" s="1"/>
  <c r="B50" i="23"/>
  <c r="AY49" i="23"/>
  <c r="AH49" i="23" s="1"/>
  <c r="AJ49" i="23" s="1"/>
  <c r="AS49" i="23"/>
  <c r="AR49" i="23"/>
  <c r="AQ49" i="23"/>
  <c r="AO49" i="23"/>
  <c r="AN49" i="23"/>
  <c r="AL49" i="23"/>
  <c r="AI49" i="23"/>
  <c r="AB49" i="23"/>
  <c r="X49" i="23"/>
  <c r="W49" i="23"/>
  <c r="S49" i="23"/>
  <c r="L49" i="23"/>
  <c r="I49" i="23"/>
  <c r="F49" i="23"/>
  <c r="B49" i="23"/>
  <c r="C49" i="23" s="1"/>
  <c r="AS45" i="23"/>
  <c r="AR45" i="23"/>
  <c r="AQ45" i="23"/>
  <c r="AP45" i="23"/>
  <c r="AO45" i="23"/>
  <c r="AN45" i="23"/>
  <c r="AI45" i="23"/>
  <c r="AH45" i="23"/>
  <c r="AJ45" i="23" s="1"/>
  <c r="AD45" i="23"/>
  <c r="AB45" i="23"/>
  <c r="W45" i="23"/>
  <c r="S45" i="23"/>
  <c r="H45" i="23"/>
  <c r="AY45" i="23"/>
  <c r="BB45" i="23" s="1"/>
  <c r="AV45" i="23" s="1"/>
  <c r="B45" i="23"/>
  <c r="C45" i="23"/>
  <c r="AD44" i="23"/>
  <c r="X44" i="23"/>
  <c r="O44" i="23"/>
  <c r="E43" i="23"/>
  <c r="AS42" i="23"/>
  <c r="AR42" i="23"/>
  <c r="AQ42" i="23"/>
  <c r="AP42" i="23"/>
  <c r="AO42" i="23"/>
  <c r="AN42" i="23"/>
  <c r="AI42" i="23"/>
  <c r="AB42" i="23"/>
  <c r="X42" i="23"/>
  <c r="W42" i="23"/>
  <c r="T42" i="23"/>
  <c r="S42" i="23"/>
  <c r="H42" i="23"/>
  <c r="B42" i="23"/>
  <c r="C42" i="23"/>
  <c r="AS41" i="23"/>
  <c r="AR41" i="23"/>
  <c r="AQ41" i="23"/>
  <c r="AP41" i="23"/>
  <c r="AO41" i="23"/>
  <c r="AN41" i="23"/>
  <c r="AI41" i="23"/>
  <c r="AH41" i="23"/>
  <c r="AJ41" i="23" s="1"/>
  <c r="AT41" i="23" s="1"/>
  <c r="AB41" i="23"/>
  <c r="X41" i="23"/>
  <c r="W41" i="23"/>
  <c r="T41" i="23"/>
  <c r="S41" i="23"/>
  <c r="H41" i="23"/>
  <c r="G41" i="23" s="1"/>
  <c r="B41" i="23"/>
  <c r="C41" i="23"/>
  <c r="AS40" i="23"/>
  <c r="AR40" i="23"/>
  <c r="AQ40" i="23"/>
  <c r="AP40" i="23"/>
  <c r="AO40" i="23"/>
  <c r="AN40" i="23"/>
  <c r="AI40" i="23"/>
  <c r="AB40" i="23"/>
  <c r="X40" i="23"/>
  <c r="W40" i="23"/>
  <c r="T40" i="23"/>
  <c r="S40" i="23"/>
  <c r="H40" i="23"/>
  <c r="G40" i="23"/>
  <c r="B40" i="23"/>
  <c r="C40" i="23" s="1"/>
  <c r="AS39" i="23"/>
  <c r="AR39" i="23"/>
  <c r="AQ39" i="23"/>
  <c r="AP39" i="23"/>
  <c r="AO39" i="23"/>
  <c r="AN39" i="23"/>
  <c r="AI39" i="23"/>
  <c r="AH39" i="23"/>
  <c r="AJ39" i="23" s="1"/>
  <c r="AT39" i="23" s="1"/>
  <c r="AE39" i="23"/>
  <c r="AE40" i="23"/>
  <c r="AB39" i="23"/>
  <c r="X39" i="23"/>
  <c r="W39" i="23"/>
  <c r="T39" i="23"/>
  <c r="S39" i="23"/>
  <c r="H39" i="23"/>
  <c r="I39" i="23" s="1"/>
  <c r="B39" i="23"/>
  <c r="C39" i="23" s="1"/>
  <c r="AS38" i="23"/>
  <c r="AR38" i="23"/>
  <c r="AQ38" i="23"/>
  <c r="AP38" i="23"/>
  <c r="AO38" i="23"/>
  <c r="AN38" i="23"/>
  <c r="AI38" i="23"/>
  <c r="AH38" i="23"/>
  <c r="AJ38" i="23" s="1"/>
  <c r="AT38" i="23" s="1"/>
  <c r="AE38" i="23"/>
  <c r="AB38" i="23"/>
  <c r="X38" i="23"/>
  <c r="W38" i="23"/>
  <c r="T38" i="23"/>
  <c r="S38" i="23"/>
  <c r="AF38" i="23" s="1"/>
  <c r="H38" i="23"/>
  <c r="B38" i="23"/>
  <c r="C38" i="23" s="1"/>
  <c r="AS37" i="23"/>
  <c r="AR37" i="23"/>
  <c r="AQ37" i="23"/>
  <c r="AP37" i="23"/>
  <c r="AO37" i="23"/>
  <c r="AN37" i="23"/>
  <c r="AI37" i="23"/>
  <c r="AH37" i="23"/>
  <c r="AJ37" i="23" s="1"/>
  <c r="AT37" i="23" s="1"/>
  <c r="AB37" i="23"/>
  <c r="X37" i="23"/>
  <c r="W37" i="23"/>
  <c r="T37" i="23"/>
  <c r="S37" i="23"/>
  <c r="AF37" i="23" s="1"/>
  <c r="H37" i="23"/>
  <c r="F37" i="23" s="1"/>
  <c r="Q37" i="23" s="1"/>
  <c r="AD36" i="23"/>
  <c r="X36" i="23"/>
  <c r="O36" i="23"/>
  <c r="AS34" i="23"/>
  <c r="AR34" i="23"/>
  <c r="AQ34" i="23"/>
  <c r="AO34" i="23"/>
  <c r="AN34" i="23"/>
  <c r="AI34" i="23"/>
  <c r="AB34" i="23"/>
  <c r="X34" i="23"/>
  <c r="W34" i="23"/>
  <c r="T34" i="23"/>
  <c r="S34" i="23"/>
  <c r="H34" i="23"/>
  <c r="L34" i="23" s="1"/>
  <c r="B34" i="23"/>
  <c r="B37" i="23" s="1"/>
  <c r="C37" i="23" s="1"/>
  <c r="AS33" i="23"/>
  <c r="AR33" i="23"/>
  <c r="AQ33" i="23"/>
  <c r="AO33" i="23"/>
  <c r="AN33" i="23"/>
  <c r="AI33" i="23"/>
  <c r="AE33" i="23"/>
  <c r="AF33" i="23" s="1"/>
  <c r="AB33" i="23"/>
  <c r="X33" i="23"/>
  <c r="W33" i="23"/>
  <c r="T33" i="23"/>
  <c r="S33" i="23"/>
  <c r="H33" i="23"/>
  <c r="B33" i="23"/>
  <c r="C33" i="23" s="1"/>
  <c r="AS32" i="23"/>
  <c r="AR32" i="23"/>
  <c r="AQ32" i="23"/>
  <c r="AO32" i="23"/>
  <c r="AN32" i="23"/>
  <c r="AI32" i="23"/>
  <c r="AE32" i="23"/>
  <c r="AF32" i="23" s="1"/>
  <c r="AB32" i="23"/>
  <c r="X32" i="23"/>
  <c r="W32" i="23"/>
  <c r="T32" i="23"/>
  <c r="S32" i="23"/>
  <c r="H32" i="23"/>
  <c r="B32" i="23"/>
  <c r="C32" i="23" s="1"/>
  <c r="AS31" i="23"/>
  <c r="AR31" i="23"/>
  <c r="AQ31" i="23"/>
  <c r="AO31" i="23"/>
  <c r="AN31" i="23"/>
  <c r="AI31" i="23"/>
  <c r="AF31" i="23"/>
  <c r="AB31" i="23"/>
  <c r="X31" i="23"/>
  <c r="W31" i="23"/>
  <c r="T31" i="23"/>
  <c r="S31" i="23"/>
  <c r="H31" i="23"/>
  <c r="B31" i="23"/>
  <c r="AS30" i="23"/>
  <c r="AR30" i="23"/>
  <c r="AQ30" i="23"/>
  <c r="AO30" i="23"/>
  <c r="AN30" i="23"/>
  <c r="AI30" i="23"/>
  <c r="AF30" i="23"/>
  <c r="AB30" i="23"/>
  <c r="X30" i="23"/>
  <c r="W30" i="23"/>
  <c r="T30" i="23"/>
  <c r="S30" i="23"/>
  <c r="H30" i="23"/>
  <c r="B30" i="23"/>
  <c r="AS29" i="23"/>
  <c r="AR29" i="23"/>
  <c r="AQ29" i="23"/>
  <c r="AO29" i="23"/>
  <c r="AN29" i="23"/>
  <c r="AI29" i="23"/>
  <c r="AF29" i="23"/>
  <c r="AB29" i="23"/>
  <c r="X29" i="23"/>
  <c r="W29" i="23"/>
  <c r="T29" i="23"/>
  <c r="S29" i="23"/>
  <c r="H29" i="23"/>
  <c r="B29" i="23"/>
  <c r="AS28" i="23"/>
  <c r="AR28" i="23"/>
  <c r="AQ28" i="23"/>
  <c r="AO28" i="23"/>
  <c r="AN28" i="23"/>
  <c r="AI28" i="23"/>
  <c r="AE28" i="23"/>
  <c r="AF28" i="23" s="1"/>
  <c r="AB28" i="23"/>
  <c r="X28" i="23"/>
  <c r="W28" i="23"/>
  <c r="T28" i="23"/>
  <c r="S28" i="23"/>
  <c r="H28" i="23"/>
  <c r="B28" i="23"/>
  <c r="C28" i="23"/>
  <c r="AS27" i="23"/>
  <c r="AR27" i="23"/>
  <c r="AQ27" i="23"/>
  <c r="AO27" i="23"/>
  <c r="AN27" i="23"/>
  <c r="AI27" i="23"/>
  <c r="AE27" i="23"/>
  <c r="AF27" i="23" s="1"/>
  <c r="AB27" i="23"/>
  <c r="X27" i="23"/>
  <c r="W27" i="23"/>
  <c r="T27" i="23"/>
  <c r="S27" i="23"/>
  <c r="H27" i="23"/>
  <c r="L27" i="23" s="1"/>
  <c r="B27" i="23"/>
  <c r="AY26" i="23"/>
  <c r="BB26" i="23" s="1"/>
  <c r="AV26" i="23" s="1"/>
  <c r="AS26" i="23"/>
  <c r="AR26" i="23"/>
  <c r="AQ26" i="23"/>
  <c r="AO26" i="23"/>
  <c r="AN26" i="23"/>
  <c r="AL26" i="23"/>
  <c r="AI26" i="23"/>
  <c r="AE26" i="23"/>
  <c r="AD26" i="23"/>
  <c r="AF26" i="23"/>
  <c r="AB26" i="23"/>
  <c r="X26" i="23"/>
  <c r="W26" i="23"/>
  <c r="T26" i="23"/>
  <c r="S26" i="23"/>
  <c r="L26" i="23"/>
  <c r="I26" i="23"/>
  <c r="G26" i="23"/>
  <c r="F26" i="23"/>
  <c r="Q26" i="23" s="1"/>
  <c r="B26" i="23"/>
  <c r="C26" i="23" s="1"/>
  <c r="AY25" i="23"/>
  <c r="BA25" i="23" s="1"/>
  <c r="AS25" i="23"/>
  <c r="AR25" i="23"/>
  <c r="AQ25" i="23"/>
  <c r="AO25" i="23"/>
  <c r="AN25" i="23"/>
  <c r="AL25" i="23"/>
  <c r="AI25" i="23"/>
  <c r="AE25" i="23"/>
  <c r="AF25" i="23"/>
  <c r="AB25" i="23"/>
  <c r="X25" i="23"/>
  <c r="W25" i="23"/>
  <c r="T25" i="23"/>
  <c r="S25" i="23"/>
  <c r="L25" i="23"/>
  <c r="I25" i="23"/>
  <c r="G25" i="23"/>
  <c r="F25" i="23"/>
  <c r="Q25" i="23" s="1"/>
  <c r="B25" i="23"/>
  <c r="X24" i="23"/>
  <c r="T24" i="23"/>
  <c r="AY22" i="23"/>
  <c r="BA22" i="23" s="1"/>
  <c r="AS22" i="23"/>
  <c r="AR22" i="23"/>
  <c r="AQ22" i="23"/>
  <c r="AO22" i="23"/>
  <c r="AN22" i="23"/>
  <c r="AL22" i="23"/>
  <c r="AI22" i="23"/>
  <c r="AH22" i="23"/>
  <c r="AJ22" i="23" s="1"/>
  <c r="AT22" i="23" s="1"/>
  <c r="AF22" i="23"/>
  <c r="AB22" i="23"/>
  <c r="W22" i="23"/>
  <c r="S22" i="23"/>
  <c r="L22" i="23"/>
  <c r="I22" i="23"/>
  <c r="G22" i="23"/>
  <c r="F22" i="23"/>
  <c r="Q22" i="23" s="1"/>
  <c r="B22" i="23"/>
  <c r="C22" i="23" s="1"/>
  <c r="AY21" i="23"/>
  <c r="AS21" i="23"/>
  <c r="AR21" i="23"/>
  <c r="AQ21" i="23"/>
  <c r="AO21" i="23"/>
  <c r="AN21" i="23"/>
  <c r="AL21" i="23"/>
  <c r="AI21" i="23"/>
  <c r="AH21" i="23"/>
  <c r="AJ21" i="23" s="1"/>
  <c r="AT21" i="23" s="1"/>
  <c r="AF21" i="23"/>
  <c r="AB21" i="23"/>
  <c r="W21" i="23"/>
  <c r="S21" i="23"/>
  <c r="L21" i="23"/>
  <c r="I21" i="23"/>
  <c r="G21" i="23"/>
  <c r="F21" i="23"/>
  <c r="Q21" i="23" s="1"/>
  <c r="B21" i="23"/>
  <c r="C21" i="23" s="1"/>
  <c r="BE20" i="23"/>
  <c r="X20" i="23"/>
  <c r="T20" i="23"/>
  <c r="E19" i="23"/>
  <c r="AY18" i="23"/>
  <c r="BB18" i="23" s="1"/>
  <c r="AV18" i="23" s="1"/>
  <c r="AS18" i="23"/>
  <c r="AR18" i="23"/>
  <c r="AQ18" i="23"/>
  <c r="AO18" i="23"/>
  <c r="AN18" i="23"/>
  <c r="AL18" i="23"/>
  <c r="AI18" i="23"/>
  <c r="AB18" i="23"/>
  <c r="X18" i="23"/>
  <c r="W18" i="23"/>
  <c r="T18" i="23"/>
  <c r="S18" i="23"/>
  <c r="L18" i="23"/>
  <c r="I18" i="23"/>
  <c r="G18" i="23"/>
  <c r="F18" i="23"/>
  <c r="B18" i="23"/>
  <c r="C18" i="23"/>
  <c r="AY17" i="23"/>
  <c r="BB17" i="23" s="1"/>
  <c r="AV17" i="23" s="1"/>
  <c r="AS17" i="23"/>
  <c r="AR17" i="23"/>
  <c r="AQ17" i="23"/>
  <c r="AP17" i="23"/>
  <c r="AO17" i="23"/>
  <c r="AN17" i="23"/>
  <c r="AL17" i="23"/>
  <c r="AI17" i="23"/>
  <c r="AH17" i="23"/>
  <c r="AJ17" i="23" s="1"/>
  <c r="AT17" i="23" s="1"/>
  <c r="AF17" i="23"/>
  <c r="AB17" i="23"/>
  <c r="X17" i="23"/>
  <c r="W17" i="23"/>
  <c r="T17" i="23"/>
  <c r="S17" i="23"/>
  <c r="L17" i="23"/>
  <c r="I17" i="23"/>
  <c r="G17" i="23"/>
  <c r="F17" i="23"/>
  <c r="Q17" i="23" s="1"/>
  <c r="B17" i="23"/>
  <c r="C17" i="23"/>
  <c r="AY16" i="23"/>
  <c r="BA16" i="23" s="1"/>
  <c r="AS16" i="23"/>
  <c r="AR16" i="23"/>
  <c r="AQ16" i="23"/>
  <c r="AP16" i="23"/>
  <c r="AO16" i="23"/>
  <c r="AN16" i="23"/>
  <c r="AL16" i="23"/>
  <c r="AI16" i="23"/>
  <c r="AH16" i="23"/>
  <c r="AJ16" i="23" s="1"/>
  <c r="AT16" i="23" s="1"/>
  <c r="AB16" i="23"/>
  <c r="X16" i="23"/>
  <c r="W16" i="23"/>
  <c r="T16" i="23"/>
  <c r="S16" i="23"/>
  <c r="AF16" i="23" s="1"/>
  <c r="L16" i="23"/>
  <c r="I16" i="23"/>
  <c r="G16" i="23"/>
  <c r="F16" i="23"/>
  <c r="Q16" i="23" s="1"/>
  <c r="B16" i="23"/>
  <c r="C16" i="23" s="1"/>
  <c r="BF15" i="23"/>
  <c r="AK15" i="23"/>
  <c r="AK20" i="23" s="1"/>
  <c r="AK24" i="23"/>
  <c r="AK44" i="23" s="1"/>
  <c r="AK36" i="23"/>
  <c r="X15" i="23"/>
  <c r="BJ13" i="23"/>
  <c r="BL17" i="23" s="1"/>
  <c r="AS13" i="23"/>
  <c r="AR13" i="23"/>
  <c r="AQ13" i="23"/>
  <c r="AO13" i="23"/>
  <c r="AN13" i="23"/>
  <c r="AI13" i="23"/>
  <c r="AB13" i="23"/>
  <c r="W13" i="23"/>
  <c r="S13" i="23"/>
  <c r="H13" i="23"/>
  <c r="I13" i="23"/>
  <c r="B13" i="23"/>
  <c r="C13" i="23"/>
  <c r="BM12" i="23"/>
  <c r="BF12" i="23"/>
  <c r="AP28" i="23" s="1"/>
  <c r="AS12" i="23"/>
  <c r="AR12" i="23"/>
  <c r="AQ12" i="23"/>
  <c r="AP12" i="23"/>
  <c r="AO12" i="23"/>
  <c r="AN12" i="23"/>
  <c r="AI12" i="23"/>
  <c r="AH12" i="23"/>
  <c r="AJ12" i="23" s="1"/>
  <c r="AT12" i="23" s="1"/>
  <c r="AF12" i="23"/>
  <c r="AB12" i="23"/>
  <c r="W12" i="23"/>
  <c r="S12" i="23"/>
  <c r="H12" i="23"/>
  <c r="AY12" i="23"/>
  <c r="BA12" i="23" s="1"/>
  <c r="B12" i="23"/>
  <c r="C12" i="23"/>
  <c r="AS11" i="23"/>
  <c r="AR11" i="23"/>
  <c r="AQ11" i="23"/>
  <c r="AP11" i="23"/>
  <c r="AO11" i="23"/>
  <c r="AN11" i="23"/>
  <c r="AI11" i="23"/>
  <c r="AB11" i="23"/>
  <c r="W11" i="23"/>
  <c r="S11" i="23"/>
  <c r="AF11" i="23" s="1"/>
  <c r="H11" i="23"/>
  <c r="AY11" i="23"/>
  <c r="AH11" i="23" s="1"/>
  <c r="AJ11" i="23" s="1"/>
  <c r="B11" i="23"/>
  <c r="C11" i="23" s="1"/>
  <c r="AS10" i="23"/>
  <c r="AR10" i="23"/>
  <c r="AQ10" i="23"/>
  <c r="AP10" i="23"/>
  <c r="AO10" i="23"/>
  <c r="AN10" i="23"/>
  <c r="AI10" i="23"/>
  <c r="AF10" i="23"/>
  <c r="AB10" i="23"/>
  <c r="W10" i="23"/>
  <c r="S10" i="23"/>
  <c r="H10" i="23"/>
  <c r="B10" i="23"/>
  <c r="AS9" i="23"/>
  <c r="AR9" i="23"/>
  <c r="AQ9" i="23"/>
  <c r="AP9" i="23"/>
  <c r="AO9" i="23"/>
  <c r="AN9" i="23"/>
  <c r="AI9" i="23"/>
  <c r="AH9" i="23"/>
  <c r="AB9" i="23"/>
  <c r="W9" i="23"/>
  <c r="S9" i="23"/>
  <c r="H9" i="23"/>
  <c r="B9" i="23"/>
  <c r="C9" i="23"/>
  <c r="AY8" i="23"/>
  <c r="BA8" i="23" s="1"/>
  <c r="AS8" i="23"/>
  <c r="AR8" i="23"/>
  <c r="AQ8" i="23"/>
  <c r="AP8" i="23"/>
  <c r="AO8" i="23"/>
  <c r="AN8" i="23"/>
  <c r="AL8" i="23"/>
  <c r="AI8" i="23"/>
  <c r="AH8" i="23"/>
  <c r="AB8" i="23"/>
  <c r="W8" i="23"/>
  <c r="S8" i="23"/>
  <c r="AF8" i="23" s="1"/>
  <c r="L8" i="23"/>
  <c r="I8" i="23"/>
  <c r="G8" i="23"/>
  <c r="F8" i="23"/>
  <c r="Q8" i="23" s="1"/>
  <c r="B8" i="23"/>
  <c r="AY7" i="23"/>
  <c r="AS7" i="23"/>
  <c r="AR7" i="23"/>
  <c r="AQ7" i="23"/>
  <c r="AP7" i="23"/>
  <c r="AO7" i="23"/>
  <c r="AN7" i="23"/>
  <c r="AL7" i="23"/>
  <c r="AI7" i="23"/>
  <c r="AH7" i="23"/>
  <c r="AJ7" i="23" s="1"/>
  <c r="AB7" i="23"/>
  <c r="W7" i="23"/>
  <c r="S7" i="23"/>
  <c r="L7" i="23"/>
  <c r="I7" i="23"/>
  <c r="G7" i="23"/>
  <c r="F7" i="23"/>
  <c r="C7" i="23"/>
  <c r="AH4" i="23"/>
  <c r="AI1" i="23"/>
  <c r="X1" i="23"/>
  <c r="AF127" i="39"/>
  <c r="AF128" i="39" s="1"/>
  <c r="AF129" i="39" s="1"/>
  <c r="AF130" i="39" s="1"/>
  <c r="F127" i="39"/>
  <c r="AL121" i="39"/>
  <c r="AL120" i="39"/>
  <c r="BE116" i="39"/>
  <c r="AK114" i="39"/>
  <c r="P104" i="39"/>
  <c r="AE95" i="39"/>
  <c r="AB94" i="39"/>
  <c r="AB93" i="39"/>
  <c r="AB91" i="39"/>
  <c r="D91" i="39"/>
  <c r="E91" i="39"/>
  <c r="AD90" i="39"/>
  <c r="AB90" i="39"/>
  <c r="AA90" i="39"/>
  <c r="Z89" i="39"/>
  <c r="BC85" i="39"/>
  <c r="AR85" i="39"/>
  <c r="AQ85" i="39"/>
  <c r="AO85" i="39"/>
  <c r="AM85" i="39"/>
  <c r="AI85" i="39"/>
  <c r="AE85" i="39"/>
  <c r="AA85" i="39"/>
  <c r="W85" i="39"/>
  <c r="U85" i="39"/>
  <c r="B85" i="39"/>
  <c r="E85" i="39" s="1"/>
  <c r="AS83" i="39"/>
  <c r="AQ83" i="39"/>
  <c r="AO83" i="39"/>
  <c r="AN83" i="39"/>
  <c r="AM83" i="39"/>
  <c r="AL83" i="39"/>
  <c r="AF83" i="39"/>
  <c r="AI83" i="39"/>
  <c r="AD83" i="39"/>
  <c r="AA83" i="39"/>
  <c r="W83" i="39"/>
  <c r="T83" i="39"/>
  <c r="AS82" i="39"/>
  <c r="AQ82" i="39"/>
  <c r="AO82" i="39"/>
  <c r="AM82" i="39"/>
  <c r="AD82" i="39"/>
  <c r="AA82" i="39"/>
  <c r="W82" i="39"/>
  <c r="T82" i="39"/>
  <c r="AS81" i="39"/>
  <c r="AQ81" i="39"/>
  <c r="AO81" i="39"/>
  <c r="AM81" i="39"/>
  <c r="AF81" i="39"/>
  <c r="AD81" i="39"/>
  <c r="W81" i="39"/>
  <c r="T81" i="39"/>
  <c r="AE81" i="39" s="1"/>
  <c r="AS80" i="39"/>
  <c r="AR80" i="39"/>
  <c r="AQ80" i="39"/>
  <c r="AO80" i="39"/>
  <c r="AM80" i="39"/>
  <c r="AF80" i="39"/>
  <c r="AD80" i="39"/>
  <c r="AA80" i="39"/>
  <c r="W80" i="39"/>
  <c r="T80" i="39"/>
  <c r="AS79" i="39"/>
  <c r="AR79" i="39"/>
  <c r="AQ79" i="39"/>
  <c r="AO79" i="39"/>
  <c r="AM79" i="39"/>
  <c r="AF79" i="39"/>
  <c r="AD79" i="39"/>
  <c r="AA79" i="39"/>
  <c r="W79" i="39"/>
  <c r="T79" i="39"/>
  <c r="AE79" i="39" s="1"/>
  <c r="AS78" i="39"/>
  <c r="AR78" i="39"/>
  <c r="AQ78" i="39"/>
  <c r="AO78" i="39"/>
  <c r="AM78" i="39"/>
  <c r="AF78" i="39"/>
  <c r="AD78" i="39"/>
  <c r="AA78" i="39"/>
  <c r="W78" i="39"/>
  <c r="T78" i="39"/>
  <c r="AS77" i="39"/>
  <c r="AR77" i="39"/>
  <c r="AQ77" i="39"/>
  <c r="AO77" i="39"/>
  <c r="AM77" i="39"/>
  <c r="AF77" i="39"/>
  <c r="AD77" i="39"/>
  <c r="AA77" i="39"/>
  <c r="W77" i="39"/>
  <c r="T77" i="39"/>
  <c r="AE77" i="39" s="1"/>
  <c r="AS76" i="39"/>
  <c r="AR76" i="39"/>
  <c r="AR83" i="39" s="1"/>
  <c r="AQ76" i="39"/>
  <c r="AO76" i="39"/>
  <c r="AM76" i="39"/>
  <c r="AF76" i="39"/>
  <c r="AD76" i="39"/>
  <c r="AA76" i="39"/>
  <c r="W76" i="39"/>
  <c r="T76" i="39"/>
  <c r="AE76" i="39" s="1"/>
  <c r="AR75" i="39"/>
  <c r="AQ75" i="39"/>
  <c r="AO75" i="39"/>
  <c r="AM75" i="39"/>
  <c r="AB75" i="39"/>
  <c r="AI75" i="39" s="1"/>
  <c r="AA75" i="39"/>
  <c r="W75" i="39"/>
  <c r="BB73" i="39"/>
  <c r="AS73" i="39"/>
  <c r="AR73" i="39"/>
  <c r="AQ73" i="39"/>
  <c r="AO73" i="39"/>
  <c r="AM73" i="39"/>
  <c r="AL73" i="39"/>
  <c r="D73" i="39" s="1"/>
  <c r="E73" i="39" s="1"/>
  <c r="AD73" i="39"/>
  <c r="AE73" i="39" s="1"/>
  <c r="AA73" i="39"/>
  <c r="W73" i="39"/>
  <c r="B73" i="39"/>
  <c r="AT71" i="39"/>
  <c r="AO71" i="39"/>
  <c r="AM71" i="39"/>
  <c r="AL71" i="39"/>
  <c r="D71" i="39" s="1"/>
  <c r="AI71" i="39"/>
  <c r="BI71" i="39" s="1"/>
  <c r="U71" i="39"/>
  <c r="AT70" i="39"/>
  <c r="AO70" i="39"/>
  <c r="AM70" i="39"/>
  <c r="AL70" i="39"/>
  <c r="D70" i="39" s="1"/>
  <c r="AI70" i="39"/>
  <c r="BI70" i="39" s="1"/>
  <c r="BI72" i="39" s="1"/>
  <c r="W70" i="39"/>
  <c r="U70" i="39"/>
  <c r="BO69" i="39"/>
  <c r="BK68" i="39"/>
  <c r="BO68" i="39"/>
  <c r="BJ68" i="39"/>
  <c r="AT67" i="39"/>
  <c r="AO67" i="39"/>
  <c r="AM67" i="39"/>
  <c r="AL67" i="39"/>
  <c r="D67" i="39" s="1"/>
  <c r="AI67" i="39"/>
  <c r="BI67" i="39"/>
  <c r="W67" i="39"/>
  <c r="U67" i="39"/>
  <c r="BO66" i="39"/>
  <c r="BE66" i="39"/>
  <c r="AG66" i="39"/>
  <c r="AJ66" i="39"/>
  <c r="AC66" i="39"/>
  <c r="W66" i="39"/>
  <c r="BK65" i="39"/>
  <c r="BO65" i="39"/>
  <c r="BJ65" i="39"/>
  <c r="AQ64" i="39"/>
  <c r="AO64" i="39"/>
  <c r="AM64" i="39"/>
  <c r="T64" i="39"/>
  <c r="AR63" i="39"/>
  <c r="AR64" i="39"/>
  <c r="AQ63" i="39"/>
  <c r="AO63" i="39"/>
  <c r="AM63" i="39"/>
  <c r="AD63" i="39"/>
  <c r="AB63" i="39"/>
  <c r="AB64" i="39" s="1"/>
  <c r="AI63" i="39"/>
  <c r="BI63" i="39" s="1"/>
  <c r="W63" i="39"/>
  <c r="W64" i="39"/>
  <c r="U63" i="39"/>
  <c r="T63" i="39"/>
  <c r="BB62" i="39"/>
  <c r="AQ62" i="39"/>
  <c r="AO62" i="39"/>
  <c r="AM62" i="39"/>
  <c r="AD62" i="39"/>
  <c r="AB62" i="39"/>
  <c r="AA62" i="39"/>
  <c r="T62" i="39"/>
  <c r="BB61" i="39"/>
  <c r="AQ61" i="39"/>
  <c r="AO61" i="39"/>
  <c r="AM61" i="39"/>
  <c r="AD61" i="39"/>
  <c r="AE61" i="39" s="1"/>
  <c r="AB61" i="39"/>
  <c r="AA61" i="39"/>
  <c r="T61" i="39"/>
  <c r="BB60" i="39"/>
  <c r="AR60" i="39"/>
  <c r="AR61" i="39" s="1"/>
  <c r="AR62" i="39" s="1"/>
  <c r="AQ60" i="39"/>
  <c r="AO60" i="39"/>
  <c r="AM60" i="39"/>
  <c r="AL60" i="39"/>
  <c r="D60" i="39" s="1"/>
  <c r="AI60" i="39"/>
  <c r="BI60" i="39"/>
  <c r="AE60" i="39"/>
  <c r="BH60" i="39"/>
  <c r="AA60" i="39"/>
  <c r="W60" i="39"/>
  <c r="W61" i="39"/>
  <c r="W62" i="39"/>
  <c r="U60" i="39"/>
  <c r="T60" i="39"/>
  <c r="AQ59" i="39"/>
  <c r="AO59" i="39"/>
  <c r="AN59" i="39"/>
  <c r="AL59" i="39" s="1"/>
  <c r="D59" i="39" s="1"/>
  <c r="AM59" i="39"/>
  <c r="AF59" i="39"/>
  <c r="AI59" i="39" s="1"/>
  <c r="BI59" i="39" s="1"/>
  <c r="AA59" i="39"/>
  <c r="T59" i="39"/>
  <c r="AE59" i="39" s="1"/>
  <c r="BH59" i="39" s="1"/>
  <c r="AS58" i="39"/>
  <c r="AQ58" i="39"/>
  <c r="AO58" i="39"/>
  <c r="AN58" i="39"/>
  <c r="AL58" i="39" s="1"/>
  <c r="AM58" i="39"/>
  <c r="AF58" i="39"/>
  <c r="AA58" i="39"/>
  <c r="T58" i="39"/>
  <c r="BB57" i="39"/>
  <c r="BB59" i="39" s="1"/>
  <c r="AS57" i="39"/>
  <c r="AQ57" i="39"/>
  <c r="AO57" i="39"/>
  <c r="AM57" i="39"/>
  <c r="AD57" i="39"/>
  <c r="AB57" i="39"/>
  <c r="AI57" i="39" s="1"/>
  <c r="BI57" i="39" s="1"/>
  <c r="AA57" i="39"/>
  <c r="W57" i="39"/>
  <c r="U57" i="39"/>
  <c r="T57" i="39"/>
  <c r="AE57" i="39" s="1"/>
  <c r="BH57" i="39" s="1"/>
  <c r="AS56" i="39"/>
  <c r="AQ56" i="39"/>
  <c r="AO56" i="39"/>
  <c r="AM56" i="39"/>
  <c r="AF56" i="39"/>
  <c r="AD56" i="39"/>
  <c r="W56" i="39"/>
  <c r="U56" i="39"/>
  <c r="T56" i="39"/>
  <c r="BB55" i="39"/>
  <c r="AS55" i="39"/>
  <c r="AR55" i="39"/>
  <c r="AQ55" i="39"/>
  <c r="AO55" i="39"/>
  <c r="AM55" i="39"/>
  <c r="AF55" i="39"/>
  <c r="AD55" i="39"/>
  <c r="AA55" i="39"/>
  <c r="W55" i="39"/>
  <c r="U55" i="39"/>
  <c r="T55" i="39"/>
  <c r="BB54" i="39"/>
  <c r="AS54" i="39"/>
  <c r="AR54" i="39"/>
  <c r="AQ54" i="39"/>
  <c r="AO54" i="39"/>
  <c r="AM54" i="39"/>
  <c r="AF54" i="39"/>
  <c r="AD54" i="39"/>
  <c r="AA54" i="39"/>
  <c r="W54" i="39"/>
  <c r="U54" i="39"/>
  <c r="T54" i="39"/>
  <c r="AE54" i="39" s="1"/>
  <c r="BH54" i="39" s="1"/>
  <c r="BB53" i="39"/>
  <c r="AS53" i="39"/>
  <c r="AR53" i="39"/>
  <c r="AQ53" i="39"/>
  <c r="AO53" i="39"/>
  <c r="AM53" i="39"/>
  <c r="AF53" i="39"/>
  <c r="AD53" i="39"/>
  <c r="AA53" i="39"/>
  <c r="W53" i="39"/>
  <c r="U53" i="39"/>
  <c r="T53" i="39"/>
  <c r="AE53" i="39" s="1"/>
  <c r="BH53" i="39" s="1"/>
  <c r="BB52" i="39"/>
  <c r="AS52" i="39"/>
  <c r="AR52" i="39"/>
  <c r="AQ52" i="39"/>
  <c r="AO52" i="39"/>
  <c r="AM52" i="39"/>
  <c r="AF52" i="39"/>
  <c r="AD52" i="39"/>
  <c r="AA52" i="39"/>
  <c r="AA71" i="39"/>
  <c r="W52" i="39"/>
  <c r="U52" i="39"/>
  <c r="T52" i="39"/>
  <c r="BB51" i="39"/>
  <c r="AS51" i="39"/>
  <c r="AR51" i="39"/>
  <c r="AR59" i="39"/>
  <c r="AQ51" i="39"/>
  <c r="AO51" i="39"/>
  <c r="AM51" i="39"/>
  <c r="AF51" i="39"/>
  <c r="AD51" i="39"/>
  <c r="AB51" i="39"/>
  <c r="AL51" i="39" s="1"/>
  <c r="AA51" i="39"/>
  <c r="AA70" i="39" s="1"/>
  <c r="W51" i="39"/>
  <c r="U51" i="39"/>
  <c r="T51" i="39"/>
  <c r="AE51" i="39" s="1"/>
  <c r="BH51" i="39" s="1"/>
  <c r="BB50" i="39"/>
  <c r="AS50" i="39"/>
  <c r="AS67" i="39"/>
  <c r="AR50" i="39"/>
  <c r="AR58" i="39" s="1"/>
  <c r="AQ50" i="39"/>
  <c r="AI50" i="39"/>
  <c r="BI50" i="39"/>
  <c r="AA50" i="39"/>
  <c r="AA67" i="39"/>
  <c r="W50" i="39"/>
  <c r="U50" i="39"/>
  <c r="T50" i="39"/>
  <c r="T67" i="39" s="1"/>
  <c r="D50" i="39"/>
  <c r="A50" i="39"/>
  <c r="BO49" i="39"/>
  <c r="BG49" i="39"/>
  <c r="BG66" i="39"/>
  <c r="BF49" i="39"/>
  <c r="BF66" i="39" s="1"/>
  <c r="AX49" i="39"/>
  <c r="AX66" i="39"/>
  <c r="AL49" i="39"/>
  <c r="AH49" i="39"/>
  <c r="AK49" i="39" s="1"/>
  <c r="AG49" i="39"/>
  <c r="AJ49" i="39"/>
  <c r="AC49" i="39"/>
  <c r="W49" i="39"/>
  <c r="BO48" i="39"/>
  <c r="AS47" i="39"/>
  <c r="AO47" i="39"/>
  <c r="AM47" i="39"/>
  <c r="AL47" i="39"/>
  <c r="BJ47" i="39" s="1"/>
  <c r="AI47" i="39"/>
  <c r="BI47" i="39" s="1"/>
  <c r="AD47" i="39"/>
  <c r="W47" i="39"/>
  <c r="U47" i="39"/>
  <c r="T47" i="39"/>
  <c r="BB46" i="39"/>
  <c r="AS46" i="39"/>
  <c r="AQ46" i="39"/>
  <c r="AO46" i="39"/>
  <c r="AM46" i="39"/>
  <c r="AB46" i="39"/>
  <c r="AA46" i="39"/>
  <c r="AA36" i="39" s="1"/>
  <c r="W46" i="39"/>
  <c r="U46" i="39"/>
  <c r="T46" i="39"/>
  <c r="BE45" i="39"/>
  <c r="BB45" i="39"/>
  <c r="AS45" i="39"/>
  <c r="AQ45" i="39"/>
  <c r="AO45" i="39"/>
  <c r="AM45" i="39"/>
  <c r="AA45" i="39"/>
  <c r="W45" i="39"/>
  <c r="U45" i="39"/>
  <c r="T45" i="39"/>
  <c r="BB44" i="39"/>
  <c r="BB29" i="39" s="1"/>
  <c r="BB35" i="39" s="1"/>
  <c r="AS44" i="39"/>
  <c r="AQ44" i="39"/>
  <c r="AO44" i="39"/>
  <c r="AM44" i="39"/>
  <c r="AD44" i="39"/>
  <c r="AD45" i="39" s="1"/>
  <c r="AB44" i="39"/>
  <c r="AL44" i="39" s="1"/>
  <c r="BJ44" i="39" s="1"/>
  <c r="AA44" i="39"/>
  <c r="AA29" i="39" s="1"/>
  <c r="W44" i="39"/>
  <c r="U44" i="39"/>
  <c r="T44" i="39"/>
  <c r="BE43" i="39"/>
  <c r="BB43" i="39"/>
  <c r="AS43" i="39"/>
  <c r="AQ43" i="39"/>
  <c r="AO43" i="39"/>
  <c r="AM43" i="39"/>
  <c r="AL43" i="39"/>
  <c r="BJ43" i="39" s="1"/>
  <c r="AI43" i="39"/>
  <c r="BI43" i="39" s="1"/>
  <c r="AE43" i="39"/>
  <c r="BH43" i="39" s="1"/>
  <c r="AA43" i="39"/>
  <c r="AA31" i="39"/>
  <c r="W43" i="39"/>
  <c r="U43" i="39"/>
  <c r="T43" i="39"/>
  <c r="BE42" i="39"/>
  <c r="BB42" i="39"/>
  <c r="AS42" i="39"/>
  <c r="AQ42" i="39"/>
  <c r="AO42" i="39"/>
  <c r="AM42" i="39"/>
  <c r="AF42" i="39"/>
  <c r="AD42" i="39"/>
  <c r="AE42" i="39" s="1"/>
  <c r="BH42" i="39" s="1"/>
  <c r="AA42" i="39"/>
  <c r="AA35" i="39"/>
  <c r="W42" i="39"/>
  <c r="U42" i="39"/>
  <c r="T42" i="39"/>
  <c r="BE41" i="39"/>
  <c r="BB41" i="39"/>
  <c r="AS41" i="39"/>
  <c r="AQ41" i="39"/>
  <c r="AO41" i="39"/>
  <c r="AM41" i="39"/>
  <c r="AL41" i="39"/>
  <c r="BJ41" i="39" s="1"/>
  <c r="AF41" i="39"/>
  <c r="AI41" i="39" s="1"/>
  <c r="BI41" i="39" s="1"/>
  <c r="AE41" i="39"/>
  <c r="BH41" i="39" s="1"/>
  <c r="AA41" i="39"/>
  <c r="W41" i="39"/>
  <c r="U41" i="39"/>
  <c r="T41" i="39"/>
  <c r="BE40" i="39"/>
  <c r="BB40" i="39"/>
  <c r="AS40" i="39"/>
  <c r="AQ40" i="39"/>
  <c r="AO40" i="39"/>
  <c r="AM40" i="39"/>
  <c r="AL40" i="39"/>
  <c r="BJ40" i="39" s="1"/>
  <c r="AI40" i="39"/>
  <c r="BI40" i="39" s="1"/>
  <c r="AD40" i="39"/>
  <c r="AE40" i="39"/>
  <c r="BH40" i="39" s="1"/>
  <c r="AA40" i="39"/>
  <c r="W40" i="39"/>
  <c r="U40" i="39"/>
  <c r="T40" i="39"/>
  <c r="BN39" i="39"/>
  <c r="BE38" i="39"/>
  <c r="AO38" i="39"/>
  <c r="AM38" i="39"/>
  <c r="AD38" i="39"/>
  <c r="AA38" i="39"/>
  <c r="AA27" i="39"/>
  <c r="U38" i="39"/>
  <c r="BB37" i="39"/>
  <c r="AO37" i="39"/>
  <c r="AM37" i="39"/>
  <c r="U37" i="39"/>
  <c r="AQ36" i="39"/>
  <c r="AO36" i="39"/>
  <c r="AM36" i="39"/>
  <c r="U36" i="39"/>
  <c r="AQ35" i="39"/>
  <c r="AQ38" i="39"/>
  <c r="AO35" i="39"/>
  <c r="AM35" i="39"/>
  <c r="U35" i="39"/>
  <c r="BE34" i="39"/>
  <c r="AO34" i="39"/>
  <c r="AM34" i="39"/>
  <c r="AD34" i="39"/>
  <c r="AE34" i="39" s="1"/>
  <c r="BH34" i="39" s="1"/>
  <c r="AB34" i="39"/>
  <c r="AS34" i="39"/>
  <c r="U34" i="39"/>
  <c r="BE33" i="39"/>
  <c r="AO33" i="39"/>
  <c r="AM33" i="39"/>
  <c r="U33" i="39"/>
  <c r="BN32" i="39"/>
  <c r="AO31" i="39"/>
  <c r="AM31" i="39"/>
  <c r="U31" i="39"/>
  <c r="AQ30" i="39"/>
  <c r="AO30" i="39"/>
  <c r="AM30" i="39"/>
  <c r="U30" i="39"/>
  <c r="AQ29" i="39"/>
  <c r="AO29" i="39"/>
  <c r="AM29" i="39"/>
  <c r="U29" i="39"/>
  <c r="BE28" i="39"/>
  <c r="AO28" i="39"/>
  <c r="AM28" i="39"/>
  <c r="AD28" i="39"/>
  <c r="AD29" i="39" s="1"/>
  <c r="AD30" i="39" s="1"/>
  <c r="AE30" i="39" s="1"/>
  <c r="BH30" i="39" s="1"/>
  <c r="AB28" i="39"/>
  <c r="U28" i="39"/>
  <c r="BE27" i="39"/>
  <c r="AS27" i="39"/>
  <c r="AQ27" i="39"/>
  <c r="AO27" i="39"/>
  <c r="AN27" i="39"/>
  <c r="AL27" i="39" s="1"/>
  <c r="D27" i="39" s="1"/>
  <c r="D33" i="39" s="1"/>
  <c r="AM27" i="39"/>
  <c r="U27" i="39"/>
  <c r="BE25" i="39"/>
  <c r="BB25" i="39"/>
  <c r="AG25" i="39"/>
  <c r="AS25" i="39"/>
  <c r="AQ25" i="39"/>
  <c r="AO25" i="39"/>
  <c r="AM25" i="39"/>
  <c r="AL25" i="39"/>
  <c r="AI25" i="39"/>
  <c r="AE25" i="39"/>
  <c r="AA25" i="39"/>
  <c r="W25" i="39"/>
  <c r="U25" i="39"/>
  <c r="T25" i="39"/>
  <c r="BE24" i="39"/>
  <c r="AS24" i="39"/>
  <c r="AQ24" i="39"/>
  <c r="AO24" i="39"/>
  <c r="AM24" i="39"/>
  <c r="AL24" i="39"/>
  <c r="AU24" i="39" s="1"/>
  <c r="AI24" i="39"/>
  <c r="AG24" i="39"/>
  <c r="AE24" i="39"/>
  <c r="AA24" i="39"/>
  <c r="W24" i="39"/>
  <c r="U24" i="39"/>
  <c r="T24" i="39"/>
  <c r="BG23" i="39"/>
  <c r="BF23" i="39"/>
  <c r="BE23" i="39"/>
  <c r="BE49" i="39"/>
  <c r="AX23" i="39"/>
  <c r="AL23" i="39"/>
  <c r="AL66" i="39" s="1"/>
  <c r="AJ23" i="39"/>
  <c r="AH23" i="39"/>
  <c r="W23" i="39"/>
  <c r="U23" i="39"/>
  <c r="E23" i="39"/>
  <c r="E49" i="39"/>
  <c r="E66" i="39" s="1"/>
  <c r="D23" i="39"/>
  <c r="D49" i="39" s="1"/>
  <c r="D66" i="39" s="1"/>
  <c r="BB21" i="39"/>
  <c r="AT21" i="39"/>
  <c r="AR21" i="39"/>
  <c r="AQ21" i="39"/>
  <c r="AO21" i="39"/>
  <c r="AM21" i="39"/>
  <c r="AI21" i="39"/>
  <c r="AG21" i="39"/>
  <c r="AJ21" i="39" s="1"/>
  <c r="AA21" i="39"/>
  <c r="W21" i="39"/>
  <c r="U21" i="39"/>
  <c r="D21" i="39"/>
  <c r="BB20" i="39"/>
  <c r="AT20" i="39"/>
  <c r="AR20" i="39"/>
  <c r="AQ20" i="39"/>
  <c r="AO20" i="39"/>
  <c r="AM20" i="39"/>
  <c r="AI20" i="39"/>
  <c r="AG20" i="39"/>
  <c r="AJ20" i="39" s="1"/>
  <c r="AD20" i="39"/>
  <c r="AA20" i="39"/>
  <c r="W20" i="39"/>
  <c r="U20" i="39"/>
  <c r="D20" i="39"/>
  <c r="BB19" i="39"/>
  <c r="AT19" i="39"/>
  <c r="AR19" i="39"/>
  <c r="AQ19" i="39"/>
  <c r="AO19" i="39"/>
  <c r="AM19" i="39"/>
  <c r="AI19" i="39"/>
  <c r="AG19" i="39"/>
  <c r="AJ19" i="39" s="1"/>
  <c r="AU19" i="39" s="1"/>
  <c r="AD19" i="39"/>
  <c r="AA19" i="39"/>
  <c r="W19" i="39"/>
  <c r="U19" i="39"/>
  <c r="T19" i="39"/>
  <c r="D19" i="39"/>
  <c r="BB18" i="39"/>
  <c r="AT18" i="39"/>
  <c r="AR18" i="39"/>
  <c r="AQ18" i="39"/>
  <c r="AO18" i="39"/>
  <c r="AM18" i="39"/>
  <c r="AI18" i="39"/>
  <c r="AA18" i="39"/>
  <c r="W18" i="39"/>
  <c r="U18" i="39"/>
  <c r="T18" i="39"/>
  <c r="AE18" i="39" s="1"/>
  <c r="D18" i="39"/>
  <c r="BE17" i="39"/>
  <c r="BF17" i="39"/>
  <c r="BB17" i="39"/>
  <c r="AT17" i="39"/>
  <c r="AR17" i="39"/>
  <c r="AQ17" i="39"/>
  <c r="AO17" i="39"/>
  <c r="AM17" i="39"/>
  <c r="AL17" i="39"/>
  <c r="D17" i="39" s="1"/>
  <c r="AI17" i="39"/>
  <c r="AA17" i="39"/>
  <c r="W17" i="39"/>
  <c r="U17" i="39"/>
  <c r="T17" i="39"/>
  <c r="AE17" i="39" s="1"/>
  <c r="BE16" i="39"/>
  <c r="BF16" i="39" s="1"/>
  <c r="BB16" i="39"/>
  <c r="AT16" i="39"/>
  <c r="AR16" i="39"/>
  <c r="AQ16" i="39"/>
  <c r="AO16" i="39"/>
  <c r="AM16" i="39"/>
  <c r="AL16" i="39"/>
  <c r="D16" i="39" s="1"/>
  <c r="E16" i="39" s="1"/>
  <c r="AI16" i="39"/>
  <c r="AG16" i="39"/>
  <c r="AJ16" i="39" s="1"/>
  <c r="AE16" i="39"/>
  <c r="AA16" i="39"/>
  <c r="W16" i="39"/>
  <c r="U16" i="39"/>
  <c r="T16" i="39"/>
  <c r="B16" i="39"/>
  <c r="BB15" i="39"/>
  <c r="AG15" i="39" s="1"/>
  <c r="AJ15" i="39" s="1"/>
  <c r="AT15" i="39"/>
  <c r="AR15" i="39"/>
  <c r="AQ15" i="39"/>
  <c r="AO15" i="39"/>
  <c r="AM15" i="39"/>
  <c r="AL15" i="39"/>
  <c r="D15" i="39" s="1"/>
  <c r="AI15" i="39"/>
  <c r="AA15" i="39"/>
  <c r="T15" i="39"/>
  <c r="AE15" i="39" s="1"/>
  <c r="BB14" i="39"/>
  <c r="AT14" i="39"/>
  <c r="AR14" i="39"/>
  <c r="AQ14" i="39"/>
  <c r="AO14" i="39"/>
  <c r="AM14" i="39"/>
  <c r="AL14" i="39"/>
  <c r="D14" i="39" s="1"/>
  <c r="AI14" i="39"/>
  <c r="AG14" i="39"/>
  <c r="AJ14" i="39" s="1"/>
  <c r="AE14" i="39"/>
  <c r="AA14" i="39"/>
  <c r="T14" i="39"/>
  <c r="BB13" i="39"/>
  <c r="AG13" i="39" s="1"/>
  <c r="AJ13" i="39" s="1"/>
  <c r="AT13" i="39"/>
  <c r="AR13" i="39"/>
  <c r="AQ13" i="39"/>
  <c r="AO13" i="39"/>
  <c r="AM13" i="39"/>
  <c r="AL13" i="39"/>
  <c r="D13" i="39" s="1"/>
  <c r="AI13" i="39"/>
  <c r="AA13" i="39"/>
  <c r="T13" i="39"/>
  <c r="AE13" i="39" s="1"/>
  <c r="BB12" i="39"/>
  <c r="AG12" i="39" s="1"/>
  <c r="AJ12" i="39" s="1"/>
  <c r="AU12" i="39" s="1"/>
  <c r="AT12" i="39"/>
  <c r="AR12" i="39"/>
  <c r="AQ12" i="39"/>
  <c r="AO12" i="39"/>
  <c r="AM12" i="39"/>
  <c r="AL12" i="39"/>
  <c r="D12" i="39" s="1"/>
  <c r="AI12" i="39"/>
  <c r="AE12" i="39"/>
  <c r="AA12" i="39"/>
  <c r="T12" i="39"/>
  <c r="BB11" i="39"/>
  <c r="AT11" i="39"/>
  <c r="AR11" i="39"/>
  <c r="AQ11" i="39"/>
  <c r="AO11" i="39"/>
  <c r="AM11" i="39"/>
  <c r="AL11" i="39"/>
  <c r="D11" i="39" s="1"/>
  <c r="AI11" i="39"/>
  <c r="AG11" i="39"/>
  <c r="AJ11" i="39" s="1"/>
  <c r="AA11" i="39"/>
  <c r="T11" i="39"/>
  <c r="BB10" i="39"/>
  <c r="AT10" i="39"/>
  <c r="AR10" i="39"/>
  <c r="AQ10" i="39"/>
  <c r="AO10" i="39"/>
  <c r="AM10" i="39"/>
  <c r="AL10" i="39"/>
  <c r="D10" i="39" s="1"/>
  <c r="AI10" i="39"/>
  <c r="AG10" i="39"/>
  <c r="AJ10" i="39" s="1"/>
  <c r="AA10" i="39"/>
  <c r="T10" i="39"/>
  <c r="BB9" i="39"/>
  <c r="AT9" i="39"/>
  <c r="AR9" i="39"/>
  <c r="AQ9" i="39"/>
  <c r="AO9" i="39"/>
  <c r="AM9" i="39"/>
  <c r="AL9" i="39"/>
  <c r="D9" i="39" s="1"/>
  <c r="AI9" i="39"/>
  <c r="AG9" i="39"/>
  <c r="AJ9" i="39" s="1"/>
  <c r="AA9" i="39"/>
  <c r="A9" i="39"/>
  <c r="A30" i="39" s="1"/>
  <c r="B30" i="39" s="1"/>
  <c r="B8" i="39"/>
  <c r="BG6" i="39"/>
  <c r="BF6" i="39"/>
  <c r="BE6" i="39"/>
  <c r="BD6" i="39"/>
  <c r="BC6" i="39"/>
  <c r="BG5" i="39"/>
  <c r="BF5" i="39"/>
  <c r="BE5" i="39"/>
  <c r="BD5" i="39"/>
  <c r="BC5" i="39"/>
  <c r="T5" i="39"/>
  <c r="V5" i="39" s="1"/>
  <c r="BG4" i="39"/>
  <c r="BF4" i="39"/>
  <c r="BE4" i="39"/>
  <c r="BD4" i="39"/>
  <c r="BC4" i="39"/>
  <c r="AD4" i="39"/>
  <c r="Y4" i="39"/>
  <c r="AD3" i="39"/>
  <c r="AI1" i="39"/>
  <c r="W1" i="39"/>
  <c r="AI159" i="38"/>
  <c r="AC156" i="38"/>
  <c r="AK148" i="38"/>
  <c r="AK152" i="38" s="1"/>
  <c r="AJ148" i="38"/>
  <c r="AI148" i="38"/>
  <c r="AI150" i="38" s="1"/>
  <c r="AH148" i="38"/>
  <c r="AG148" i="38"/>
  <c r="AG152" i="38" s="1"/>
  <c r="AF148" i="38"/>
  <c r="AF150" i="38" s="1"/>
  <c r="AW139" i="38"/>
  <c r="AV139" i="38"/>
  <c r="AU139" i="38"/>
  <c r="AT139" i="38"/>
  <c r="AS139" i="38"/>
  <c r="AR139" i="38"/>
  <c r="AQ139" i="38"/>
  <c r="AP139" i="38"/>
  <c r="AO139" i="38"/>
  <c r="AN139" i="38"/>
  <c r="AW138" i="38"/>
  <c r="AV138" i="38"/>
  <c r="AU138" i="38"/>
  <c r="AT138" i="38"/>
  <c r="AS138" i="38"/>
  <c r="AR138" i="38"/>
  <c r="AQ138" i="38"/>
  <c r="AP138" i="38"/>
  <c r="AO138" i="38"/>
  <c r="AN138" i="38"/>
  <c r="AD138" i="38"/>
  <c r="AW137" i="38"/>
  <c r="AV137" i="38"/>
  <c r="AU137" i="38"/>
  <c r="AT137" i="38"/>
  <c r="AS137" i="38"/>
  <c r="AR137" i="38"/>
  <c r="AQ137" i="38"/>
  <c r="AP137" i="38"/>
  <c r="AO137" i="38"/>
  <c r="AV136" i="38"/>
  <c r="AU136" i="38"/>
  <c r="AT136" i="38"/>
  <c r="AS136" i="38"/>
  <c r="AR136" i="38"/>
  <c r="AQ136" i="38"/>
  <c r="AP136" i="38"/>
  <c r="AO136" i="38"/>
  <c r="AN136" i="38"/>
  <c r="H134" i="38"/>
  <c r="AN137" i="38"/>
  <c r="AD132" i="38"/>
  <c r="AD137" i="38" s="1"/>
  <c r="AW131" i="38"/>
  <c r="AW136" i="38" s="1"/>
  <c r="AJ131" i="38"/>
  <c r="AD131" i="38"/>
  <c r="AD136" i="38" s="1"/>
  <c r="AB131" i="38"/>
  <c r="AB132" i="38" s="1"/>
  <c r="AB133" i="38" s="1"/>
  <c r="AJ126" i="38"/>
  <c r="AB126" i="38"/>
  <c r="AC126" i="38" s="1"/>
  <c r="AF126" i="38" s="1"/>
  <c r="AG126" i="38" s="1"/>
  <c r="AJ125" i="38"/>
  <c r="AB125" i="38"/>
  <c r="AC125" i="38" s="1"/>
  <c r="AF125" i="38" s="1"/>
  <c r="AG125" i="38" s="1"/>
  <c r="AJ124" i="38"/>
  <c r="AB124" i="38"/>
  <c r="AC124" i="38" s="1"/>
  <c r="AF124" i="38" s="1"/>
  <c r="AG124" i="38" s="1"/>
  <c r="AJ123" i="38"/>
  <c r="AB123" i="38"/>
  <c r="AC123" i="38" s="1"/>
  <c r="AF123" i="38" s="1"/>
  <c r="AG123" i="38" s="1"/>
  <c r="AK122" i="38"/>
  <c r="AJ122" i="38"/>
  <c r="AB122" i="38"/>
  <c r="AC122" i="38" s="1"/>
  <c r="AF122" i="38" s="1"/>
  <c r="AG122" i="38" s="1"/>
  <c r="AB121" i="38"/>
  <c r="AC121" i="38" s="1"/>
  <c r="AF121" i="38" s="1"/>
  <c r="AG121" i="38" s="1"/>
  <c r="AB120" i="38"/>
  <c r="AC120" i="38" s="1"/>
  <c r="AF120" i="38" s="1"/>
  <c r="AG120" i="38" s="1"/>
  <c r="BH119" i="38"/>
  <c r="AK119" i="38"/>
  <c r="AJ119" i="38"/>
  <c r="AC119" i="38"/>
  <c r="AC100" i="38" s="1"/>
  <c r="AF118" i="38"/>
  <c r="AB115" i="38"/>
  <c r="F112" i="38"/>
  <c r="AB136" i="38" s="1"/>
  <c r="F109" i="38"/>
  <c r="G109" i="38" s="1"/>
  <c r="F106" i="38"/>
  <c r="G106" i="38" s="1"/>
  <c r="F105" i="38"/>
  <c r="G105" i="38" s="1"/>
  <c r="F104" i="38"/>
  <c r="G104" i="38" s="1"/>
  <c r="F103" i="38"/>
  <c r="G103" i="38" s="1"/>
  <c r="R102" i="38"/>
  <c r="F102" i="38"/>
  <c r="G102" i="38" s="1"/>
  <c r="AS100" i="38"/>
  <c r="AQ100" i="38"/>
  <c r="AO100" i="38"/>
  <c r="AL100" i="38"/>
  <c r="W100" i="38"/>
  <c r="BD99" i="38"/>
  <c r="AS99" i="38"/>
  <c r="AQ99" i="38"/>
  <c r="AO99" i="38"/>
  <c r="AL99" i="38"/>
  <c r="AI99" i="38"/>
  <c r="AC99" i="38"/>
  <c r="W99" i="38"/>
  <c r="BG98" i="38"/>
  <c r="AS98" i="38"/>
  <c r="AQ98" i="38"/>
  <c r="AO98" i="38"/>
  <c r="AL98" i="38"/>
  <c r="AI98" i="38"/>
  <c r="AC98" i="38"/>
  <c r="W98" i="38"/>
  <c r="BG97" i="38"/>
  <c r="AS97" i="38"/>
  <c r="AQ97" i="38"/>
  <c r="AO97" i="38"/>
  <c r="AL97" i="38"/>
  <c r="AI97" i="38"/>
  <c r="AC97" i="38"/>
  <c r="W97" i="38"/>
  <c r="BG96" i="38"/>
  <c r="AS96" i="38"/>
  <c r="AQ96" i="38"/>
  <c r="AO96" i="38"/>
  <c r="AL96" i="38"/>
  <c r="AI96" i="38"/>
  <c r="AC96" i="38"/>
  <c r="W96" i="38"/>
  <c r="BG95" i="38"/>
  <c r="AS95" i="38"/>
  <c r="AQ95" i="38"/>
  <c r="AO95" i="38"/>
  <c r="AL95" i="38"/>
  <c r="AI95" i="38"/>
  <c r="AC95" i="38"/>
  <c r="W95" i="38"/>
  <c r="AQ94" i="38"/>
  <c r="AO94" i="38"/>
  <c r="AL94" i="38"/>
  <c r="AB94" i="38"/>
  <c r="Y94" i="38"/>
  <c r="W94" i="38"/>
  <c r="AS93" i="38"/>
  <c r="AQ93" i="38"/>
  <c r="AO93" i="38"/>
  <c r="AL93" i="38"/>
  <c r="AC93" i="38"/>
  <c r="V93" i="38"/>
  <c r="B93" i="38"/>
  <c r="C93" i="38" s="1"/>
  <c r="BD92" i="38"/>
  <c r="AS92" i="38"/>
  <c r="AQ92" i="38"/>
  <c r="AO92" i="38"/>
  <c r="AL92" i="38"/>
  <c r="AC92" i="38"/>
  <c r="V92" i="38"/>
  <c r="B92" i="38"/>
  <c r="C92" i="38" s="1"/>
  <c r="BD91" i="38"/>
  <c r="AS91" i="38"/>
  <c r="AQ91" i="38"/>
  <c r="AO91" i="38"/>
  <c r="AL91" i="38"/>
  <c r="AC91" i="38"/>
  <c r="Y91" i="38"/>
  <c r="W91" i="38"/>
  <c r="V91" i="38"/>
  <c r="C91" i="38"/>
  <c r="AS89" i="38"/>
  <c r="AQ89" i="38"/>
  <c r="AO89" i="38"/>
  <c r="AL89" i="38"/>
  <c r="AI89" i="38"/>
  <c r="AC89" i="38"/>
  <c r="W89" i="38"/>
  <c r="AS88" i="38"/>
  <c r="AQ88" i="38"/>
  <c r="AO88" i="38"/>
  <c r="AL88" i="38"/>
  <c r="AI88" i="38"/>
  <c r="AC88" i="38"/>
  <c r="W88" i="38"/>
  <c r="BG87" i="38"/>
  <c r="AS87" i="38"/>
  <c r="AQ87" i="38"/>
  <c r="AO87" i="38"/>
  <c r="AL87" i="38"/>
  <c r="AI87" i="38"/>
  <c r="AC87" i="38"/>
  <c r="W87" i="38"/>
  <c r="BG86" i="38"/>
  <c r="AS86" i="38"/>
  <c r="AQ86" i="38"/>
  <c r="AO86" i="38"/>
  <c r="AL86" i="38"/>
  <c r="AI86" i="38"/>
  <c r="AC86" i="38"/>
  <c r="W86" i="38"/>
  <c r="BG85" i="38"/>
  <c r="AS85" i="38"/>
  <c r="AQ85" i="38"/>
  <c r="AO85" i="38"/>
  <c r="AL85" i="38"/>
  <c r="AI85" i="38"/>
  <c r="AD85" i="38"/>
  <c r="BM85" i="38" s="1"/>
  <c r="AC85" i="38"/>
  <c r="W85" i="38"/>
  <c r="BG84" i="38"/>
  <c r="AU84" i="38"/>
  <c r="AS84" i="38"/>
  <c r="AQ84" i="38"/>
  <c r="AP84" i="38"/>
  <c r="AO84" i="38"/>
  <c r="AL84" i="38"/>
  <c r="BM84" i="38" s="1"/>
  <c r="AK84" i="38"/>
  <c r="BK84" i="38" s="1"/>
  <c r="AI84" i="38"/>
  <c r="AC84" i="38"/>
  <c r="W84" i="38"/>
  <c r="BE82" i="38"/>
  <c r="AT82" i="38"/>
  <c r="AS82" i="38"/>
  <c r="AQ82" i="38"/>
  <c r="AO82" i="38"/>
  <c r="AK82" i="38"/>
  <c r="AG82" i="38"/>
  <c r="AC82" i="38"/>
  <c r="Y82" i="38"/>
  <c r="W82" i="38"/>
  <c r="C82" i="38"/>
  <c r="G82" i="38" s="1"/>
  <c r="AU80" i="38"/>
  <c r="AS80" i="38"/>
  <c r="AQ80" i="38"/>
  <c r="AP80" i="38"/>
  <c r="AO80" i="38"/>
  <c r="AN80" i="38"/>
  <c r="AH80" i="38"/>
  <c r="AK80" i="38" s="1"/>
  <c r="AF80" i="38"/>
  <c r="AC80" i="38"/>
  <c r="Y80" i="38"/>
  <c r="V80" i="38"/>
  <c r="AU79" i="38"/>
  <c r="AS79" i="38"/>
  <c r="AQ79" i="38"/>
  <c r="AO79" i="38"/>
  <c r="AF79" i="38"/>
  <c r="AC79" i="38"/>
  <c r="Y79" i="38"/>
  <c r="V79" i="38"/>
  <c r="AU78" i="38"/>
  <c r="AS78" i="38"/>
  <c r="AQ78" i="38"/>
  <c r="AO78" i="38"/>
  <c r="AH78" i="38"/>
  <c r="AF78" i="38"/>
  <c r="AC78" i="38"/>
  <c r="Y78" i="38"/>
  <c r="V78" i="38"/>
  <c r="AU77" i="38"/>
  <c r="AT77" i="38"/>
  <c r="AS77" i="38"/>
  <c r="AQ77" i="38"/>
  <c r="AO77" i="38"/>
  <c r="AH77" i="38"/>
  <c r="AF77" i="38"/>
  <c r="AC77" i="38"/>
  <c r="Y77" i="38"/>
  <c r="V77" i="38"/>
  <c r="AU76" i="38"/>
  <c r="AT76" i="38"/>
  <c r="AS76" i="38"/>
  <c r="AQ76" i="38"/>
  <c r="AO76" i="38"/>
  <c r="AH76" i="38"/>
  <c r="AF76" i="38"/>
  <c r="AC76" i="38"/>
  <c r="Y76" i="38"/>
  <c r="V76" i="38"/>
  <c r="AU75" i="38"/>
  <c r="AT75" i="38"/>
  <c r="AS75" i="38"/>
  <c r="AQ75" i="38"/>
  <c r="AO75" i="38"/>
  <c r="AH75" i="38"/>
  <c r="AF75" i="38"/>
  <c r="AC75" i="38"/>
  <c r="Y75" i="38"/>
  <c r="V75" i="38"/>
  <c r="AU74" i="38"/>
  <c r="AT74" i="38"/>
  <c r="AS74" i="38"/>
  <c r="AQ74" i="38"/>
  <c r="AO74" i="38"/>
  <c r="AH74" i="38"/>
  <c r="AF74" i="38"/>
  <c r="AC74" i="38"/>
  <c r="Y74" i="38"/>
  <c r="V74" i="38"/>
  <c r="AU73" i="38"/>
  <c r="AT73" i="38"/>
  <c r="AT80" i="38" s="1"/>
  <c r="AS73" i="38"/>
  <c r="AQ73" i="38"/>
  <c r="AO73" i="38"/>
  <c r="AH73" i="38"/>
  <c r="AF73" i="38"/>
  <c r="AC73" i="38"/>
  <c r="Y73" i="38"/>
  <c r="V73" i="38"/>
  <c r="AT72" i="38"/>
  <c r="AS72" i="38"/>
  <c r="AQ72" i="38"/>
  <c r="AO72" i="38"/>
  <c r="AD72" i="38"/>
  <c r="AU72" i="38"/>
  <c r="AC72" i="38"/>
  <c r="Y72" i="38"/>
  <c r="BD70" i="38"/>
  <c r="AU70" i="38"/>
  <c r="AT70" i="38"/>
  <c r="AS70" i="38"/>
  <c r="AQ70" i="38"/>
  <c r="AO70" i="38"/>
  <c r="AN70" i="38"/>
  <c r="F70" i="38" s="1"/>
  <c r="AC70" i="38"/>
  <c r="Y70" i="38"/>
  <c r="C70" i="38"/>
  <c r="AV68" i="38"/>
  <c r="AQ68" i="38"/>
  <c r="AO68" i="38"/>
  <c r="AN68" i="38"/>
  <c r="F68" i="38" s="1"/>
  <c r="AK68" i="38"/>
  <c r="BK68" i="38" s="1"/>
  <c r="W68" i="38"/>
  <c r="AV67" i="38"/>
  <c r="AQ67" i="38"/>
  <c r="AO67" i="38"/>
  <c r="AN67" i="38"/>
  <c r="F67" i="38" s="1"/>
  <c r="AL67" i="38"/>
  <c r="BM67" i="38" s="1"/>
  <c r="AK67" i="38"/>
  <c r="BK67" i="38" s="1"/>
  <c r="Y67" i="38"/>
  <c r="W67" i="38"/>
  <c r="BQ66" i="38"/>
  <c r="BM65" i="38"/>
  <c r="BQ65" i="38" s="1"/>
  <c r="BL65" i="38"/>
  <c r="AV64" i="38"/>
  <c r="AQ64" i="38"/>
  <c r="AO64" i="38"/>
  <c r="AN64" i="38"/>
  <c r="F64" i="38" s="1"/>
  <c r="AK64" i="38"/>
  <c r="BK64" i="38" s="1"/>
  <c r="AF64" i="38"/>
  <c r="Y64" i="38"/>
  <c r="W64" i="38"/>
  <c r="BQ63" i="38"/>
  <c r="BG63" i="38"/>
  <c r="AI63" i="38"/>
  <c r="AL63" i="38" s="1"/>
  <c r="AE63" i="38"/>
  <c r="Y63" i="38"/>
  <c r="BM62" i="38"/>
  <c r="BQ62" i="38" s="1"/>
  <c r="BL62" i="38"/>
  <c r="BD61" i="38"/>
  <c r="BD93" i="38" s="1"/>
  <c r="BD94" i="38" s="1"/>
  <c r="AU61" i="38"/>
  <c r="AQ61" i="38"/>
  <c r="AO61" i="38"/>
  <c r="AN61" i="38"/>
  <c r="AL61" i="38"/>
  <c r="BM61" i="38" s="1"/>
  <c r="AB61" i="38"/>
  <c r="AC61" i="38" s="1"/>
  <c r="Y61" i="38"/>
  <c r="W61" i="38"/>
  <c r="BD60" i="38"/>
  <c r="AU60" i="38"/>
  <c r="AS60" i="38"/>
  <c r="AQ60" i="38"/>
  <c r="AO60" i="38"/>
  <c r="AN60" i="38"/>
  <c r="F60" i="38" s="1"/>
  <c r="G60" i="38" s="1"/>
  <c r="AL60" i="38"/>
  <c r="BM60" i="38" s="1"/>
  <c r="AK60" i="38"/>
  <c r="BK60" i="38" s="1"/>
  <c r="AC60" i="38"/>
  <c r="V60" i="38"/>
  <c r="B60" i="38"/>
  <c r="C60" i="38"/>
  <c r="BD59" i="38"/>
  <c r="AU59" i="38"/>
  <c r="AS59" i="38"/>
  <c r="AQ59" i="38"/>
  <c r="AO59" i="38"/>
  <c r="AN59" i="38"/>
  <c r="AN41" i="38" s="1"/>
  <c r="AL59" i="38"/>
  <c r="BM59" i="38" s="1"/>
  <c r="AC59" i="38"/>
  <c r="V59" i="38"/>
  <c r="B59" i="38"/>
  <c r="C59" i="38" s="1"/>
  <c r="A59" i="38"/>
  <c r="A60" i="38" s="1"/>
  <c r="A61" i="38" s="1"/>
  <c r="A84" i="38" s="1"/>
  <c r="A85" i="38" s="1"/>
  <c r="A86" i="38" s="1"/>
  <c r="A87" i="38" s="1"/>
  <c r="A88" i="38" s="1"/>
  <c r="A89" i="38" s="1"/>
  <c r="BD58" i="38"/>
  <c r="AU58" i="38"/>
  <c r="AS58" i="38"/>
  <c r="AQ58" i="38"/>
  <c r="AO58" i="38"/>
  <c r="AN58" i="38"/>
  <c r="AL58" i="38"/>
  <c r="BM58" i="38" s="1"/>
  <c r="AK58" i="38"/>
  <c r="BK58" i="38" s="1"/>
  <c r="AF58" i="38"/>
  <c r="AF59" i="38" s="1"/>
  <c r="AK131" i="38" s="1"/>
  <c r="AC58" i="38"/>
  <c r="Y58" i="38"/>
  <c r="W58" i="38"/>
  <c r="V58" i="38"/>
  <c r="C58" i="38"/>
  <c r="BD57" i="38"/>
  <c r="AU57" i="38"/>
  <c r="AT57" i="38"/>
  <c r="AS57" i="38"/>
  <c r="AQ57" i="38"/>
  <c r="AO57" i="38"/>
  <c r="AL57" i="38"/>
  <c r="AH57" i="38"/>
  <c r="AC57" i="38"/>
  <c r="Y57" i="38"/>
  <c r="W57" i="38"/>
  <c r="V57" i="38"/>
  <c r="BD56" i="38"/>
  <c r="AU56" i="38"/>
  <c r="AT56" i="38"/>
  <c r="AS56" i="38"/>
  <c r="AQ56" i="38"/>
  <c r="AO56" i="38"/>
  <c r="AL56" i="38"/>
  <c r="AH56" i="38"/>
  <c r="AC56" i="38"/>
  <c r="Y56" i="38"/>
  <c r="W56" i="38"/>
  <c r="V56" i="38"/>
  <c r="BD55" i="38"/>
  <c r="AU55" i="38"/>
  <c r="AT55" i="38"/>
  <c r="AS55" i="38"/>
  <c r="AQ55" i="38"/>
  <c r="AO55" i="38"/>
  <c r="AL55" i="38"/>
  <c r="AH55" i="38"/>
  <c r="AC55" i="38"/>
  <c r="Y55" i="38"/>
  <c r="W55" i="38"/>
  <c r="V55" i="38"/>
  <c r="BD54" i="38"/>
  <c r="AU54" i="38"/>
  <c r="AT54" i="38"/>
  <c r="AS54" i="38"/>
  <c r="AQ54" i="38"/>
  <c r="AO54" i="38"/>
  <c r="AL54" i="38"/>
  <c r="AH54" i="38"/>
  <c r="AC54" i="38"/>
  <c r="Y54" i="38"/>
  <c r="W54" i="38"/>
  <c r="V54" i="38"/>
  <c r="BD53" i="38"/>
  <c r="AU53" i="38"/>
  <c r="AT53" i="38"/>
  <c r="AS53" i="38"/>
  <c r="AQ53" i="38"/>
  <c r="AO53" i="38"/>
  <c r="AL53" i="38"/>
  <c r="AH53" i="38"/>
  <c r="AF53" i="38"/>
  <c r="AK123" i="38" s="1"/>
  <c r="AC53" i="38"/>
  <c r="Y53" i="38"/>
  <c r="W53" i="38"/>
  <c r="V53" i="38"/>
  <c r="C53" i="38"/>
  <c r="BD52" i="38"/>
  <c r="AU52" i="38"/>
  <c r="AT52" i="38"/>
  <c r="AS52" i="38"/>
  <c r="AQ52" i="38"/>
  <c r="AO52" i="38"/>
  <c r="AL52" i="38"/>
  <c r="AH52" i="38"/>
  <c r="AC52" i="38"/>
  <c r="Y52" i="38"/>
  <c r="W52" i="38"/>
  <c r="V52" i="38"/>
  <c r="C52" i="38"/>
  <c r="BD51" i="38"/>
  <c r="AU51" i="38"/>
  <c r="AT51" i="38"/>
  <c r="AS51" i="38"/>
  <c r="AQ51" i="38"/>
  <c r="AO51" i="38"/>
  <c r="AL51" i="38"/>
  <c r="AH51" i="38"/>
  <c r="AC51" i="38"/>
  <c r="AC68" i="38" s="1"/>
  <c r="Y51" i="38"/>
  <c r="W51" i="38"/>
  <c r="V51" i="38"/>
  <c r="C51" i="38"/>
  <c r="BD50" i="38"/>
  <c r="AU50" i="38"/>
  <c r="AT50" i="38"/>
  <c r="AS50" i="38"/>
  <c r="AQ50" i="38"/>
  <c r="AO50" i="38"/>
  <c r="AL50" i="38"/>
  <c r="BM50" i="38" s="1"/>
  <c r="AH50" i="38"/>
  <c r="AK120" i="38"/>
  <c r="AD50" i="38"/>
  <c r="AD51" i="38"/>
  <c r="AN51" i="38" s="1"/>
  <c r="F51" i="38" s="1"/>
  <c r="G51" i="38" s="1"/>
  <c r="AC50" i="38"/>
  <c r="AC67" i="38" s="1"/>
  <c r="Y50" i="38"/>
  <c r="W50" i="38"/>
  <c r="V50" i="38"/>
  <c r="C50" i="38"/>
  <c r="BD49" i="38"/>
  <c r="AU49" i="38"/>
  <c r="AT49" i="38"/>
  <c r="AS49" i="38"/>
  <c r="AL49" i="38"/>
  <c r="BM49" i="38" s="1"/>
  <c r="AK49" i="38"/>
  <c r="BK49" i="38" s="1"/>
  <c r="AC49" i="38"/>
  <c r="AC64" i="38" s="1"/>
  <c r="Y49" i="38"/>
  <c r="W49" i="38"/>
  <c r="V49" i="38"/>
  <c r="F49" i="38"/>
  <c r="C49" i="38"/>
  <c r="G49" i="38" s="1"/>
  <c r="BQ48" i="38"/>
  <c r="BI48" i="38"/>
  <c r="BI63" i="38" s="1"/>
  <c r="BH48" i="38"/>
  <c r="BH63" i="38" s="1"/>
  <c r="AZ48" i="38"/>
  <c r="AZ63" i="38"/>
  <c r="AN48" i="38"/>
  <c r="AJ48" i="38"/>
  <c r="AM48" i="38" s="1"/>
  <c r="AI48" i="38"/>
  <c r="AI34" i="38" s="1"/>
  <c r="AE48" i="38"/>
  <c r="Y48" i="38"/>
  <c r="BQ47" i="38"/>
  <c r="AU46" i="38"/>
  <c r="AQ46" i="38"/>
  <c r="AO46" i="38"/>
  <c r="AN46" i="38"/>
  <c r="BL46" i="38" s="1"/>
  <c r="AL46" i="38"/>
  <c r="BM46" i="38" s="1"/>
  <c r="AH46" i="38"/>
  <c r="AK46" i="38" s="1"/>
  <c r="BK46" i="38" s="1"/>
  <c r="AF46" i="38"/>
  <c r="AG46" i="38"/>
  <c r="BJ46" i="38" s="1"/>
  <c r="Y46" i="38"/>
  <c r="W46" i="38"/>
  <c r="V46" i="38"/>
  <c r="BD45" i="38"/>
  <c r="AU45" i="38"/>
  <c r="AS45" i="38"/>
  <c r="AQ45" i="38"/>
  <c r="AO45" i="38"/>
  <c r="AL45" i="38"/>
  <c r="BM45" i="38" s="1"/>
  <c r="AH45" i="38"/>
  <c r="AK45" i="38" s="1"/>
  <c r="BK45" i="38" s="1"/>
  <c r="AD45" i="38"/>
  <c r="AC45" i="38"/>
  <c r="AC31" i="38" s="1"/>
  <c r="Y45" i="38"/>
  <c r="W45" i="38"/>
  <c r="V45" i="38"/>
  <c r="BG44" i="38"/>
  <c r="BD44" i="38"/>
  <c r="AU44" i="38"/>
  <c r="AS44" i="38"/>
  <c r="AQ44" i="38"/>
  <c r="AO44" i="38"/>
  <c r="AL44" i="38"/>
  <c r="AC44" i="38"/>
  <c r="AC30" i="38" s="1"/>
  <c r="Y44" i="38"/>
  <c r="W44" i="38"/>
  <c r="V44" i="38"/>
  <c r="BD43" i="38"/>
  <c r="AU43" i="38"/>
  <c r="AS43" i="38"/>
  <c r="AQ43" i="38"/>
  <c r="AO43" i="38"/>
  <c r="AL43" i="38"/>
  <c r="BM43" i="38" s="1"/>
  <c r="AH43" i="38"/>
  <c r="AF43" i="38"/>
  <c r="AF44" i="38" s="1"/>
  <c r="AG44" i="38" s="1"/>
  <c r="BJ44" i="38" s="1"/>
  <c r="AD43" i="38"/>
  <c r="AD44" i="38" s="1"/>
  <c r="Z44" i="38" s="1"/>
  <c r="AC43" i="38"/>
  <c r="AC29" i="38" s="1"/>
  <c r="Y43" i="38"/>
  <c r="W43" i="38"/>
  <c r="V43" i="38"/>
  <c r="BG42" i="38"/>
  <c r="BD42" i="38"/>
  <c r="BD28" i="38" s="1"/>
  <c r="BD31" i="38" s="1"/>
  <c r="AU42" i="38"/>
  <c r="AS42" i="38"/>
  <c r="AQ42" i="38"/>
  <c r="AO42" i="38"/>
  <c r="AN42" i="38"/>
  <c r="BL42" i="38" s="1"/>
  <c r="AL42" i="38"/>
  <c r="BM42" i="38" s="1"/>
  <c r="AK42" i="38"/>
  <c r="BK42" i="38" s="1"/>
  <c r="AG42" i="38"/>
  <c r="BJ42" i="38" s="1"/>
  <c r="AC42" i="38"/>
  <c r="Y42" i="38"/>
  <c r="W42" i="38"/>
  <c r="V42" i="38"/>
  <c r="BG41" i="38"/>
  <c r="BD41" i="38"/>
  <c r="AU41" i="38"/>
  <c r="AS41" i="38"/>
  <c r="AQ41" i="38"/>
  <c r="AO41" i="38"/>
  <c r="AL41" i="38"/>
  <c r="BM41" i="38" s="1"/>
  <c r="AH41" i="38"/>
  <c r="AK41" i="38" s="1"/>
  <c r="BK41" i="38" s="1"/>
  <c r="AF41" i="38"/>
  <c r="AG41" i="38" s="1"/>
  <c r="BJ41" i="38" s="1"/>
  <c r="AC41" i="38"/>
  <c r="Y41" i="38"/>
  <c r="W41" i="38"/>
  <c r="V41" i="38"/>
  <c r="BG40" i="38"/>
  <c r="BD40" i="38"/>
  <c r="AU40" i="38"/>
  <c r="AS40" i="38"/>
  <c r="AQ40" i="38"/>
  <c r="AO40" i="38"/>
  <c r="AN40" i="38"/>
  <c r="F40" i="38" s="1"/>
  <c r="AL40" i="38"/>
  <c r="BM40" i="38" s="1"/>
  <c r="AH40" i="38"/>
  <c r="AK40" i="38" s="1"/>
  <c r="BK40" i="38" s="1"/>
  <c r="AG40" i="38"/>
  <c r="BJ40" i="38" s="1"/>
  <c r="AC40" i="38"/>
  <c r="Y40" i="38"/>
  <c r="W40" i="38"/>
  <c r="V40" i="38"/>
  <c r="BG39" i="38"/>
  <c r="BD39" i="38"/>
  <c r="AU39" i="38"/>
  <c r="AS39" i="38"/>
  <c r="AQ39" i="38"/>
  <c r="AO39" i="38"/>
  <c r="AN39" i="38"/>
  <c r="BL39" i="38" s="1"/>
  <c r="AL39" i="38"/>
  <c r="BM39" i="38" s="1"/>
  <c r="AK39" i="38"/>
  <c r="BK39" i="38" s="1"/>
  <c r="AF39" i="38"/>
  <c r="AG39" i="38"/>
  <c r="BJ39" i="38" s="1"/>
  <c r="AC39" i="38"/>
  <c r="Y39" i="38"/>
  <c r="W39" i="38"/>
  <c r="V39" i="38"/>
  <c r="BP38" i="38"/>
  <c r="BG37" i="38"/>
  <c r="BD37" i="38"/>
  <c r="AS37" i="38"/>
  <c r="AQ37" i="38"/>
  <c r="AO37" i="38"/>
  <c r="AI37" i="38"/>
  <c r="AF37" i="38"/>
  <c r="AD37" i="38"/>
  <c r="BN37" i="38" s="1"/>
  <c r="AC37" i="38"/>
  <c r="AC27" i="38"/>
  <c r="W37" i="38"/>
  <c r="F37" i="38"/>
  <c r="BP36" i="38"/>
  <c r="AS35" i="38"/>
  <c r="AQ35" i="38"/>
  <c r="AO35" i="38"/>
  <c r="AL35" i="38"/>
  <c r="W35" i="38"/>
  <c r="AS34" i="38"/>
  <c r="AQ34" i="38"/>
  <c r="AO34" i="38"/>
  <c r="AL34" i="38"/>
  <c r="AC34" i="38"/>
  <c r="W34" i="38"/>
  <c r="AS33" i="38"/>
  <c r="AQ33" i="38"/>
  <c r="AO33" i="38"/>
  <c r="AL33" i="38"/>
  <c r="AI33" i="38"/>
  <c r="AC33" i="38"/>
  <c r="W33" i="38"/>
  <c r="AS32" i="38"/>
  <c r="AQ32" i="38"/>
  <c r="AO32" i="38"/>
  <c r="AL32" i="38"/>
  <c r="W32" i="38"/>
  <c r="BG31" i="38"/>
  <c r="AS31" i="38"/>
  <c r="AQ31" i="38"/>
  <c r="AO31" i="38"/>
  <c r="AL31" i="38"/>
  <c r="W31" i="38"/>
  <c r="BG30" i="38"/>
  <c r="AS30" i="38"/>
  <c r="AQ30" i="38"/>
  <c r="AO30" i="38"/>
  <c r="AL30" i="38"/>
  <c r="W30" i="38"/>
  <c r="BG29" i="38"/>
  <c r="AS29" i="38"/>
  <c r="AQ29" i="38"/>
  <c r="AO29" i="38"/>
  <c r="AL29" i="38"/>
  <c r="W29" i="38"/>
  <c r="BG28" i="38"/>
  <c r="AS28" i="38"/>
  <c r="AQ28" i="38"/>
  <c r="AO28" i="38"/>
  <c r="AL28" i="38"/>
  <c r="BM28" i="38" s="1"/>
  <c r="AF28" i="38"/>
  <c r="AF32" i="38" s="1"/>
  <c r="AD28" i="38"/>
  <c r="AU28" i="38"/>
  <c r="W28" i="38"/>
  <c r="BG27" i="38"/>
  <c r="AU27" i="38"/>
  <c r="AS27" i="38"/>
  <c r="AQ27" i="38"/>
  <c r="AP27" i="38"/>
  <c r="AN27" i="38" s="1"/>
  <c r="F27" i="38" s="1"/>
  <c r="AO27" i="38"/>
  <c r="AL27" i="38"/>
  <c r="BM27" i="38" s="1"/>
  <c r="W27" i="38"/>
  <c r="B27" i="38"/>
  <c r="B32" i="38" s="1"/>
  <c r="BG25" i="38"/>
  <c r="BD25" i="38"/>
  <c r="AI25" i="38" s="1"/>
  <c r="AL25" i="38" s="1"/>
  <c r="AU25" i="38"/>
  <c r="AS25" i="38"/>
  <c r="AQ25" i="38"/>
  <c r="AO25" i="38"/>
  <c r="AN25" i="38"/>
  <c r="AK25" i="38"/>
  <c r="AG25" i="38"/>
  <c r="AC25" i="38"/>
  <c r="Y25" i="38"/>
  <c r="W25" i="38"/>
  <c r="V25" i="38"/>
  <c r="BG24" i="38"/>
  <c r="AU24" i="38"/>
  <c r="AS24" i="38"/>
  <c r="AQ24" i="38"/>
  <c r="AO24" i="38"/>
  <c r="AN24" i="38"/>
  <c r="AK24" i="38"/>
  <c r="AI24" i="38"/>
  <c r="AL24" i="38" s="1"/>
  <c r="AG24" i="38"/>
  <c r="AC24" i="38"/>
  <c r="Y24" i="38"/>
  <c r="W24" i="38"/>
  <c r="V24" i="38"/>
  <c r="BI23" i="38"/>
  <c r="BH23" i="38"/>
  <c r="BG23" i="38"/>
  <c r="BG48" i="38" s="1"/>
  <c r="AZ23" i="38"/>
  <c r="AN23" i="38"/>
  <c r="AN63" i="38" s="1"/>
  <c r="AL23" i="38"/>
  <c r="AJ23" i="38"/>
  <c r="AM23" i="38" s="1"/>
  <c r="Y23" i="38"/>
  <c r="W23" i="38"/>
  <c r="G23" i="38"/>
  <c r="G48" i="38" s="1"/>
  <c r="G63" i="38" s="1"/>
  <c r="F23" i="38"/>
  <c r="F48" i="38" s="1"/>
  <c r="F63" i="38" s="1"/>
  <c r="BD21" i="38"/>
  <c r="AV21" i="38"/>
  <c r="AT21" i="38"/>
  <c r="AS21" i="38"/>
  <c r="AQ21" i="38"/>
  <c r="AO21" i="38"/>
  <c r="AK21" i="38"/>
  <c r="AI21" i="38"/>
  <c r="AL21" i="38" s="1"/>
  <c r="AC21" i="38"/>
  <c r="Y21" i="38"/>
  <c r="W21" i="38"/>
  <c r="F21" i="38"/>
  <c r="BD20" i="38"/>
  <c r="AV20" i="38"/>
  <c r="AT20" i="38"/>
  <c r="AS20" i="38"/>
  <c r="AQ20" i="38"/>
  <c r="AO20" i="38"/>
  <c r="AK20" i="38"/>
  <c r="AI20" i="38"/>
  <c r="AL20" i="38" s="1"/>
  <c r="AF20" i="38"/>
  <c r="AC20" i="38"/>
  <c r="Y20" i="38"/>
  <c r="W20" i="38"/>
  <c r="F20" i="38"/>
  <c r="BD19" i="38"/>
  <c r="AV19" i="38"/>
  <c r="AT19" i="38"/>
  <c r="AS19" i="38"/>
  <c r="AQ19" i="38"/>
  <c r="AO19" i="38"/>
  <c r="AK19" i="38"/>
  <c r="AI19" i="38"/>
  <c r="AL19" i="38" s="1"/>
  <c r="AF19" i="38"/>
  <c r="AC19" i="38"/>
  <c r="Y19" i="38"/>
  <c r="W19" i="38"/>
  <c r="V19" i="38"/>
  <c r="F19" i="38"/>
  <c r="BD18" i="38"/>
  <c r="AI18" i="38" s="1"/>
  <c r="AL18" i="38" s="1"/>
  <c r="AV18" i="38"/>
  <c r="AT18" i="38"/>
  <c r="AS18" i="38"/>
  <c r="AQ18" i="38"/>
  <c r="AO18" i="38"/>
  <c r="AK18" i="38"/>
  <c r="AC18" i="38"/>
  <c r="Y18" i="38"/>
  <c r="W18" i="38"/>
  <c r="V18" i="38"/>
  <c r="F18" i="38"/>
  <c r="BG17" i="38"/>
  <c r="BH17" i="38" s="1"/>
  <c r="BD17" i="38"/>
  <c r="AI17" i="38" s="1"/>
  <c r="AV17" i="38"/>
  <c r="AT17" i="38"/>
  <c r="AS17" i="38"/>
  <c r="AQ17" i="38"/>
  <c r="AO17" i="38"/>
  <c r="AN17" i="38"/>
  <c r="F17" i="38" s="1"/>
  <c r="AK17" i="38"/>
  <c r="AC17" i="38"/>
  <c r="Y17" i="38"/>
  <c r="W17" i="38"/>
  <c r="V17" i="38"/>
  <c r="BG16" i="38"/>
  <c r="BH16" i="38"/>
  <c r="BD16" i="38"/>
  <c r="AV16" i="38"/>
  <c r="AT16" i="38"/>
  <c r="AS16" i="38"/>
  <c r="AQ16" i="38"/>
  <c r="AO16" i="38"/>
  <c r="AN16" i="38"/>
  <c r="F16" i="38" s="1"/>
  <c r="AK16" i="38"/>
  <c r="AI16" i="38"/>
  <c r="AL16" i="38" s="1"/>
  <c r="AG16" i="38"/>
  <c r="AC16" i="38"/>
  <c r="Y16" i="38"/>
  <c r="W16" i="38"/>
  <c r="V16" i="38"/>
  <c r="C16" i="38"/>
  <c r="BD15" i="38"/>
  <c r="AV15" i="38"/>
  <c r="AT15" i="38"/>
  <c r="AS15" i="38"/>
  <c r="AQ15" i="38"/>
  <c r="AO15" i="38"/>
  <c r="AN15" i="38"/>
  <c r="F15" i="38" s="1"/>
  <c r="AK15" i="38"/>
  <c r="AC15" i="38"/>
  <c r="V15" i="38"/>
  <c r="BD14" i="38"/>
  <c r="AV14" i="38"/>
  <c r="AT14" i="38"/>
  <c r="AS14" i="38"/>
  <c r="AQ14" i="38"/>
  <c r="AO14" i="38"/>
  <c r="AN14" i="38"/>
  <c r="F14" i="38" s="1"/>
  <c r="AK14" i="38"/>
  <c r="AI14" i="38"/>
  <c r="AL14" i="38" s="1"/>
  <c r="AG14" i="38"/>
  <c r="AC14" i="38"/>
  <c r="V14" i="38"/>
  <c r="BD13" i="38"/>
  <c r="BE13" i="38" s="1"/>
  <c r="AV13" i="38"/>
  <c r="AT13" i="38"/>
  <c r="AS13" i="38"/>
  <c r="AQ13" i="38"/>
  <c r="AO13" i="38"/>
  <c r="AN13" i="38"/>
  <c r="F13" i="38" s="1"/>
  <c r="AK13" i="38"/>
  <c r="AC13" i="38"/>
  <c r="V13" i="38"/>
  <c r="AG13" i="38" s="1"/>
  <c r="BD12" i="38"/>
  <c r="AV12" i="38"/>
  <c r="AT12" i="38"/>
  <c r="AS12" i="38"/>
  <c r="AQ12" i="38"/>
  <c r="AO12" i="38"/>
  <c r="AN12" i="38"/>
  <c r="F12" i="38" s="1"/>
  <c r="AK12" i="38"/>
  <c r="AG12" i="38"/>
  <c r="AC12" i="38"/>
  <c r="V12" i="38"/>
  <c r="BD11" i="38"/>
  <c r="AV11" i="38"/>
  <c r="AT11" i="38"/>
  <c r="AS11" i="38"/>
  <c r="AQ11" i="38"/>
  <c r="AO11" i="38"/>
  <c r="AN11" i="38"/>
  <c r="F11" i="38" s="1"/>
  <c r="AK11" i="38"/>
  <c r="AI11" i="38"/>
  <c r="AL11" i="38" s="1"/>
  <c r="AC11" i="38"/>
  <c r="V11" i="38"/>
  <c r="BD10" i="38"/>
  <c r="AV10" i="38"/>
  <c r="AT10" i="38"/>
  <c r="AS10" i="38"/>
  <c r="AQ10" i="38"/>
  <c r="AO10" i="38"/>
  <c r="AN10" i="38"/>
  <c r="F10" i="38" s="1"/>
  <c r="AK10" i="38"/>
  <c r="AI10" i="38"/>
  <c r="AL10" i="38" s="1"/>
  <c r="AC10" i="38"/>
  <c r="V10" i="38"/>
  <c r="BD9" i="38"/>
  <c r="BF9" i="38" s="1"/>
  <c r="AY9" i="38" s="1"/>
  <c r="AV9" i="38"/>
  <c r="AT9" i="38"/>
  <c r="AS9" i="38"/>
  <c r="AQ9" i="38"/>
  <c r="AO9" i="38"/>
  <c r="AN9" i="38"/>
  <c r="F9" i="38" s="1"/>
  <c r="AK9" i="38"/>
  <c r="AI9" i="38"/>
  <c r="AL9" i="38" s="1"/>
  <c r="AC9" i="38"/>
  <c r="B9" i="38"/>
  <c r="B42" i="38" s="1"/>
  <c r="C8" i="38"/>
  <c r="C24" i="38"/>
  <c r="BI6" i="38"/>
  <c r="BH6" i="38"/>
  <c r="BG6" i="38"/>
  <c r="BF6" i="38"/>
  <c r="BE6" i="38"/>
  <c r="BI5" i="38"/>
  <c r="BH5" i="38"/>
  <c r="BG5" i="38"/>
  <c r="BF5" i="38"/>
  <c r="BE5" i="38"/>
  <c r="V5" i="38"/>
  <c r="BI4" i="38"/>
  <c r="BH4" i="38"/>
  <c r="BG4" i="38"/>
  <c r="BF4" i="38"/>
  <c r="BE4" i="38"/>
  <c r="AA4" i="38"/>
  <c r="BE3" i="38"/>
  <c r="AK1" i="38"/>
  <c r="Y1" i="38"/>
  <c r="S8" i="34"/>
  <c r="R8" i="34"/>
  <c r="P8" i="34"/>
  <c r="K8" i="34"/>
  <c r="J8" i="34"/>
  <c r="I8" i="34"/>
  <c r="T7" i="34"/>
  <c r="T8" i="34"/>
  <c r="S7" i="34"/>
  <c r="R7" i="34"/>
  <c r="Q7" i="34"/>
  <c r="Q8" i="34"/>
  <c r="P7" i="34"/>
  <c r="O7" i="34"/>
  <c r="O8" i="34"/>
  <c r="N7" i="34"/>
  <c r="N8" i="34"/>
  <c r="M7" i="34"/>
  <c r="M8" i="34"/>
  <c r="L7" i="34"/>
  <c r="L8" i="34"/>
  <c r="K7" i="34"/>
  <c r="J7" i="34"/>
  <c r="I7" i="34"/>
  <c r="U6" i="34"/>
  <c r="F129" i="16"/>
  <c r="AW124" i="16"/>
  <c r="AW125" i="16" s="1"/>
  <c r="AW126" i="16" s="1"/>
  <c r="AW127" i="16" s="1"/>
  <c r="AL118" i="16"/>
  <c r="AL117" i="16"/>
  <c r="AL119" i="16" s="1"/>
  <c r="AL123" i="16" s="1"/>
  <c r="P106" i="16"/>
  <c r="AE97" i="16"/>
  <c r="AB96" i="16"/>
  <c r="AB95" i="16"/>
  <c r="AB93" i="16"/>
  <c r="D93" i="16"/>
  <c r="E93" i="16" s="1"/>
  <c r="AD92" i="16"/>
  <c r="AB92" i="16"/>
  <c r="AA92" i="16"/>
  <c r="Z91" i="16"/>
  <c r="A88" i="16"/>
  <c r="BD87" i="16"/>
  <c r="BE87" i="16" s="1"/>
  <c r="BH87" i="16" s="1"/>
  <c r="AR87" i="16"/>
  <c r="AQ87" i="16"/>
  <c r="AO87" i="16"/>
  <c r="AM87" i="16"/>
  <c r="AI87" i="16"/>
  <c r="AD87" i="16"/>
  <c r="AE87" i="16" s="1"/>
  <c r="AA87" i="16"/>
  <c r="W87" i="16"/>
  <c r="U87" i="16"/>
  <c r="B87" i="16"/>
  <c r="E87" i="16" s="1"/>
  <c r="AS85" i="16"/>
  <c r="AQ85" i="16"/>
  <c r="AO85" i="16"/>
  <c r="AN85" i="16"/>
  <c r="AM85" i="16"/>
  <c r="AL85" i="16"/>
  <c r="D85" i="16" s="1"/>
  <c r="AF85" i="16"/>
  <c r="AI85" i="16" s="1"/>
  <c r="AA85" i="16"/>
  <c r="W85" i="16"/>
  <c r="T85" i="16"/>
  <c r="AS84" i="16"/>
  <c r="AQ84" i="16"/>
  <c r="AO84" i="16"/>
  <c r="AM84" i="16"/>
  <c r="AB84" i="16"/>
  <c r="AL84" i="16" s="1"/>
  <c r="D84" i="16" s="1"/>
  <c r="AA84" i="16"/>
  <c r="W84" i="16"/>
  <c r="T84" i="16"/>
  <c r="AS83" i="16"/>
  <c r="AQ83" i="16"/>
  <c r="AO83" i="16"/>
  <c r="AM83" i="16"/>
  <c r="AF83" i="16"/>
  <c r="W83" i="16"/>
  <c r="T83" i="16"/>
  <c r="AS82" i="16"/>
  <c r="AR82" i="16"/>
  <c r="AQ82" i="16"/>
  <c r="AO82" i="16"/>
  <c r="AM82" i="16"/>
  <c r="AF82" i="16"/>
  <c r="AA82" i="16"/>
  <c r="W82" i="16"/>
  <c r="T82" i="16"/>
  <c r="AS81" i="16"/>
  <c r="AR81" i="16"/>
  <c r="AQ81" i="16"/>
  <c r="AO81" i="16"/>
  <c r="AM81" i="16"/>
  <c r="AF81" i="16"/>
  <c r="AA81" i="16"/>
  <c r="W81" i="16"/>
  <c r="T81" i="16"/>
  <c r="AS80" i="16"/>
  <c r="AR80" i="16"/>
  <c r="AQ80" i="16"/>
  <c r="AO80" i="16"/>
  <c r="AM80" i="16"/>
  <c r="AF80" i="16"/>
  <c r="AA80" i="16"/>
  <c r="W80" i="16"/>
  <c r="T80" i="16"/>
  <c r="AS79" i="16"/>
  <c r="AR79" i="16"/>
  <c r="AQ79" i="16"/>
  <c r="AO79" i="16"/>
  <c r="AM79" i="16"/>
  <c r="AF79" i="16"/>
  <c r="AA79" i="16"/>
  <c r="W79" i="16"/>
  <c r="T79" i="16"/>
  <c r="AS78" i="16"/>
  <c r="AR78" i="16"/>
  <c r="AR85" i="16" s="1"/>
  <c r="AQ78" i="16"/>
  <c r="AO78" i="16"/>
  <c r="AM78" i="16"/>
  <c r="AF78" i="16"/>
  <c r="AI78" i="16" s="1"/>
  <c r="AB78" i="16"/>
  <c r="AA78" i="16"/>
  <c r="W78" i="16"/>
  <c r="T78" i="16"/>
  <c r="AS77" i="16"/>
  <c r="AR77" i="16"/>
  <c r="AQ77" i="16"/>
  <c r="AO77" i="16"/>
  <c r="AM77" i="16"/>
  <c r="AL77" i="16"/>
  <c r="D77" i="16" s="1"/>
  <c r="AI77" i="16"/>
  <c r="AD77" i="16"/>
  <c r="AD84" i="16" s="1"/>
  <c r="AA77" i="16"/>
  <c r="W77" i="16"/>
  <c r="BC75" i="16"/>
  <c r="AR75" i="16"/>
  <c r="AQ75" i="16"/>
  <c r="AO75" i="16"/>
  <c r="AM75" i="16"/>
  <c r="AD75" i="16"/>
  <c r="AB75" i="16"/>
  <c r="AA75" i="16"/>
  <c r="W75" i="16"/>
  <c r="A75" i="16"/>
  <c r="B75" i="16" s="1"/>
  <c r="AT73" i="16"/>
  <c r="AO73" i="16"/>
  <c r="AM73" i="16"/>
  <c r="AL73" i="16"/>
  <c r="D73" i="16" s="1"/>
  <c r="AI73" i="16"/>
  <c r="BK73" i="16" s="1"/>
  <c r="U73" i="16"/>
  <c r="AT72" i="16"/>
  <c r="AO72" i="16"/>
  <c r="AM72" i="16"/>
  <c r="AL72" i="16"/>
  <c r="AI72" i="16"/>
  <c r="BK72" i="16" s="1"/>
  <c r="AH72" i="16"/>
  <c r="W72" i="16"/>
  <c r="U72" i="16"/>
  <c r="A72" i="16"/>
  <c r="E72" i="16" s="1"/>
  <c r="BD72" i="16" s="1"/>
  <c r="BE72" i="16" s="1"/>
  <c r="BM70" i="16"/>
  <c r="BL70" i="16"/>
  <c r="AT69" i="16"/>
  <c r="AO69" i="16"/>
  <c r="AM69" i="16"/>
  <c r="AL69" i="16"/>
  <c r="D69" i="16" s="1"/>
  <c r="AI69" i="16"/>
  <c r="BK69" i="16" s="1"/>
  <c r="W69" i="16"/>
  <c r="U69" i="16"/>
  <c r="BF68" i="16"/>
  <c r="AG68" i="16"/>
  <c r="AJ68" i="16" s="1"/>
  <c r="AC68" i="16"/>
  <c r="W68" i="16"/>
  <c r="BM67" i="16"/>
  <c r="BL67" i="16"/>
  <c r="AQ66" i="16"/>
  <c r="AO66" i="16"/>
  <c r="AM66" i="16"/>
  <c r="AJ66" i="16"/>
  <c r="AR65" i="16"/>
  <c r="AR66" i="16" s="1"/>
  <c r="AQ65" i="16"/>
  <c r="AO65" i="16"/>
  <c r="AM65" i="16"/>
  <c r="AJ65" i="16"/>
  <c r="AD65" i="16"/>
  <c r="AF60" i="38" s="1"/>
  <c r="AG60" i="38" s="1"/>
  <c r="BJ60" i="38" s="1"/>
  <c r="AB65" i="16"/>
  <c r="AL65" i="16" s="1"/>
  <c r="BL65" i="16" s="1"/>
  <c r="W65" i="16"/>
  <c r="W66" i="16" s="1"/>
  <c r="U65" i="16"/>
  <c r="BC64" i="16"/>
  <c r="AQ64" i="16"/>
  <c r="AO64" i="16"/>
  <c r="AM64" i="16"/>
  <c r="AJ64" i="16"/>
  <c r="AD64" i="16"/>
  <c r="AB64" i="16"/>
  <c r="AN64" i="16"/>
  <c r="AL64" i="16" s="1"/>
  <c r="BL64" i="16" s="1"/>
  <c r="AA64" i="16"/>
  <c r="T64" i="16"/>
  <c r="BC63" i="16"/>
  <c r="AQ63" i="16"/>
  <c r="AO63" i="16"/>
  <c r="AM63" i="16"/>
  <c r="AJ63" i="16"/>
  <c r="AD63" i="16"/>
  <c r="AE63" i="16" s="1"/>
  <c r="BI63" i="16" s="1"/>
  <c r="AB63" i="16"/>
  <c r="AA63" i="16"/>
  <c r="T63" i="16"/>
  <c r="BC62" i="16"/>
  <c r="AR62" i="16"/>
  <c r="AR63" i="16" s="1"/>
  <c r="AR64" i="16" s="1"/>
  <c r="AQ62" i="16"/>
  <c r="AO62" i="16"/>
  <c r="AM62" i="16"/>
  <c r="AL62" i="16"/>
  <c r="D62" i="16" s="1"/>
  <c r="AJ62" i="16"/>
  <c r="AI62" i="16"/>
  <c r="BK62" i="16" s="1"/>
  <c r="AE62" i="16"/>
  <c r="BI62" i="16" s="1"/>
  <c r="AA62" i="16"/>
  <c r="W62" i="16"/>
  <c r="W63" i="16" s="1"/>
  <c r="W64" i="16" s="1"/>
  <c r="U62" i="16"/>
  <c r="T62" i="16"/>
  <c r="BC61" i="16"/>
  <c r="AQ61" i="16"/>
  <c r="AO61" i="16"/>
  <c r="AN61" i="16"/>
  <c r="AL61" i="16" s="1"/>
  <c r="D61" i="16" s="1"/>
  <c r="AM61" i="16"/>
  <c r="AJ61" i="16"/>
  <c r="AF61" i="16"/>
  <c r="AD61" i="16"/>
  <c r="AD51" i="16" s="1"/>
  <c r="AA61" i="16"/>
  <c r="T61" i="16"/>
  <c r="AS60" i="16"/>
  <c r="AQ60" i="16"/>
  <c r="AO60" i="16"/>
  <c r="AN60" i="16"/>
  <c r="AL60" i="16" s="1"/>
  <c r="AM60" i="16"/>
  <c r="AJ60" i="16"/>
  <c r="AF60" i="16"/>
  <c r="AA60" i="16"/>
  <c r="T60" i="16"/>
  <c r="BC59" i="16"/>
  <c r="AS59" i="16"/>
  <c r="AQ59" i="16"/>
  <c r="AO59" i="16"/>
  <c r="AM59" i="16"/>
  <c r="AJ59" i="16"/>
  <c r="AD59" i="16"/>
  <c r="AB59" i="16"/>
  <c r="AI59" i="16" s="1"/>
  <c r="BK59" i="16" s="1"/>
  <c r="AA59" i="16"/>
  <c r="W59" i="16"/>
  <c r="U59" i="16"/>
  <c r="T59" i="16"/>
  <c r="BC58" i="16"/>
  <c r="AS58" i="16"/>
  <c r="AQ58" i="16"/>
  <c r="AO58" i="16"/>
  <c r="AM58" i="16"/>
  <c r="AJ58" i="16"/>
  <c r="AF58" i="16"/>
  <c r="AD58" i="16"/>
  <c r="W58" i="16"/>
  <c r="U58" i="16"/>
  <c r="T58" i="16"/>
  <c r="BC57" i="16"/>
  <c r="AS57" i="16"/>
  <c r="AR57" i="16"/>
  <c r="AQ57" i="16"/>
  <c r="AO57" i="16"/>
  <c r="AM57" i="16"/>
  <c r="AJ57" i="16"/>
  <c r="AF57" i="16"/>
  <c r="AD57" i="16"/>
  <c r="AA57" i="16"/>
  <c r="AA58" i="16" s="1"/>
  <c r="W57" i="16"/>
  <c r="U57" i="16"/>
  <c r="T57" i="16"/>
  <c r="BC56" i="16"/>
  <c r="AS56" i="16"/>
  <c r="AR56" i="16"/>
  <c r="AQ56" i="16"/>
  <c r="AO56" i="16"/>
  <c r="AM56" i="16"/>
  <c r="AJ56" i="16"/>
  <c r="AF56" i="16"/>
  <c r="AD56" i="16"/>
  <c r="AA56" i="16"/>
  <c r="W56" i="16"/>
  <c r="U56" i="16"/>
  <c r="T56" i="16"/>
  <c r="BC55" i="16"/>
  <c r="AS55" i="16"/>
  <c r="AR55" i="16"/>
  <c r="AQ55" i="16"/>
  <c r="AO55" i="16"/>
  <c r="AM55" i="16"/>
  <c r="AJ55" i="16"/>
  <c r="AF55" i="16"/>
  <c r="AD55" i="16"/>
  <c r="AA55" i="16"/>
  <c r="W55" i="16"/>
  <c r="U55" i="16"/>
  <c r="T55" i="16"/>
  <c r="BC54" i="16"/>
  <c r="AS54" i="16"/>
  <c r="AR54" i="16"/>
  <c r="AQ54" i="16"/>
  <c r="AO54" i="16"/>
  <c r="AM54" i="16"/>
  <c r="AJ54" i="16"/>
  <c r="AF54" i="16"/>
  <c r="AD54" i="16"/>
  <c r="AA54" i="16"/>
  <c r="AA73" i="16" s="1"/>
  <c r="W54" i="16"/>
  <c r="U54" i="16"/>
  <c r="T54" i="16"/>
  <c r="BC53" i="16"/>
  <c r="AS53" i="16"/>
  <c r="AR53" i="16"/>
  <c r="AR61" i="16" s="1"/>
  <c r="AQ53" i="16"/>
  <c r="AO53" i="16"/>
  <c r="AM53" i="16"/>
  <c r="AJ53" i="16"/>
  <c r="AF53" i="16"/>
  <c r="AD53" i="16"/>
  <c r="AB53" i="16"/>
  <c r="AL53" i="16" s="1"/>
  <c r="BL53" i="16" s="1"/>
  <c r="AA53" i="16"/>
  <c r="AA72" i="16" s="1"/>
  <c r="W53" i="16"/>
  <c r="U53" i="16"/>
  <c r="T53" i="16"/>
  <c r="BL52" i="16"/>
  <c r="BC52" i="16"/>
  <c r="AS52" i="16"/>
  <c r="AS69" i="16"/>
  <c r="AR52" i="16"/>
  <c r="AR60" i="16" s="1"/>
  <c r="AQ52" i="16"/>
  <c r="AJ52" i="16"/>
  <c r="AI52" i="16"/>
  <c r="BK52" i="16" s="1"/>
  <c r="AA52" i="16"/>
  <c r="AA69" i="16" s="1"/>
  <c r="W52" i="16"/>
  <c r="U52" i="16"/>
  <c r="T52" i="16"/>
  <c r="T69" i="16" s="1"/>
  <c r="T72" i="16" s="1"/>
  <c r="D52" i="16"/>
  <c r="A52" i="16"/>
  <c r="BL51" i="16"/>
  <c r="BC51" i="16"/>
  <c r="AT51" i="16"/>
  <c r="AS51" i="16"/>
  <c r="AR51" i="16"/>
  <c r="AQ51" i="16"/>
  <c r="AO51" i="16"/>
  <c r="AM51" i="16"/>
  <c r="AI51" i="16"/>
  <c r="BK51" i="16" s="1"/>
  <c r="AA51" i="16"/>
  <c r="W51" i="16"/>
  <c r="T51" i="16"/>
  <c r="D51" i="16"/>
  <c r="BL50" i="16"/>
  <c r="BF50" i="16"/>
  <c r="BC50" i="16"/>
  <c r="AS50" i="16"/>
  <c r="AR50" i="16"/>
  <c r="AQ50" i="16"/>
  <c r="AJ50" i="16"/>
  <c r="AI50" i="16"/>
  <c r="BK50" i="16" s="1"/>
  <c r="AD50" i="16"/>
  <c r="AA50" i="16"/>
  <c r="W50" i="16"/>
  <c r="U50" i="16"/>
  <c r="T50" i="16"/>
  <c r="D50" i="16"/>
  <c r="BH49" i="16"/>
  <c r="BH68" i="16" s="1"/>
  <c r="BG49" i="16"/>
  <c r="BG68" i="16"/>
  <c r="AX49" i="16"/>
  <c r="AX68" i="16" s="1"/>
  <c r="AL49" i="16"/>
  <c r="AH49" i="16"/>
  <c r="AK49" i="16" s="1"/>
  <c r="AG49" i="16"/>
  <c r="AJ49" i="16" s="1"/>
  <c r="AC49" i="16"/>
  <c r="W49" i="16"/>
  <c r="AS47" i="16"/>
  <c r="AO47" i="16"/>
  <c r="AM47" i="16"/>
  <c r="AJ47" i="16"/>
  <c r="AF47" i="16"/>
  <c r="AD47" i="16"/>
  <c r="AD31" i="16" s="1"/>
  <c r="W47" i="16"/>
  <c r="U47" i="16"/>
  <c r="T47" i="16"/>
  <c r="BC46" i="16"/>
  <c r="AS46" i="16"/>
  <c r="AQ46" i="16"/>
  <c r="AO46" i="16"/>
  <c r="AM46" i="16"/>
  <c r="AJ46" i="16"/>
  <c r="AF46" i="16"/>
  <c r="AB46" i="16"/>
  <c r="AB30" i="16" s="1"/>
  <c r="AA46" i="16"/>
  <c r="AA36" i="16" s="1"/>
  <c r="W46" i="16"/>
  <c r="U46" i="16"/>
  <c r="T46" i="16"/>
  <c r="BF45" i="16"/>
  <c r="BC45" i="16"/>
  <c r="AS45" i="16"/>
  <c r="AQ45" i="16"/>
  <c r="AO45" i="16"/>
  <c r="AM45" i="16"/>
  <c r="AJ45" i="16"/>
  <c r="AA45" i="16"/>
  <c r="W45" i="16"/>
  <c r="U45" i="16"/>
  <c r="T45" i="16"/>
  <c r="BC44" i="16"/>
  <c r="AS44" i="16"/>
  <c r="AQ44" i="16"/>
  <c r="AO44" i="16"/>
  <c r="AM44" i="16"/>
  <c r="AJ44" i="16"/>
  <c r="AF44" i="16"/>
  <c r="AD44" i="16"/>
  <c r="AD46" i="16" s="1"/>
  <c r="AD36" i="16" s="1"/>
  <c r="AB44" i="16"/>
  <c r="AL44" i="16" s="1"/>
  <c r="AA44" i="16"/>
  <c r="AA29" i="16" s="1"/>
  <c r="W44" i="16"/>
  <c r="U44" i="16"/>
  <c r="T44" i="16"/>
  <c r="BF43" i="16"/>
  <c r="AS43" i="16"/>
  <c r="AQ43" i="16"/>
  <c r="AO43" i="16"/>
  <c r="AM43" i="16"/>
  <c r="AL43" i="16"/>
  <c r="AN28" i="38" s="1"/>
  <c r="F28" i="38" s="1"/>
  <c r="AI43" i="16"/>
  <c r="BK43" i="16" s="1"/>
  <c r="AE43" i="16"/>
  <c r="BI43" i="16" s="1"/>
  <c r="AA43" i="16"/>
  <c r="AA28" i="16" s="1"/>
  <c r="W43" i="16"/>
  <c r="U43" i="16"/>
  <c r="T43" i="16"/>
  <c r="BF42" i="16"/>
  <c r="BC42" i="16"/>
  <c r="AS42" i="16"/>
  <c r="AQ42" i="16"/>
  <c r="AO42" i="16"/>
  <c r="AM42" i="16"/>
  <c r="AJ42" i="16"/>
  <c r="AF42" i="16"/>
  <c r="AD42" i="16"/>
  <c r="AE42" i="16" s="1"/>
  <c r="BI42" i="16" s="1"/>
  <c r="AA42" i="16"/>
  <c r="AA35" i="16" s="1"/>
  <c r="W42" i="16"/>
  <c r="U42" i="16"/>
  <c r="T42" i="16"/>
  <c r="BC41" i="16"/>
  <c r="AS41" i="16"/>
  <c r="AQ41" i="16"/>
  <c r="AO41" i="16"/>
  <c r="AM41" i="16"/>
  <c r="AL41" i="16"/>
  <c r="BL41" i="16" s="1"/>
  <c r="AJ41" i="16"/>
  <c r="AF41" i="16"/>
  <c r="AI41" i="16" s="1"/>
  <c r="BK41" i="16" s="1"/>
  <c r="AE41" i="16"/>
  <c r="BI41" i="16" s="1"/>
  <c r="AA41" i="16"/>
  <c r="W41" i="16"/>
  <c r="U41" i="16"/>
  <c r="T41" i="16"/>
  <c r="BC27" i="16"/>
  <c r="AS40" i="16"/>
  <c r="AO40" i="16"/>
  <c r="AM40" i="16"/>
  <c r="AL40" i="16"/>
  <c r="D40" i="16" s="1"/>
  <c r="AJ40" i="16"/>
  <c r="AI40" i="16"/>
  <c r="BK40" i="16" s="1"/>
  <c r="AE40" i="16"/>
  <c r="BI40" i="16" s="1"/>
  <c r="AA40" i="16"/>
  <c r="W40" i="16"/>
  <c r="U40" i="16"/>
  <c r="T40" i="16"/>
  <c r="BF38" i="16"/>
  <c r="AO38" i="16"/>
  <c r="AM38" i="16"/>
  <c r="AA38" i="16"/>
  <c r="AA27" i="16" s="1"/>
  <c r="U38" i="16"/>
  <c r="D38" i="16"/>
  <c r="BC37" i="16"/>
  <c r="AO37" i="16"/>
  <c r="AM37" i="16"/>
  <c r="AJ37" i="16"/>
  <c r="U37" i="16"/>
  <c r="AQ36" i="16"/>
  <c r="AO36" i="16"/>
  <c r="AM36" i="16"/>
  <c r="AJ36" i="16"/>
  <c r="U36" i="16"/>
  <c r="AQ35" i="16"/>
  <c r="AQ38" i="16" s="1"/>
  <c r="AO35" i="16"/>
  <c r="AM35" i="16"/>
  <c r="AJ35" i="16"/>
  <c r="U35" i="16"/>
  <c r="AO34" i="16"/>
  <c r="AM34" i="16"/>
  <c r="AJ34" i="16"/>
  <c r="AB33" i="16"/>
  <c r="X33" i="16" s="1"/>
  <c r="U34" i="16"/>
  <c r="BF33" i="16"/>
  <c r="AQ33" i="16"/>
  <c r="AO33" i="16"/>
  <c r="AM33" i="16"/>
  <c r="U33" i="16"/>
  <c r="BP32" i="16"/>
  <c r="AO31" i="16"/>
  <c r="AM31" i="16"/>
  <c r="AJ31" i="16"/>
  <c r="U31" i="16"/>
  <c r="AQ30" i="16"/>
  <c r="AO30" i="16"/>
  <c r="AM30" i="16"/>
  <c r="AJ30" i="16"/>
  <c r="U30" i="16"/>
  <c r="AQ29" i="16"/>
  <c r="AO29" i="16"/>
  <c r="AM29" i="16"/>
  <c r="AJ29" i="16"/>
  <c r="U29" i="16"/>
  <c r="BF28" i="16"/>
  <c r="AO28" i="16"/>
  <c r="AM28" i="16"/>
  <c r="AJ28" i="16"/>
  <c r="AD28" i="16"/>
  <c r="AD27" i="16" s="1"/>
  <c r="AE27" i="16" s="1"/>
  <c r="BI27" i="16" s="1"/>
  <c r="AB28" i="16"/>
  <c r="AN28" i="16" s="1"/>
  <c r="U28" i="16"/>
  <c r="BF27" i="16"/>
  <c r="AS27" i="16"/>
  <c r="AQ27" i="16"/>
  <c r="AO27" i="16"/>
  <c r="AN27" i="16"/>
  <c r="AL27" i="16" s="1"/>
  <c r="BL27" i="16" s="1"/>
  <c r="AM27" i="16"/>
  <c r="AJ27" i="16"/>
  <c r="BM27" i="16" s="1"/>
  <c r="U27" i="16"/>
  <c r="BF25" i="16"/>
  <c r="BC25" i="16"/>
  <c r="AG25" i="16" s="1"/>
  <c r="AJ25" i="16" s="1"/>
  <c r="AS25" i="16"/>
  <c r="AQ25" i="16"/>
  <c r="AO25" i="16"/>
  <c r="AM25" i="16"/>
  <c r="AL25" i="16"/>
  <c r="AI25" i="16"/>
  <c r="AE25" i="16"/>
  <c r="AA25" i="16"/>
  <c r="W25" i="16"/>
  <c r="U25" i="16"/>
  <c r="T25" i="16"/>
  <c r="BF24" i="16"/>
  <c r="AS24" i="16"/>
  <c r="AQ24" i="16"/>
  <c r="AO24" i="16"/>
  <c r="AM24" i="16"/>
  <c r="AL24" i="16"/>
  <c r="AI24" i="16"/>
  <c r="AG24" i="16"/>
  <c r="AJ24" i="16" s="1"/>
  <c r="AE24" i="16"/>
  <c r="AA24" i="16"/>
  <c r="W24" i="16"/>
  <c r="U24" i="16"/>
  <c r="T24" i="16"/>
  <c r="BH23" i="16"/>
  <c r="BG23" i="16"/>
  <c r="BF23" i="16"/>
  <c r="BF49" i="16" s="1"/>
  <c r="AX23" i="16"/>
  <c r="AL23" i="16"/>
  <c r="AL68" i="16" s="1"/>
  <c r="AJ23" i="16"/>
  <c r="AH23" i="16"/>
  <c r="AH60" i="16" s="1"/>
  <c r="AK60" i="16" s="1"/>
  <c r="W23" i="16"/>
  <c r="U23" i="16"/>
  <c r="E23" i="16"/>
  <c r="E49" i="16" s="1"/>
  <c r="E68" i="16" s="1"/>
  <c r="D23" i="16"/>
  <c r="D49" i="16" s="1"/>
  <c r="D68" i="16" s="1"/>
  <c r="BC22" i="16"/>
  <c r="AT22" i="16"/>
  <c r="AS22" i="16"/>
  <c r="AR22" i="16"/>
  <c r="AQ22" i="16"/>
  <c r="AO22" i="16"/>
  <c r="AM22" i="16"/>
  <c r="AI22" i="16"/>
  <c r="AA22" i="16"/>
  <c r="W22" i="16"/>
  <c r="U22" i="16"/>
  <c r="D22" i="16"/>
  <c r="BF21" i="16"/>
  <c r="BC21" i="16"/>
  <c r="AS21" i="16"/>
  <c r="AR21" i="16"/>
  <c r="AQ21" i="16"/>
  <c r="AJ21" i="16"/>
  <c r="BM21" i="16" s="1"/>
  <c r="AI21" i="16"/>
  <c r="BK21" i="16" s="1"/>
  <c r="AD21" i="16"/>
  <c r="AD20" i="16" s="1"/>
  <c r="AA21" i="16"/>
  <c r="W21" i="16"/>
  <c r="U21" i="16"/>
  <c r="T21" i="16"/>
  <c r="D21" i="16"/>
  <c r="A21" i="16"/>
  <c r="B95" i="12" s="1"/>
  <c r="BC20" i="16"/>
  <c r="AT20" i="16"/>
  <c r="AR20" i="16"/>
  <c r="AQ20" i="16"/>
  <c r="AO20" i="16"/>
  <c r="AM20" i="16"/>
  <c r="AI20" i="16"/>
  <c r="AG20" i="16"/>
  <c r="AJ20" i="16" s="1"/>
  <c r="AA20" i="16"/>
  <c r="W20" i="16"/>
  <c r="U20" i="16"/>
  <c r="T20" i="16"/>
  <c r="D20" i="16"/>
  <c r="BC19" i="16"/>
  <c r="AT19" i="16"/>
  <c r="AR19" i="16"/>
  <c r="AQ19" i="16"/>
  <c r="AO19" i="16"/>
  <c r="AM19" i="16"/>
  <c r="AI19" i="16"/>
  <c r="AA19" i="16"/>
  <c r="W19" i="16"/>
  <c r="U19" i="16"/>
  <c r="T19" i="16"/>
  <c r="D19" i="16"/>
  <c r="BF18" i="16"/>
  <c r="BG18" i="16" s="1"/>
  <c r="BC18" i="16"/>
  <c r="AT18" i="16"/>
  <c r="AR18" i="16"/>
  <c r="AQ18" i="16"/>
  <c r="AO18" i="16"/>
  <c r="AM18" i="16"/>
  <c r="AL18" i="16"/>
  <c r="D18" i="16" s="1"/>
  <c r="AI18" i="16"/>
  <c r="AA18" i="16"/>
  <c r="W18" i="16"/>
  <c r="U18" i="16"/>
  <c r="T18" i="16"/>
  <c r="BF17" i="16"/>
  <c r="BG17" i="16" s="1"/>
  <c r="BC17" i="16"/>
  <c r="BE17" i="16" s="1"/>
  <c r="AT17" i="16"/>
  <c r="AR17" i="16"/>
  <c r="AQ17" i="16"/>
  <c r="AO17" i="16"/>
  <c r="AM17" i="16"/>
  <c r="AL17" i="16"/>
  <c r="D17" i="16" s="1"/>
  <c r="AI17" i="16"/>
  <c r="AG17" i="16"/>
  <c r="AJ17" i="16" s="1"/>
  <c r="AE17" i="16"/>
  <c r="AA17" i="16"/>
  <c r="W17" i="16"/>
  <c r="U17" i="16"/>
  <c r="T17" i="16"/>
  <c r="B17" i="16"/>
  <c r="BC16" i="16"/>
  <c r="AG16" i="16" s="1"/>
  <c r="AJ16" i="16" s="1"/>
  <c r="AT16" i="16"/>
  <c r="AR16" i="16"/>
  <c r="AQ16" i="16"/>
  <c r="AO16" i="16"/>
  <c r="AM16" i="16"/>
  <c r="AL16" i="16"/>
  <c r="D16" i="16" s="1"/>
  <c r="AI16" i="16"/>
  <c r="AA16" i="16"/>
  <c r="T16" i="16"/>
  <c r="BC15" i="16"/>
  <c r="AT15" i="16"/>
  <c r="AR15" i="16"/>
  <c r="AQ15" i="16"/>
  <c r="AO15" i="16"/>
  <c r="AM15" i="16"/>
  <c r="AL15" i="16"/>
  <c r="D15" i="16" s="1"/>
  <c r="AI15" i="16"/>
  <c r="AG15" i="16"/>
  <c r="AJ15" i="16" s="1"/>
  <c r="AE15" i="16"/>
  <c r="AA15" i="16"/>
  <c r="T15" i="16"/>
  <c r="BC14" i="16"/>
  <c r="AG14" i="16" s="1"/>
  <c r="AJ14" i="16" s="1"/>
  <c r="AU14" i="16" s="1"/>
  <c r="AT14" i="16"/>
  <c r="AR14" i="16"/>
  <c r="AQ14" i="16"/>
  <c r="AO14" i="16"/>
  <c r="AM14" i="16"/>
  <c r="AL14" i="16"/>
  <c r="D14" i="16" s="1"/>
  <c r="AI14" i="16"/>
  <c r="AA14" i="16"/>
  <c r="T14" i="16"/>
  <c r="BC13" i="16"/>
  <c r="AT13" i="16"/>
  <c r="AR13" i="16"/>
  <c r="AQ13" i="16"/>
  <c r="AO13" i="16"/>
  <c r="AM13" i="16"/>
  <c r="AL13" i="16"/>
  <c r="D13" i="16" s="1"/>
  <c r="AI13" i="16"/>
  <c r="AE13" i="16"/>
  <c r="AA13" i="16"/>
  <c r="T13" i="16"/>
  <c r="BC12" i="16"/>
  <c r="AT12" i="16"/>
  <c r="AR12" i="16"/>
  <c r="AQ12" i="16"/>
  <c r="AO12" i="16"/>
  <c r="AM12" i="16"/>
  <c r="AL12" i="16"/>
  <c r="D12" i="16" s="1"/>
  <c r="AI12" i="16"/>
  <c r="AG12" i="16"/>
  <c r="AJ12" i="16" s="1"/>
  <c r="AA12" i="16"/>
  <c r="T12" i="16"/>
  <c r="BC11" i="16"/>
  <c r="AT11" i="16"/>
  <c r="AR11" i="16"/>
  <c r="AQ11" i="16"/>
  <c r="AO11" i="16"/>
  <c r="AM11" i="16"/>
  <c r="AL11" i="16"/>
  <c r="D11" i="16" s="1"/>
  <c r="AI11" i="16"/>
  <c r="AG11" i="16"/>
  <c r="AJ11" i="16" s="1"/>
  <c r="AA11" i="16"/>
  <c r="T11" i="16"/>
  <c r="BC10" i="16"/>
  <c r="AT10" i="16"/>
  <c r="AR10" i="16"/>
  <c r="AQ10" i="16"/>
  <c r="AO10" i="16"/>
  <c r="AM10" i="16"/>
  <c r="AL10" i="16"/>
  <c r="D10" i="16" s="1"/>
  <c r="AI10" i="16"/>
  <c r="AG10" i="16"/>
  <c r="AJ10" i="16" s="1"/>
  <c r="AA10" i="16"/>
  <c r="A10" i="16"/>
  <c r="A28" i="16" s="1"/>
  <c r="B24" i="16"/>
  <c r="BL6" i="16"/>
  <c r="BL8" i="16" s="1"/>
  <c r="BO5" i="16"/>
  <c r="AE5" i="16" a="1"/>
  <c r="AE5" i="16" s="1"/>
  <c r="T5" i="16"/>
  <c r="V5" i="16" s="1"/>
  <c r="BJ4" i="16"/>
  <c r="BJ5" i="16" s="1"/>
  <c r="BG3" i="38"/>
  <c r="AI1" i="16"/>
  <c r="W1" i="16"/>
  <c r="D116" i="12"/>
  <c r="F109" i="12"/>
  <c r="D106" i="12"/>
  <c r="C106" i="12"/>
  <c r="D104" i="12"/>
  <c r="C101" i="12"/>
  <c r="W62" i="12" s="1"/>
  <c r="C100" i="12"/>
  <c r="O95" i="12"/>
  <c r="O92" i="12"/>
  <c r="H91" i="12"/>
  <c r="H92" i="12" s="1"/>
  <c r="J88" i="12"/>
  <c r="C88" i="12"/>
  <c r="D88" i="12" s="1"/>
  <c r="D77" i="12" s="1"/>
  <c r="D87" i="12"/>
  <c r="J86" i="12"/>
  <c r="D84" i="12"/>
  <c r="H82" i="12"/>
  <c r="AI60" i="16" s="1"/>
  <c r="BK60" i="16" s="1"/>
  <c r="H80" i="12"/>
  <c r="AK27" i="38"/>
  <c r="BK27" i="38" s="1"/>
  <c r="D79" i="12"/>
  <c r="AP30" i="16" s="1"/>
  <c r="AY69" i="12"/>
  <c r="AY68" i="12"/>
  <c r="Q68" i="12"/>
  <c r="AY67" i="12"/>
  <c r="AY66" i="12"/>
  <c r="Q66" i="12"/>
  <c r="AY65" i="12"/>
  <c r="AY64" i="12"/>
  <c r="AY63" i="12"/>
  <c r="AY62" i="12"/>
  <c r="AY61" i="12"/>
  <c r="AY60" i="12"/>
  <c r="AH57" i="39" s="1"/>
  <c r="AK57" i="39" s="1"/>
  <c r="AY59" i="12"/>
  <c r="AY58" i="12"/>
  <c r="AY57" i="12"/>
  <c r="AY56" i="12"/>
  <c r="AY55" i="12"/>
  <c r="AH53" i="39" s="1"/>
  <c r="AK53" i="39" s="1"/>
  <c r="AY54" i="12"/>
  <c r="AY53" i="12"/>
  <c r="AY52" i="12"/>
  <c r="AY51" i="12"/>
  <c r="AY50" i="12"/>
  <c r="AY49" i="12"/>
  <c r="AY48" i="12"/>
  <c r="AY47" i="12"/>
  <c r="AY46" i="12"/>
  <c r="AH51" i="39" s="1"/>
  <c r="AK51" i="39" s="1"/>
  <c r="AY45" i="12"/>
  <c r="J45" i="12"/>
  <c r="AY44" i="12"/>
  <c r="J44" i="12"/>
  <c r="AY43" i="12"/>
  <c r="J43" i="12"/>
  <c r="D75" i="37"/>
  <c r="J42" i="12"/>
  <c r="D83" i="39" s="1"/>
  <c r="J41" i="12"/>
  <c r="D42" i="37"/>
  <c r="BE40" i="12"/>
  <c r="BF38" i="12"/>
  <c r="BG38" i="12" s="1"/>
  <c r="BH38" i="12" s="1"/>
  <c r="BF41" i="12" s="1"/>
  <c r="BF40" i="12" s="1"/>
  <c r="BG40" i="12" s="1"/>
  <c r="BE38" i="12"/>
  <c r="AB36" i="12"/>
  <c r="U36" i="12"/>
  <c r="G31" i="12"/>
  <c r="H31" i="12"/>
  <c r="H32" i="12" s="1"/>
  <c r="AO29" i="12"/>
  <c r="AN29" i="12"/>
  <c r="I29" i="12"/>
  <c r="H29" i="12"/>
  <c r="G29" i="12"/>
  <c r="F29" i="12"/>
  <c r="AO28" i="12"/>
  <c r="AN28" i="12"/>
  <c r="AO27" i="12"/>
  <c r="AN27" i="12"/>
  <c r="AO26" i="12"/>
  <c r="AN26" i="12"/>
  <c r="AO25" i="12"/>
  <c r="AN25" i="12"/>
  <c r="AZ24" i="12"/>
  <c r="AO24" i="12"/>
  <c r="AN24" i="12"/>
  <c r="BB23" i="12"/>
  <c r="AO23" i="12"/>
  <c r="AN23" i="12"/>
  <c r="AO22" i="12"/>
  <c r="AN22" i="12"/>
  <c r="AO21" i="12"/>
  <c r="AN21" i="12"/>
  <c r="N21" i="12"/>
  <c r="L21" i="12"/>
  <c r="H21" i="12"/>
  <c r="T51" i="23" s="1"/>
  <c r="G21" i="12"/>
  <c r="AY20" i="12" a="1"/>
  <c r="AY20" i="12" s="1"/>
  <c r="AT18" i="12" s="1"/>
  <c r="AO20" i="12"/>
  <c r="AN20" i="12"/>
  <c r="N20" i="12"/>
  <c r="L20" i="12"/>
  <c r="H20" i="12"/>
  <c r="S26" i="29" s="1"/>
  <c r="G20" i="12"/>
  <c r="BB19" i="12" a="1"/>
  <c r="BB19" i="12"/>
  <c r="AO19" i="12"/>
  <c r="AN19" i="12"/>
  <c r="N19" i="12"/>
  <c r="L19" i="12"/>
  <c r="H19" i="12"/>
  <c r="G19" i="12"/>
  <c r="T45" i="23"/>
  <c r="AO18" i="12"/>
  <c r="AN18" i="12"/>
  <c r="N18" i="12"/>
  <c r="L18" i="12"/>
  <c r="H18" i="12"/>
  <c r="T7" i="22"/>
  <c r="G18" i="12"/>
  <c r="W55" i="10"/>
  <c r="AT17" i="12"/>
  <c r="AU20" i="12" s="1"/>
  <c r="AO17" i="12"/>
  <c r="AN17" i="12"/>
  <c r="O17" i="12"/>
  <c r="M17" i="12"/>
  <c r="K17" i="12"/>
  <c r="AO16" i="12"/>
  <c r="AN16" i="12"/>
  <c r="AO15" i="12"/>
  <c r="AN15" i="12"/>
  <c r="N15" i="12"/>
  <c r="L15" i="12"/>
  <c r="K15" i="12"/>
  <c r="H15" i="12"/>
  <c r="X51" i="23"/>
  <c r="G15" i="12"/>
  <c r="AO14" i="12"/>
  <c r="AN14" i="12"/>
  <c r="N14" i="12"/>
  <c r="L14" i="12"/>
  <c r="L40" i="10" s="1"/>
  <c r="H14" i="12"/>
  <c r="AO13" i="12"/>
  <c r="AN13" i="12"/>
  <c r="N13" i="12"/>
  <c r="L13" i="12"/>
  <c r="AD56" i="10" s="1"/>
  <c r="H13" i="12"/>
  <c r="U13" i="31" s="1"/>
  <c r="G13" i="12"/>
  <c r="W15" i="39" s="1"/>
  <c r="AO12" i="12"/>
  <c r="AN12" i="12"/>
  <c r="N12" i="12"/>
  <c r="L12" i="12"/>
  <c r="K12" i="12"/>
  <c r="H12" i="12"/>
  <c r="W12" i="37" s="1"/>
  <c r="G12" i="12"/>
  <c r="AD51" i="10"/>
  <c r="AO10" i="12"/>
  <c r="AN10" i="12"/>
  <c r="AO9" i="12"/>
  <c r="AN9" i="12"/>
  <c r="AO8" i="12"/>
  <c r="AN8" i="12"/>
  <c r="AO7" i="12"/>
  <c r="AN7" i="12"/>
  <c r="AO6" i="12"/>
  <c r="AN6" i="12"/>
  <c r="T5" i="12"/>
  <c r="D100" i="12" s="1"/>
  <c r="AW3" i="12"/>
  <c r="BE9" i="12" s="1"/>
  <c r="J29" i="22"/>
  <c r="E46" i="31"/>
  <c r="P46" i="31" s="1"/>
  <c r="I10" i="23"/>
  <c r="O11" i="10"/>
  <c r="K38" i="29"/>
  <c r="I9" i="22"/>
  <c r="H34" i="31"/>
  <c r="H38" i="31"/>
  <c r="AH55" i="10"/>
  <c r="K34" i="31"/>
  <c r="G42" i="23"/>
  <c r="J23" i="10"/>
  <c r="AK26" i="33"/>
  <c r="A34" i="37"/>
  <c r="AQ38" i="37"/>
  <c r="G31" i="22"/>
  <c r="J12" i="23"/>
  <c r="I42" i="23"/>
  <c r="C13" i="10"/>
  <c r="K13" i="10"/>
  <c r="J52" i="10"/>
  <c r="AK32" i="33"/>
  <c r="AN11" i="10"/>
  <c r="AP11" i="10" s="1"/>
  <c r="AZ11" i="10" s="1"/>
  <c r="C47" i="10"/>
  <c r="K47" i="10"/>
  <c r="J59" i="10"/>
  <c r="AK46" i="33"/>
  <c r="I31" i="22"/>
  <c r="Y37" i="23"/>
  <c r="AI35" i="33"/>
  <c r="AF44" i="31"/>
  <c r="AQ44" i="31"/>
  <c r="AK20" i="29"/>
  <c r="K38" i="33"/>
  <c r="AL9" i="22"/>
  <c r="K14" i="31"/>
  <c r="AL36" i="31"/>
  <c r="Y29" i="23"/>
  <c r="J39" i="23"/>
  <c r="O47" i="10"/>
  <c r="AF44" i="29"/>
  <c r="AL19" i="31"/>
  <c r="AI34" i="31"/>
  <c r="L38" i="22"/>
  <c r="AW11" i="31"/>
  <c r="AY11" i="31" s="1"/>
  <c r="M27" i="10"/>
  <c r="AN34" i="10"/>
  <c r="AP34" i="10" s="1"/>
  <c r="AZ34" i="10" s="1"/>
  <c r="BA34" i="10" s="1"/>
  <c r="BC34" i="10" s="1"/>
  <c r="AW46" i="33"/>
  <c r="AY46" i="33" s="1"/>
  <c r="AA29" i="37"/>
  <c r="AL21" i="31"/>
  <c r="AS70" i="39"/>
  <c r="G9" i="23"/>
  <c r="AW11" i="33"/>
  <c r="AI44" i="29"/>
  <c r="F61" i="10"/>
  <c r="T61" i="10" s="1"/>
  <c r="AK23" i="33"/>
  <c r="E36" i="33"/>
  <c r="P36" i="33" s="1"/>
  <c r="E45" i="33"/>
  <c r="AK44" i="29"/>
  <c r="AG85" i="37"/>
  <c r="V51" i="31"/>
  <c r="AP63" i="10"/>
  <c r="AE7" i="10"/>
  <c r="AE41" i="10"/>
  <c r="AQ47" i="10"/>
  <c r="BB7" i="22"/>
  <c r="AV7" i="22" s="1"/>
  <c r="AI14" i="31"/>
  <c r="V43" i="31"/>
  <c r="AC43" i="31" s="1"/>
  <c r="AK33" i="33"/>
  <c r="F10" i="22"/>
  <c r="Q10" i="22" s="1"/>
  <c r="L38" i="10"/>
  <c r="C51" i="10"/>
  <c r="K51" i="10" s="1"/>
  <c r="F43" i="33"/>
  <c r="V32" i="29"/>
  <c r="AF39" i="29"/>
  <c r="AB45" i="37"/>
  <c r="AH45" i="37" s="1"/>
  <c r="AH82" i="37"/>
  <c r="I27" i="22"/>
  <c r="AL14" i="31"/>
  <c r="AE43" i="10"/>
  <c r="AK10" i="33"/>
  <c r="AF45" i="33"/>
  <c r="AK21" i="29"/>
  <c r="L27" i="22"/>
  <c r="F30" i="23"/>
  <c r="AL10" i="33"/>
  <c r="V35" i="31"/>
  <c r="J30" i="23"/>
  <c r="Y52" i="23"/>
  <c r="A48" i="33"/>
  <c r="AY13" i="22"/>
  <c r="AH13" i="22" s="1"/>
  <c r="AJ13" i="22" s="1"/>
  <c r="AT13" i="22" s="1"/>
  <c r="AY31" i="22"/>
  <c r="BB31" i="22" s="1"/>
  <c r="AV31" i="22" s="1"/>
  <c r="I26" i="31"/>
  <c r="AL33" i="31"/>
  <c r="AI43" i="31"/>
  <c r="AL45" i="31"/>
  <c r="I48" i="31"/>
  <c r="AK12" i="29"/>
  <c r="AK37" i="29"/>
  <c r="F48" i="33"/>
  <c r="AK10" i="29"/>
  <c r="K48" i="31"/>
  <c r="BE47" i="10"/>
  <c r="BH47" i="10" s="1"/>
  <c r="AK22" i="33"/>
  <c r="AK39" i="33"/>
  <c r="AK51" i="33"/>
  <c r="H34" i="33"/>
  <c r="AB30" i="37"/>
  <c r="AQ27" i="37"/>
  <c r="AN18" i="37"/>
  <c r="AN34" i="37"/>
  <c r="AR40" i="38"/>
  <c r="F40" i="23"/>
  <c r="Q40" i="23" s="1"/>
  <c r="AY40" i="23"/>
  <c r="AL40" i="23"/>
  <c r="I40" i="23"/>
  <c r="AT50" i="10"/>
  <c r="AT63" i="10"/>
  <c r="AL32" i="33"/>
  <c r="K34" i="33"/>
  <c r="AE44" i="39"/>
  <c r="BH44" i="39" s="1"/>
  <c r="AL26" i="33"/>
  <c r="J30" i="10"/>
  <c r="AR54" i="10"/>
  <c r="E33" i="31"/>
  <c r="P33" i="31" s="1"/>
  <c r="AW33" i="31"/>
  <c r="AE33" i="31" s="1"/>
  <c r="AG33" i="31" s="1"/>
  <c r="AQ33" i="31" s="1"/>
  <c r="V94" i="38"/>
  <c r="A43" i="29"/>
  <c r="B43" i="29" s="1"/>
  <c r="B9" i="29"/>
  <c r="A18" i="29"/>
  <c r="AL27" i="29"/>
  <c r="AL30" i="29"/>
  <c r="AL45" i="29"/>
  <c r="AL32" i="29"/>
  <c r="AL9" i="29"/>
  <c r="AL33" i="29"/>
  <c r="A10" i="37"/>
  <c r="B10" i="37"/>
  <c r="H33" i="31"/>
  <c r="AW35" i="29"/>
  <c r="AZ35" i="29" s="1"/>
  <c r="AS35" i="29" s="1"/>
  <c r="AI35" i="29"/>
  <c r="K35" i="29"/>
  <c r="F28" i="23"/>
  <c r="Q28" i="23" s="1"/>
  <c r="G28" i="23"/>
  <c r="AY28" i="23"/>
  <c r="BA28" i="23" s="1"/>
  <c r="W24" i="10"/>
  <c r="F38" i="23"/>
  <c r="AY38" i="23"/>
  <c r="BA38" i="23" s="1"/>
  <c r="AA47" i="37"/>
  <c r="AA37" i="37" s="1"/>
  <c r="AA28" i="37"/>
  <c r="AQ54" i="10"/>
  <c r="AQ50" i="10"/>
  <c r="AQ63" i="10"/>
  <c r="BE42" i="10"/>
  <c r="E46" i="29"/>
  <c r="A71" i="39"/>
  <c r="B71" i="39" s="1"/>
  <c r="A42" i="39"/>
  <c r="B42" i="39" s="1"/>
  <c r="I9" i="23"/>
  <c r="AY9" i="23"/>
  <c r="BA9" i="23" s="1"/>
  <c r="K14" i="29"/>
  <c r="AH39" i="33"/>
  <c r="AF39" i="33"/>
  <c r="AD78" i="16"/>
  <c r="AR18" i="38"/>
  <c r="V33" i="31"/>
  <c r="AF33" i="31"/>
  <c r="BH61" i="39"/>
  <c r="C26" i="10"/>
  <c r="K26" i="10" s="1"/>
  <c r="K11" i="29"/>
  <c r="I37" i="22"/>
  <c r="L37" i="22"/>
  <c r="BE41" i="10"/>
  <c r="BG41" i="10" s="1"/>
  <c r="AN41" i="10"/>
  <c r="AP41" i="10" s="1"/>
  <c r="AL48" i="33"/>
  <c r="AL30" i="33"/>
  <c r="AL36" i="33"/>
  <c r="AL12" i="33"/>
  <c r="AD81" i="16"/>
  <c r="G112" i="38"/>
  <c r="AD64" i="39"/>
  <c r="A35" i="31"/>
  <c r="B35" i="31" s="1"/>
  <c r="A37" i="31"/>
  <c r="B37" i="31"/>
  <c r="A11" i="31"/>
  <c r="B11" i="31"/>
  <c r="AO50" i="10"/>
  <c r="AO63" i="10" s="1"/>
  <c r="V51" i="10"/>
  <c r="AL51" i="10" s="1"/>
  <c r="AY51" i="10"/>
  <c r="AW36" i="29"/>
  <c r="AE36" i="29" s="1"/>
  <c r="AG36" i="29" s="1"/>
  <c r="AQ36" i="29" s="1"/>
  <c r="E33" i="29"/>
  <c r="F64" i="10"/>
  <c r="BE64" i="10"/>
  <c r="BG64" i="10" s="1"/>
  <c r="H37" i="31"/>
  <c r="AR49" i="38"/>
  <c r="C18" i="10"/>
  <c r="K18" i="10" s="1"/>
  <c r="J18" i="10"/>
  <c r="H13" i="33"/>
  <c r="K33" i="29"/>
  <c r="A20" i="37"/>
  <c r="A61" i="37"/>
  <c r="A55" i="37"/>
  <c r="B55" i="37"/>
  <c r="A12" i="37"/>
  <c r="G45" i="22"/>
  <c r="AY45" i="22"/>
  <c r="BA45" i="22" s="1"/>
  <c r="AI46" i="31"/>
  <c r="K46" i="31"/>
  <c r="AW46" i="31"/>
  <c r="AW44" i="33"/>
  <c r="AZ44" i="33" s="1"/>
  <c r="AI44" i="33"/>
  <c r="H45" i="29"/>
  <c r="AW45" i="29"/>
  <c r="AY45" i="29" s="1"/>
  <c r="K32" i="31"/>
  <c r="H32" i="31"/>
  <c r="AL20" i="33"/>
  <c r="AL41" i="22"/>
  <c r="L41" i="22"/>
  <c r="E51" i="31"/>
  <c r="P51" i="31" s="1"/>
  <c r="AI51" i="31"/>
  <c r="A38" i="29"/>
  <c r="B38" i="29"/>
  <c r="I41" i="22"/>
  <c r="AY42" i="23"/>
  <c r="AL42" i="23"/>
  <c r="AK21" i="33"/>
  <c r="AK45" i="33"/>
  <c r="AK38" i="29"/>
  <c r="AK13" i="29"/>
  <c r="AK48" i="29"/>
  <c r="AK35" i="29"/>
  <c r="AK31" i="29"/>
  <c r="AK15" i="29"/>
  <c r="AK33" i="29"/>
  <c r="AK36" i="29"/>
  <c r="AK39" i="29"/>
  <c r="I40" i="22"/>
  <c r="AL40" i="22"/>
  <c r="G39" i="22"/>
  <c r="L39" i="22"/>
  <c r="AW12" i="31"/>
  <c r="W28" i="10"/>
  <c r="AW47" i="33"/>
  <c r="AY47" i="33" s="1"/>
  <c r="H47" i="33"/>
  <c r="AH45" i="29"/>
  <c r="M47" i="10"/>
  <c r="AE66" i="10"/>
  <c r="AE64" i="10"/>
  <c r="M51" i="10"/>
  <c r="M11" i="10"/>
  <c r="O33" i="10"/>
  <c r="BE33" i="10"/>
  <c r="BH33" i="10" s="1"/>
  <c r="AK20" i="33"/>
  <c r="F35" i="33"/>
  <c r="H38" i="33"/>
  <c r="B24" i="37"/>
  <c r="B50" i="37"/>
  <c r="AY32" i="22"/>
  <c r="BB32" i="22" s="1"/>
  <c r="AV32" i="22" s="1"/>
  <c r="AQ67" i="37"/>
  <c r="AQ70" i="37"/>
  <c r="F29" i="22"/>
  <c r="Q29" i="22" s="1"/>
  <c r="V39" i="31"/>
  <c r="C46" i="10"/>
  <c r="K46" i="10"/>
  <c r="AQ48" i="10"/>
  <c r="F48" i="10"/>
  <c r="T48" i="10" s="1"/>
  <c r="BE48" i="10"/>
  <c r="AN48" i="10"/>
  <c r="AP48" i="10" s="1"/>
  <c r="AZ48" i="10" s="1"/>
  <c r="S27" i="33"/>
  <c r="F28" i="22"/>
  <c r="Q28" i="22" s="1"/>
  <c r="G29" i="22"/>
  <c r="F30" i="22"/>
  <c r="Q30" i="22" s="1"/>
  <c r="F32" i="22"/>
  <c r="Q32" i="22" s="1"/>
  <c r="AY33" i="22"/>
  <c r="AH33" i="22" s="1"/>
  <c r="AJ33" i="22" s="1"/>
  <c r="AT33" i="22" s="1"/>
  <c r="L33" i="22"/>
  <c r="G13" i="23"/>
  <c r="AE39" i="10"/>
  <c r="O48" i="10"/>
  <c r="A32" i="33"/>
  <c r="B32" i="33"/>
  <c r="A45" i="33"/>
  <c r="B45" i="33" s="1"/>
  <c r="A18" i="33"/>
  <c r="B18" i="33"/>
  <c r="B9" i="33"/>
  <c r="F14" i="33"/>
  <c r="AK19" i="33"/>
  <c r="AH46" i="37"/>
  <c r="G30" i="22"/>
  <c r="G32" i="22"/>
  <c r="BL17" i="22"/>
  <c r="BL16" i="22"/>
  <c r="AI11" i="31"/>
  <c r="K11" i="31"/>
  <c r="AW38" i="31"/>
  <c r="AE38" i="31" s="1"/>
  <c r="AG38" i="31" s="1"/>
  <c r="AQ38" i="31" s="1"/>
  <c r="AI38" i="31"/>
  <c r="AL122" i="39"/>
  <c r="C24" i="10"/>
  <c r="K24" i="10"/>
  <c r="AN66" i="10"/>
  <c r="AP66" i="10" s="1"/>
  <c r="AZ66" i="10" s="1"/>
  <c r="O66" i="10"/>
  <c r="F66" i="10"/>
  <c r="K12" i="29"/>
  <c r="E12" i="29"/>
  <c r="K34" i="29"/>
  <c r="E34" i="29"/>
  <c r="G37" i="23"/>
  <c r="AL37" i="23"/>
  <c r="O14" i="10"/>
  <c r="O56" i="10"/>
  <c r="AI14" i="33"/>
  <c r="AW14" i="33"/>
  <c r="AY14" i="33" s="1"/>
  <c r="AN24" i="10"/>
  <c r="AP24" i="10" s="1"/>
  <c r="AZ24" i="10" s="1"/>
  <c r="BE24" i="10"/>
  <c r="BH24" i="10" s="1"/>
  <c r="AN60" i="10"/>
  <c r="AP60" i="10" s="1"/>
  <c r="AZ60" i="10" s="1"/>
  <c r="AQ60" i="10"/>
  <c r="AH31" i="29"/>
  <c r="AF31" i="29"/>
  <c r="AD29" i="10"/>
  <c r="U9" i="31"/>
  <c r="W9" i="37"/>
  <c r="W9" i="39"/>
  <c r="AD52" i="10"/>
  <c r="AY32" i="23"/>
  <c r="AH32" i="23" s="1"/>
  <c r="AJ32" i="23" s="1"/>
  <c r="AT32" i="23" s="1"/>
  <c r="AK30" i="33"/>
  <c r="AK27" i="33"/>
  <c r="AK12" i="33"/>
  <c r="AK48" i="33"/>
  <c r="AK42" i="33"/>
  <c r="AK43" i="33"/>
  <c r="AK37" i="33"/>
  <c r="AK31" i="33"/>
  <c r="AK13" i="33"/>
  <c r="AK15" i="33"/>
  <c r="AK35" i="33"/>
  <c r="I33" i="29"/>
  <c r="V12" i="29"/>
  <c r="I9" i="29"/>
  <c r="I46" i="29"/>
  <c r="V38" i="29"/>
  <c r="V26" i="29"/>
  <c r="F10" i="23"/>
  <c r="Q10" i="23" s="1"/>
  <c r="G33" i="23"/>
  <c r="BE13" i="10"/>
  <c r="BH13" i="10" s="1"/>
  <c r="V55" i="10"/>
  <c r="AN65" i="10"/>
  <c r="AP65" i="10" s="1"/>
  <c r="AZ65" i="10" s="1"/>
  <c r="AK32" i="31"/>
  <c r="AK10" i="31"/>
  <c r="AK46" i="31"/>
  <c r="AK22" i="31"/>
  <c r="AK11" i="31"/>
  <c r="AK30" i="31"/>
  <c r="AK26" i="31"/>
  <c r="AK51" i="31"/>
  <c r="AK12" i="31"/>
  <c r="AK43" i="31"/>
  <c r="AK42" i="31"/>
  <c r="AP21" i="23"/>
  <c r="Y26" i="23"/>
  <c r="F9" i="10"/>
  <c r="T9" i="10" s="1"/>
  <c r="BE30" i="10"/>
  <c r="BG30" i="10" s="1"/>
  <c r="G52" i="10"/>
  <c r="E38" i="29"/>
  <c r="P38" i="29" s="1"/>
  <c r="F13" i="22"/>
  <c r="Q13" i="22" s="1"/>
  <c r="AJ18" i="22"/>
  <c r="AT18" i="22" s="1"/>
  <c r="J32" i="22"/>
  <c r="J40" i="22"/>
  <c r="I10" i="31"/>
  <c r="AL18" i="31"/>
  <c r="V26" i="31"/>
  <c r="V30" i="31"/>
  <c r="AL34" i="31"/>
  <c r="I37" i="31"/>
  <c r="AL48" i="31"/>
  <c r="AG51" i="31"/>
  <c r="AQ51" i="31" s="1"/>
  <c r="V39" i="29"/>
  <c r="G13" i="22"/>
  <c r="J21" i="22"/>
  <c r="Y31" i="22"/>
  <c r="I9" i="31"/>
  <c r="P9" i="31"/>
  <c r="I22" i="31"/>
  <c r="V23" i="31"/>
  <c r="AC23" i="31" s="1"/>
  <c r="V31" i="31"/>
  <c r="AL39" i="31"/>
  <c r="AL42" i="31"/>
  <c r="O9" i="10"/>
  <c r="I13" i="22"/>
  <c r="Y38" i="22"/>
  <c r="AF38" i="22" s="1"/>
  <c r="AW15" i="31"/>
  <c r="AE15" i="31" s="1"/>
  <c r="AG15" i="31" s="1"/>
  <c r="AQ15" i="31" s="1"/>
  <c r="AL32" i="31"/>
  <c r="I36" i="31"/>
  <c r="AB38" i="31"/>
  <c r="AC38" i="31" s="1"/>
  <c r="V46" i="31"/>
  <c r="AC46" i="31"/>
  <c r="AL29" i="37"/>
  <c r="AJ29" i="37" s="1"/>
  <c r="Y42" i="22"/>
  <c r="V11" i="31"/>
  <c r="E14" i="31"/>
  <c r="P14" i="31" s="1"/>
  <c r="AW14" i="31"/>
  <c r="AY14" i="31" s="1"/>
  <c r="BJ19" i="31"/>
  <c r="K45" i="31"/>
  <c r="AP27" i="23"/>
  <c r="AT39" i="33"/>
  <c r="AF43" i="33"/>
  <c r="AH76" i="37"/>
  <c r="Y32" i="22"/>
  <c r="Y33" i="22"/>
  <c r="V9" i="31"/>
  <c r="AL12" i="31"/>
  <c r="V22" i="31"/>
  <c r="AC22" i="31"/>
  <c r="AL27" i="31"/>
  <c r="AC31" i="31"/>
  <c r="AF46" i="31"/>
  <c r="AL51" i="31"/>
  <c r="H44" i="29"/>
  <c r="G11" i="22"/>
  <c r="Y22" i="22"/>
  <c r="J25" i="22"/>
  <c r="Q25" i="22" s="1"/>
  <c r="E15" i="31"/>
  <c r="P15" i="31" s="1"/>
  <c r="V21" i="31"/>
  <c r="AL23" i="31"/>
  <c r="AL38" i="31"/>
  <c r="AW43" i="31"/>
  <c r="AY43" i="31" s="1"/>
  <c r="I20" i="31"/>
  <c r="V36" i="31"/>
  <c r="J11" i="22"/>
  <c r="H15" i="31"/>
  <c r="AL30" i="31"/>
  <c r="V45" i="31"/>
  <c r="AC45" i="31"/>
  <c r="G30" i="23"/>
  <c r="I20" i="33"/>
  <c r="AI38" i="29"/>
  <c r="V46" i="29"/>
  <c r="I15" i="31"/>
  <c r="I19" i="31"/>
  <c r="P19" i="31"/>
  <c r="I35" i="31"/>
  <c r="AL37" i="31"/>
  <c r="L9" i="22"/>
  <c r="AL22" i="31"/>
  <c r="I34" i="31"/>
  <c r="AL46" i="31"/>
  <c r="AQ47" i="31"/>
  <c r="K37" i="33"/>
  <c r="AW37" i="33"/>
  <c r="AE37" i="33" s="1"/>
  <c r="AG37" i="33" s="1"/>
  <c r="AQ37" i="33" s="1"/>
  <c r="AI37" i="33"/>
  <c r="K14" i="10"/>
  <c r="BL60" i="16"/>
  <c r="K60" i="10"/>
  <c r="J34" i="10"/>
  <c r="AE44" i="37"/>
  <c r="AD45" i="37"/>
  <c r="AE45" i="37" s="1"/>
  <c r="AD46" i="37"/>
  <c r="AE46" i="37"/>
  <c r="G12" i="23"/>
  <c r="I12" i="23"/>
  <c r="AN12" i="10"/>
  <c r="AP12" i="10" s="1"/>
  <c r="BE12" i="10"/>
  <c r="BG12" i="10" s="1"/>
  <c r="C8" i="23"/>
  <c r="AW42" i="33"/>
  <c r="AY42" i="33" s="1"/>
  <c r="F42" i="33"/>
  <c r="E42" i="33"/>
  <c r="K42" i="33"/>
  <c r="AI42" i="33"/>
  <c r="V22" i="33"/>
  <c r="V15" i="33"/>
  <c r="V10" i="33"/>
  <c r="I14" i="33"/>
  <c r="I21" i="33"/>
  <c r="V11" i="33"/>
  <c r="V48" i="33"/>
  <c r="V39" i="33"/>
  <c r="I36" i="33"/>
  <c r="V38" i="33"/>
  <c r="V18" i="33"/>
  <c r="V9" i="33"/>
  <c r="V35" i="33"/>
  <c r="I23" i="33"/>
  <c r="I27" i="33"/>
  <c r="I47" i="33"/>
  <c r="V34" i="33"/>
  <c r="I31" i="33"/>
  <c r="I48" i="33"/>
  <c r="I46" i="33"/>
  <c r="I33" i="33"/>
  <c r="L34" i="22"/>
  <c r="I34" i="22"/>
  <c r="G34" i="22"/>
  <c r="F34" i="22"/>
  <c r="Q34" i="22" s="1"/>
  <c r="AL34" i="22"/>
  <c r="AQ39" i="31"/>
  <c r="A57" i="39"/>
  <c r="B57" i="39" s="1"/>
  <c r="A60" i="39"/>
  <c r="B60" i="39" s="1"/>
  <c r="I30" i="23"/>
  <c r="F34" i="23"/>
  <c r="Q34" i="23" s="1"/>
  <c r="AE17" i="10"/>
  <c r="M23" i="10"/>
  <c r="AE30" i="10"/>
  <c r="H33" i="33"/>
  <c r="B48" i="33"/>
  <c r="I43" i="29"/>
  <c r="V42" i="29"/>
  <c r="I20" i="29"/>
  <c r="V33" i="29"/>
  <c r="I12" i="29"/>
  <c r="I36" i="29"/>
  <c r="V15" i="29"/>
  <c r="V11" i="29"/>
  <c r="I48" i="29"/>
  <c r="V35" i="29"/>
  <c r="I32" i="29"/>
  <c r="V51" i="29"/>
  <c r="V20" i="29"/>
  <c r="I45" i="29"/>
  <c r="A51" i="29"/>
  <c r="B51" i="29"/>
  <c r="C9" i="22"/>
  <c r="AL10" i="22"/>
  <c r="L10" i="22"/>
  <c r="I10" i="22"/>
  <c r="H35" i="31"/>
  <c r="AI46" i="39"/>
  <c r="BI46" i="39" s="1"/>
  <c r="AB30" i="39"/>
  <c r="AS30" i="39" s="1"/>
  <c r="AL46" i="39"/>
  <c r="BJ46" i="39" s="1"/>
  <c r="AQ26" i="10"/>
  <c r="O28" i="10"/>
  <c r="L11" i="22"/>
  <c r="L45" i="22"/>
  <c r="A34" i="31"/>
  <c r="AY34" i="31" s="1"/>
  <c r="A21" i="31"/>
  <c r="B21" i="31" s="1"/>
  <c r="A38" i="31"/>
  <c r="B38" i="31" s="1"/>
  <c r="A14" i="31"/>
  <c r="B14" i="31"/>
  <c r="A43" i="31"/>
  <c r="B43" i="31"/>
  <c r="A45" i="31"/>
  <c r="A12" i="31"/>
  <c r="B12" i="31"/>
  <c r="A18" i="31"/>
  <c r="A32" i="31"/>
  <c r="A47" i="31"/>
  <c r="A15" i="31"/>
  <c r="B15" i="31"/>
  <c r="K12" i="31"/>
  <c r="A33" i="31"/>
  <c r="AA33" i="39"/>
  <c r="L30" i="23"/>
  <c r="L40" i="23"/>
  <c r="BB54" i="10"/>
  <c r="AQ64" i="10"/>
  <c r="O64" i="10"/>
  <c r="K33" i="33"/>
  <c r="A47" i="33"/>
  <c r="B47" i="33" s="1"/>
  <c r="AL44" i="29"/>
  <c r="AL51" i="29"/>
  <c r="AL34" i="29"/>
  <c r="AL14" i="29"/>
  <c r="AL20" i="29"/>
  <c r="AW15" i="29"/>
  <c r="AY15" i="29" s="1"/>
  <c r="E15" i="29"/>
  <c r="V21" i="29"/>
  <c r="H37" i="29"/>
  <c r="I38" i="29"/>
  <c r="K43" i="29"/>
  <c r="H43" i="29"/>
  <c r="I45" i="22"/>
  <c r="F46" i="33"/>
  <c r="E46" i="33"/>
  <c r="P46" i="33" s="1"/>
  <c r="H15" i="29"/>
  <c r="I37" i="29"/>
  <c r="AQ35" i="37"/>
  <c r="J9" i="22"/>
  <c r="Y39" i="22"/>
  <c r="J45" i="22"/>
  <c r="A31" i="31"/>
  <c r="AY31" i="31" s="1"/>
  <c r="B31" i="31"/>
  <c r="AZ31" i="31" s="1"/>
  <c r="AS31" i="31" s="1"/>
  <c r="A63" i="39"/>
  <c r="B63" i="39" s="1"/>
  <c r="E39" i="29"/>
  <c r="AL42" i="22"/>
  <c r="I42" i="22"/>
  <c r="K44" i="31"/>
  <c r="AW44" i="31"/>
  <c r="AY44" i="31" s="1"/>
  <c r="AF32" i="22"/>
  <c r="C45" i="22"/>
  <c r="AN25" i="10"/>
  <c r="AP25" i="10" s="1"/>
  <c r="AZ25" i="10" s="1"/>
  <c r="BA25" i="10" s="1"/>
  <c r="BC25" i="10" s="1"/>
  <c r="U7" i="34"/>
  <c r="C27" i="23"/>
  <c r="L33" i="23"/>
  <c r="U8" i="34"/>
  <c r="A29" i="39"/>
  <c r="B29" i="39" s="1"/>
  <c r="F27" i="23"/>
  <c r="Q27" i="23" s="1"/>
  <c r="AH51" i="10"/>
  <c r="BE51" i="10"/>
  <c r="BH51" i="10" s="1"/>
  <c r="K11" i="33"/>
  <c r="A27" i="33"/>
  <c r="B27" i="33"/>
  <c r="I15" i="29"/>
  <c r="I18" i="29"/>
  <c r="AW33" i="29"/>
  <c r="AZ33" i="29" s="1"/>
  <c r="AS33" i="29" s="1"/>
  <c r="K51" i="29"/>
  <c r="AW51" i="29"/>
  <c r="H51" i="29"/>
  <c r="AI51" i="29"/>
  <c r="J17" i="22"/>
  <c r="A23" i="31"/>
  <c r="AH44" i="31"/>
  <c r="AE19" i="10"/>
  <c r="AE22" i="10"/>
  <c r="AN28" i="10"/>
  <c r="AP28" i="10" s="1"/>
  <c r="AZ28" i="10" s="1"/>
  <c r="L64" i="10"/>
  <c r="A30" i="33"/>
  <c r="A20" i="33"/>
  <c r="B20" i="33" s="1"/>
  <c r="A33" i="33"/>
  <c r="A51" i="33"/>
  <c r="B51" i="33"/>
  <c r="A37" i="33"/>
  <c r="A13" i="33"/>
  <c r="B13" i="33"/>
  <c r="A46" i="33"/>
  <c r="A23" i="33"/>
  <c r="F32" i="33"/>
  <c r="H32" i="33"/>
  <c r="K15" i="29"/>
  <c r="AI36" i="29"/>
  <c r="K36" i="29"/>
  <c r="K42" i="29"/>
  <c r="V44" i="29"/>
  <c r="X18" i="37"/>
  <c r="J7" i="22"/>
  <c r="J8" i="22"/>
  <c r="Y10" i="22"/>
  <c r="Y13" i="22"/>
  <c r="Y16" i="22"/>
  <c r="J18" i="22"/>
  <c r="Y40" i="22"/>
  <c r="AI13" i="31"/>
  <c r="E32" i="31"/>
  <c r="AI32" i="31"/>
  <c r="K33" i="31"/>
  <c r="AI33" i="31"/>
  <c r="AH37" i="31"/>
  <c r="K25" i="10"/>
  <c r="BC34" i="16"/>
  <c r="BC33" i="16" s="1"/>
  <c r="BC38" i="16" s="1"/>
  <c r="AN50" i="38"/>
  <c r="F50" i="38" s="1"/>
  <c r="G50" i="38" s="1"/>
  <c r="AK121" i="38"/>
  <c r="AL75" i="39"/>
  <c r="D75" i="39" s="1"/>
  <c r="K7" i="10"/>
  <c r="J56" i="10"/>
  <c r="I14" i="29"/>
  <c r="I35" i="29"/>
  <c r="AH43" i="29"/>
  <c r="AJ38" i="37"/>
  <c r="AL12" i="22"/>
  <c r="AI37" i="31"/>
  <c r="AK38" i="31"/>
  <c r="AI42" i="31"/>
  <c r="AH45" i="31"/>
  <c r="AK48" i="31"/>
  <c r="J8" i="10"/>
  <c r="C8" i="10"/>
  <c r="K8" i="10"/>
  <c r="T12" i="22"/>
  <c r="I45" i="23"/>
  <c r="O46" i="10"/>
  <c r="AQ46" i="10"/>
  <c r="AN52" i="10"/>
  <c r="AP52" i="10" s="1"/>
  <c r="AZ52" i="10" s="1"/>
  <c r="O55" i="10"/>
  <c r="BE55" i="10"/>
  <c r="BG55" i="10" s="1"/>
  <c r="AQ55" i="10"/>
  <c r="AL22" i="29"/>
  <c r="A32" i="29"/>
  <c r="B32" i="29" s="1"/>
  <c r="AA36" i="37"/>
  <c r="BB85" i="37"/>
  <c r="BE85" i="37" s="1"/>
  <c r="AU85" i="37" s="1"/>
  <c r="AY29" i="22"/>
  <c r="BA29" i="22" s="1"/>
  <c r="AI45" i="31"/>
  <c r="BE10" i="10"/>
  <c r="J48" i="10"/>
  <c r="K66" i="10"/>
  <c r="F44" i="33"/>
  <c r="E44" i="33"/>
  <c r="P44" i="33" s="1"/>
  <c r="AI12" i="31"/>
  <c r="AK45" i="31"/>
  <c r="AI47" i="31"/>
  <c r="U20" i="33"/>
  <c r="U23" i="33"/>
  <c r="M8" i="10"/>
  <c r="F10" i="10"/>
  <c r="T10" i="10" s="1"/>
  <c r="AF33" i="33"/>
  <c r="A39" i="33"/>
  <c r="A42" i="33" s="1"/>
  <c r="K45" i="33"/>
  <c r="AW45" i="33"/>
  <c r="AZ45" i="33" s="1"/>
  <c r="H45" i="33"/>
  <c r="AI45" i="33"/>
  <c r="AL21" i="29"/>
  <c r="E32" i="29"/>
  <c r="Y8" i="22"/>
  <c r="AJ16" i="22"/>
  <c r="AT16" i="22" s="1"/>
  <c r="AL39" i="22"/>
  <c r="A47" i="39"/>
  <c r="B47" i="39" s="1"/>
  <c r="A55" i="39"/>
  <c r="B55" i="39" s="1"/>
  <c r="A19" i="39"/>
  <c r="B19" i="39" s="1"/>
  <c r="A18" i="39"/>
  <c r="B18" i="39" s="1"/>
  <c r="E18" i="39" s="1"/>
  <c r="A59" i="39"/>
  <c r="B59" i="39" s="1"/>
  <c r="A52" i="39"/>
  <c r="B52" i="39" s="1"/>
  <c r="A46" i="39"/>
  <c r="B46" i="39" s="1"/>
  <c r="A33" i="39"/>
  <c r="B33" i="39" s="1"/>
  <c r="A67" i="39"/>
  <c r="B67" i="39" s="1"/>
  <c r="A54" i="39"/>
  <c r="B54" i="39" s="1"/>
  <c r="A38" i="39"/>
  <c r="B38" i="39" s="1"/>
  <c r="A10" i="39"/>
  <c r="B10" i="39" s="1"/>
  <c r="A31" i="39"/>
  <c r="B31" i="39" s="1"/>
  <c r="A11" i="39"/>
  <c r="B11" i="39" s="1"/>
  <c r="B9" i="39"/>
  <c r="F35" i="29"/>
  <c r="C25" i="23"/>
  <c r="K48" i="29"/>
  <c r="I28" i="23"/>
  <c r="C29" i="23"/>
  <c r="C31" i="23"/>
  <c r="O24" i="10"/>
  <c r="G9" i="10"/>
  <c r="AQ25" i="10"/>
  <c r="A47" i="29"/>
  <c r="A31" i="29"/>
  <c r="B31" i="29" s="1"/>
  <c r="A37" i="29"/>
  <c r="A33" i="29"/>
  <c r="B33" i="29"/>
  <c r="A23" i="29"/>
  <c r="B23" i="29"/>
  <c r="A15" i="29"/>
  <c r="B15" i="29" s="1"/>
  <c r="A11" i="29"/>
  <c r="B11" i="29" s="1"/>
  <c r="AL11" i="22"/>
  <c r="AI35" i="31"/>
  <c r="AH18" i="31"/>
  <c r="W61" i="10"/>
  <c r="S15" i="31"/>
  <c r="J12" i="10"/>
  <c r="AI33" i="33"/>
  <c r="A27" i="29"/>
  <c r="AI37" i="29"/>
  <c r="AN29" i="10"/>
  <c r="AP29" i="10" s="1"/>
  <c r="AZ29" i="10" s="1"/>
  <c r="BA29" i="10" s="1"/>
  <c r="BC29" i="10" s="1"/>
  <c r="BE29" i="10"/>
  <c r="BG29" i="10" s="1"/>
  <c r="L12" i="22"/>
  <c r="BC28" i="16"/>
  <c r="Q67" i="12" s="1"/>
  <c r="D101" i="12"/>
  <c r="A40" i="39"/>
  <c r="B40" i="39" s="1"/>
  <c r="AP51" i="23"/>
  <c r="AP49" i="23"/>
  <c r="AP13" i="23"/>
  <c r="AP26" i="23"/>
  <c r="AP33" i="23"/>
  <c r="AP52" i="23"/>
  <c r="AQ24" i="10"/>
  <c r="J60" i="10"/>
  <c r="AL48" i="38"/>
  <c r="A41" i="39"/>
  <c r="B41" i="39"/>
  <c r="C10" i="23"/>
  <c r="AP22" i="23"/>
  <c r="G13" i="10"/>
  <c r="AE42" i="10"/>
  <c r="AE33" i="10"/>
  <c r="M55" i="10"/>
  <c r="M52" i="10"/>
  <c r="AE51" i="10"/>
  <c r="M46" i="10"/>
  <c r="M43" i="10"/>
  <c r="M34" i="10"/>
  <c r="M12" i="10"/>
  <c r="AE11" i="10"/>
  <c r="AE35" i="10"/>
  <c r="M17" i="10"/>
  <c r="AE14" i="10"/>
  <c r="AE40" i="10"/>
  <c r="M41" i="10"/>
  <c r="AE25" i="10"/>
  <c r="M22" i="10"/>
  <c r="M29" i="10"/>
  <c r="M25" i="10"/>
  <c r="M66" i="10"/>
  <c r="M19" i="10"/>
  <c r="AQ61" i="10"/>
  <c r="V45" i="33"/>
  <c r="AI15" i="29"/>
  <c r="AL19" i="29"/>
  <c r="A30" i="29"/>
  <c r="B30" i="29" s="1"/>
  <c r="AL43" i="29"/>
  <c r="AL47" i="29"/>
  <c r="AH34" i="31"/>
  <c r="A39" i="31"/>
  <c r="O10" i="10"/>
  <c r="A14" i="39"/>
  <c r="B14" i="39" s="1"/>
  <c r="AL34" i="23"/>
  <c r="C43" i="10"/>
  <c r="K43" i="10" s="1"/>
  <c r="M59" i="10"/>
  <c r="AN64" i="10"/>
  <c r="AP64" i="10" s="1"/>
  <c r="AZ64" i="10" s="1"/>
  <c r="S21" i="33"/>
  <c r="H39" i="33"/>
  <c r="V34" i="29"/>
  <c r="AL38" i="29"/>
  <c r="AL39" i="29"/>
  <c r="AI42" i="29"/>
  <c r="AD34" i="37"/>
  <c r="AE34" i="37"/>
  <c r="AD29" i="37"/>
  <c r="AB36" i="37"/>
  <c r="AL33" i="37"/>
  <c r="AJ33" i="37" s="1"/>
  <c r="AA81" i="37"/>
  <c r="J27" i="22"/>
  <c r="L30" i="22"/>
  <c r="I30" i="22"/>
  <c r="AL30" i="22"/>
  <c r="AL32" i="22"/>
  <c r="AW13" i="31"/>
  <c r="A19" i="31"/>
  <c r="B19" i="31"/>
  <c r="A20" i="31"/>
  <c r="L11" i="23"/>
  <c r="L13" i="23"/>
  <c r="AL13" i="23"/>
  <c r="BF16" i="23"/>
  <c r="AP34" i="23"/>
  <c r="AE55" i="10"/>
  <c r="AE56" i="10"/>
  <c r="M61" i="10"/>
  <c r="E35" i="33"/>
  <c r="P35" i="33" s="1"/>
  <c r="S43" i="33"/>
  <c r="V31" i="29"/>
  <c r="AD151" i="37"/>
  <c r="AY11" i="22"/>
  <c r="AY12" i="22"/>
  <c r="BA12" i="22" s="1"/>
  <c r="L29" i="22"/>
  <c r="L32" i="22"/>
  <c r="J33" i="22"/>
  <c r="J34" i="22"/>
  <c r="AY42" i="22"/>
  <c r="BA42" i="22" s="1"/>
  <c r="X5" i="31"/>
  <c r="Y5" i="31" s="1"/>
  <c r="AF31" i="31"/>
  <c r="AQ31" i="31" s="1"/>
  <c r="AW37" i="31"/>
  <c r="AE37" i="31" s="1"/>
  <c r="AG37" i="31" s="1"/>
  <c r="AQ37" i="31" s="1"/>
  <c r="AI39" i="31"/>
  <c r="K39" i="31"/>
  <c r="AH63" i="39"/>
  <c r="AK63" i="39" s="1"/>
  <c r="AD83" i="16"/>
  <c r="A43" i="39"/>
  <c r="B43" i="39" s="1"/>
  <c r="E43" i="39" s="1"/>
  <c r="BL16" i="23"/>
  <c r="M14" i="10"/>
  <c r="AQ30" i="10"/>
  <c r="O30" i="10"/>
  <c r="O34" i="10"/>
  <c r="W60" i="10"/>
  <c r="AL51" i="33"/>
  <c r="AL46" i="33"/>
  <c r="AL37" i="33"/>
  <c r="AL18" i="33"/>
  <c r="AL39" i="33"/>
  <c r="AL47" i="33"/>
  <c r="AL38" i="33"/>
  <c r="AL34" i="33"/>
  <c r="AL9" i="33"/>
  <c r="AL21" i="33"/>
  <c r="AL31" i="33"/>
  <c r="AI46" i="33"/>
  <c r="AK39" i="31"/>
  <c r="AK23" i="31"/>
  <c r="AK31" i="31"/>
  <c r="AK47" i="31"/>
  <c r="AK35" i="31"/>
  <c r="AK20" i="31"/>
  <c r="AK33" i="31"/>
  <c r="AK27" i="31"/>
  <c r="AK37" i="31"/>
  <c r="AK13" i="31"/>
  <c r="AK36" i="31"/>
  <c r="AK18" i="31"/>
  <c r="AK44" i="31"/>
  <c r="AW35" i="31"/>
  <c r="E37" i="31"/>
  <c r="P37" i="31" s="1"/>
  <c r="H39" i="31"/>
  <c r="AW42" i="31"/>
  <c r="AZ42" i="31" s="1"/>
  <c r="AS42" i="31" s="1"/>
  <c r="AW45" i="31"/>
  <c r="A36" i="39"/>
  <c r="B36" i="39" s="1"/>
  <c r="BF19" i="23"/>
  <c r="AN46" i="10"/>
  <c r="AP46" i="10" s="1"/>
  <c r="AZ46" i="10" s="1"/>
  <c r="AE47" i="10"/>
  <c r="A14" i="33"/>
  <c r="B14" i="33"/>
  <c r="E15" i="33"/>
  <c r="AI15" i="33"/>
  <c r="V43" i="33"/>
  <c r="AC43" i="33" s="1"/>
  <c r="AL13" i="29"/>
  <c r="I23" i="29"/>
  <c r="AL35" i="29"/>
  <c r="AA31" i="37"/>
  <c r="Y28" i="22"/>
  <c r="AY37" i="22"/>
  <c r="G37" i="22"/>
  <c r="F37" i="22"/>
  <c r="Q37" i="22" s="1"/>
  <c r="F39" i="22"/>
  <c r="Q39" i="22" s="1"/>
  <c r="AY39" i="22"/>
  <c r="A13" i="31"/>
  <c r="E45" i="31"/>
  <c r="P45" i="31" s="1"/>
  <c r="A48" i="31"/>
  <c r="X47" i="39"/>
  <c r="X13" i="39"/>
  <c r="Z42" i="38"/>
  <c r="Z70" i="38"/>
  <c r="A35" i="39"/>
  <c r="B35" i="39" s="1"/>
  <c r="AL27" i="37"/>
  <c r="AJ27" i="37"/>
  <c r="D27" i="37" s="1"/>
  <c r="D33" i="37" s="1"/>
  <c r="E33" i="37" s="1"/>
  <c r="AJ57" i="37"/>
  <c r="D57" i="37" s="1"/>
  <c r="AY10" i="22"/>
  <c r="AH30" i="31"/>
  <c r="K37" i="31"/>
  <c r="A44" i="31"/>
  <c r="B44" i="31"/>
  <c r="E47" i="31"/>
  <c r="AW47" i="31"/>
  <c r="AZ47" i="31" s="1"/>
  <c r="L7" i="10"/>
  <c r="AJ121" i="38"/>
  <c r="AJ120" i="38"/>
  <c r="AY27" i="23"/>
  <c r="AH27" i="23" s="1"/>
  <c r="AJ27" i="23" s="1"/>
  <c r="AT27" i="23" s="1"/>
  <c r="J27" i="10"/>
  <c r="C27" i="10"/>
  <c r="K29" i="10"/>
  <c r="AE59" i="10"/>
  <c r="AW39" i="29"/>
  <c r="AZ39" i="29" s="1"/>
  <c r="AS39" i="29" s="1"/>
  <c r="A48" i="29"/>
  <c r="B48" i="29"/>
  <c r="AD27" i="37"/>
  <c r="AE27" i="37" s="1"/>
  <c r="AD31" i="37"/>
  <c r="AD37" i="37" s="1"/>
  <c r="AQ33" i="37"/>
  <c r="Y29" i="22"/>
  <c r="J30" i="22"/>
  <c r="Y25" i="22"/>
  <c r="Y11" i="22"/>
  <c r="J26" i="22"/>
  <c r="Y17" i="22"/>
  <c r="J12" i="22"/>
  <c r="Y21" i="22"/>
  <c r="Y41" i="22"/>
  <c r="J38" i="22"/>
  <c r="Y37" i="22"/>
  <c r="J42" i="22"/>
  <c r="J28" i="22"/>
  <c r="Y27" i="22"/>
  <c r="J10" i="22"/>
  <c r="Y9" i="22"/>
  <c r="J22" i="22"/>
  <c r="J16" i="22"/>
  <c r="J31" i="22"/>
  <c r="Y26" i="22"/>
  <c r="J13" i="22"/>
  <c r="Y12" i="22"/>
  <c r="Y45" i="22"/>
  <c r="Y34" i="22"/>
  <c r="Y18" i="22"/>
  <c r="Y7" i="22"/>
  <c r="J37" i="22"/>
  <c r="A36" i="31"/>
  <c r="A46" i="31"/>
  <c r="A34" i="39"/>
  <c r="C30" i="23"/>
  <c r="AN10" i="10"/>
  <c r="AP10" i="10" s="1"/>
  <c r="AZ10" i="10" s="1"/>
  <c r="AE13" i="10"/>
  <c r="M18" i="10"/>
  <c r="O29" i="10"/>
  <c r="O52" i="10"/>
  <c r="AQ52" i="10"/>
  <c r="AE60" i="10"/>
  <c r="AW13" i="33"/>
  <c r="AE13" i="33" s="1"/>
  <c r="AG13" i="33" s="1"/>
  <c r="AQ13" i="33" s="1"/>
  <c r="E13" i="33"/>
  <c r="P13" i="33" s="1"/>
  <c r="AG43" i="33"/>
  <c r="A20" i="29"/>
  <c r="E44" i="29"/>
  <c r="G12" i="22"/>
  <c r="C16" i="22"/>
  <c r="C40" i="22"/>
  <c r="AY41" i="22"/>
  <c r="BA41" i="22" s="1"/>
  <c r="G41" i="22"/>
  <c r="F41" i="22"/>
  <c r="E12" i="31"/>
  <c r="K13" i="31"/>
  <c r="H13" i="31"/>
  <c r="P13" i="31" s="1"/>
  <c r="K42" i="31"/>
  <c r="H47" i="31"/>
  <c r="H44" i="31"/>
  <c r="K47" i="31"/>
  <c r="B19" i="29"/>
  <c r="I11" i="22"/>
  <c r="F45" i="22"/>
  <c r="Q45" i="22" s="1"/>
  <c r="AC39" i="31"/>
  <c r="W14" i="39"/>
  <c r="AP38" i="39"/>
  <c r="Y30" i="23"/>
  <c r="J25" i="10"/>
  <c r="J29" i="10"/>
  <c r="AN31" i="37"/>
  <c r="AN82" i="37"/>
  <c r="X7" i="22"/>
  <c r="AL38" i="22"/>
  <c r="L40" i="22"/>
  <c r="AL11" i="31"/>
  <c r="V19" i="31"/>
  <c r="AC19" i="31" s="1"/>
  <c r="E34" i="31"/>
  <c r="P34" i="31" s="1"/>
  <c r="I46" i="31"/>
  <c r="J27" i="23"/>
  <c r="AL29" i="23"/>
  <c r="F32" i="23"/>
  <c r="Q32" i="23" s="1"/>
  <c r="I37" i="23"/>
  <c r="J14" i="10"/>
  <c r="AN38" i="10"/>
  <c r="AP38" i="10" s="1"/>
  <c r="AZ38" i="10" s="1"/>
  <c r="BA38" i="10" s="1"/>
  <c r="BC38" i="10" s="1"/>
  <c r="BE40" i="10"/>
  <c r="BH40" i="10" s="1"/>
  <c r="AX50" i="10"/>
  <c r="AX63" i="10"/>
  <c r="O60" i="10"/>
  <c r="AI34" i="33"/>
  <c r="K36" i="33"/>
  <c r="AI38" i="33"/>
  <c r="AI47" i="33"/>
  <c r="AK18" i="29"/>
  <c r="AK26" i="29"/>
  <c r="E35" i="29"/>
  <c r="P35" i="29" s="1"/>
  <c r="AN62" i="37"/>
  <c r="F9" i="22"/>
  <c r="Q9" i="22" s="1"/>
  <c r="F27" i="22"/>
  <c r="Q27" i="22" s="1"/>
  <c r="V42" i="31"/>
  <c r="AC42" i="31"/>
  <c r="H43" i="31"/>
  <c r="AL44" i="31"/>
  <c r="H51" i="31"/>
  <c r="AW51" i="31"/>
  <c r="AN33" i="37"/>
  <c r="A53" i="37"/>
  <c r="B53" i="37"/>
  <c r="G9" i="22"/>
  <c r="AI36" i="31"/>
  <c r="I43" i="31"/>
  <c r="I51" i="31"/>
  <c r="AR41" i="38"/>
  <c r="AK23" i="39"/>
  <c r="J41" i="23"/>
  <c r="J50" i="23"/>
  <c r="BE14" i="10"/>
  <c r="AY50" i="10"/>
  <c r="AY63" i="10" s="1"/>
  <c r="AK38" i="33"/>
  <c r="AK47" i="33"/>
  <c r="AI45" i="29"/>
  <c r="AW47" i="29"/>
  <c r="AZ47" i="29" s="1"/>
  <c r="AH66" i="39"/>
  <c r="AK66" i="39"/>
  <c r="L37" i="23"/>
  <c r="AL39" i="23"/>
  <c r="AQ27" i="10"/>
  <c r="AZ50" i="10"/>
  <c r="AZ63" i="10"/>
  <c r="AN59" i="10"/>
  <c r="AP59" i="10" s="1"/>
  <c r="AZ59" i="10" s="1"/>
  <c r="AL33" i="22"/>
  <c r="V13" i="31"/>
  <c r="I14" i="31"/>
  <c r="I21" i="31"/>
  <c r="P21" i="31" s="1"/>
  <c r="I38" i="31"/>
  <c r="AR70" i="38"/>
  <c r="E38" i="33"/>
  <c r="E45" i="29"/>
  <c r="P45" i="29" s="1"/>
  <c r="AY38" i="22"/>
  <c r="I44" i="31"/>
  <c r="AP16" i="16"/>
  <c r="AP44" i="16"/>
  <c r="AP40" i="39"/>
  <c r="AL9" i="23"/>
  <c r="G29" i="23"/>
  <c r="F59" i="10"/>
  <c r="T59" i="10" s="1"/>
  <c r="H14" i="33"/>
  <c r="E34" i="33"/>
  <c r="P34" i="33" s="1"/>
  <c r="AW34" i="33"/>
  <c r="X5" i="33" s="1"/>
  <c r="Y5" i="33" s="1"/>
  <c r="F38" i="33"/>
  <c r="A42" i="37"/>
  <c r="B42" i="37" s="1"/>
  <c r="F33" i="22"/>
  <c r="Q33" i="22" s="1"/>
  <c r="H11" i="31"/>
  <c r="I23" i="31"/>
  <c r="P23" i="31"/>
  <c r="E48" i="31"/>
  <c r="P48" i="31" s="1"/>
  <c r="AP57" i="39"/>
  <c r="AP60" i="39"/>
  <c r="AK14" i="29"/>
  <c r="AK34" i="29"/>
  <c r="AK51" i="29"/>
  <c r="G33" i="22"/>
  <c r="AP62" i="16"/>
  <c r="AP65" i="16"/>
  <c r="AR56" i="38"/>
  <c r="AW34" i="29"/>
  <c r="X5" i="29" s="1"/>
  <c r="Y5" i="29" s="1"/>
  <c r="I33" i="31"/>
  <c r="AP41" i="39"/>
  <c r="J13" i="23"/>
  <c r="J49" i="23"/>
  <c r="AW38" i="29"/>
  <c r="AZ38" i="29" s="1"/>
  <c r="AS38" i="29" s="1"/>
  <c r="AN41" i="37"/>
  <c r="AY40" i="22"/>
  <c r="BA40" i="22" s="1"/>
  <c r="I13" i="31"/>
  <c r="AL35" i="31"/>
  <c r="J9" i="23"/>
  <c r="AN9" i="37"/>
  <c r="AN20" i="37"/>
  <c r="A25" i="37"/>
  <c r="K27" i="10"/>
  <c r="B47" i="31"/>
  <c r="AN30" i="39"/>
  <c r="AL30" i="39" s="1"/>
  <c r="D30" i="39" s="1"/>
  <c r="B18" i="31"/>
  <c r="B46" i="33"/>
  <c r="B37" i="29"/>
  <c r="B47" i="29"/>
  <c r="F14" i="31"/>
  <c r="G56" i="10"/>
  <c r="S36" i="29"/>
  <c r="F31" i="29"/>
  <c r="G51" i="10"/>
  <c r="S47" i="29"/>
  <c r="G29" i="10"/>
  <c r="S30" i="29"/>
  <c r="W21" i="10"/>
  <c r="F37" i="29"/>
  <c r="W38" i="10"/>
  <c r="T21" i="22"/>
  <c r="X17" i="37"/>
  <c r="M26" i="10"/>
  <c r="AE26" i="10"/>
  <c r="M65" i="10"/>
  <c r="AE38" i="10"/>
  <c r="M64" i="10"/>
  <c r="M33" i="10"/>
  <c r="AE52" i="10"/>
  <c r="M39" i="10"/>
  <c r="AE65" i="10"/>
  <c r="M13" i="10"/>
  <c r="AE46" i="10"/>
  <c r="AE23" i="10"/>
  <c r="M60" i="10"/>
  <c r="AE10" i="10"/>
  <c r="M9" i="10"/>
  <c r="AE48" i="10"/>
  <c r="M24" i="10"/>
  <c r="M48" i="10"/>
  <c r="M35" i="10"/>
  <c r="M10" i="10"/>
  <c r="AE9" i="10"/>
  <c r="W16" i="16"/>
  <c r="X45" i="23"/>
  <c r="U15" i="29"/>
  <c r="X45" i="22"/>
  <c r="I41" i="23"/>
  <c r="G28" i="10"/>
  <c r="Y15" i="38"/>
  <c r="F12" i="29"/>
  <c r="F13" i="29"/>
  <c r="Z84" i="38"/>
  <c r="AF46" i="33"/>
  <c r="L28" i="23"/>
  <c r="AL28" i="23"/>
  <c r="E42" i="29"/>
  <c r="H42" i="29"/>
  <c r="AG85" i="39"/>
  <c r="BD85" i="39"/>
  <c r="AB46" i="33"/>
  <c r="AB45" i="33"/>
  <c r="H48" i="33"/>
  <c r="AW48" i="33"/>
  <c r="K48" i="33"/>
  <c r="AW11" i="29"/>
  <c r="AY11" i="29" s="1"/>
  <c r="E11" i="29"/>
  <c r="V14" i="29"/>
  <c r="V23" i="29"/>
  <c r="AC23" i="29" s="1"/>
  <c r="I27" i="29"/>
  <c r="I47" i="29"/>
  <c r="I31" i="29"/>
  <c r="I19" i="29"/>
  <c r="V47" i="29"/>
  <c r="V36" i="29"/>
  <c r="I26" i="29"/>
  <c r="I34" i="29"/>
  <c r="V9" i="29"/>
  <c r="V10" i="29"/>
  <c r="V27" i="29"/>
  <c r="I30" i="29"/>
  <c r="I42" i="29"/>
  <c r="V19" i="29"/>
  <c r="I21" i="29"/>
  <c r="V48" i="29"/>
  <c r="V13" i="29"/>
  <c r="I10" i="29"/>
  <c r="V30" i="29"/>
  <c r="I51" i="29"/>
  <c r="V18" i="29"/>
  <c r="I11" i="29"/>
  <c r="AY41" i="23"/>
  <c r="BB41" i="23" s="1"/>
  <c r="AV41" i="23" s="1"/>
  <c r="F41" i="23"/>
  <c r="Q41" i="23" s="1"/>
  <c r="AJ152" i="38"/>
  <c r="AJ150" i="38"/>
  <c r="J26" i="23"/>
  <c r="J52" i="23"/>
  <c r="Y39" i="23"/>
  <c r="J29" i="23"/>
  <c r="Y16" i="23"/>
  <c r="J8" i="23"/>
  <c r="O43" i="10"/>
  <c r="AQ43" i="10"/>
  <c r="BE43" i="10"/>
  <c r="AN43" i="10"/>
  <c r="AP43" i="10" s="1"/>
  <c r="AZ43" i="10" s="1"/>
  <c r="BA43" i="10" s="1"/>
  <c r="BC43" i="10" s="1"/>
  <c r="AI33" i="29"/>
  <c r="H33" i="29"/>
  <c r="AE48" i="31"/>
  <c r="AG48" i="31" s="1"/>
  <c r="AQ48" i="31" s="1"/>
  <c r="U43" i="33"/>
  <c r="U42" i="33"/>
  <c r="AQ14" i="10"/>
  <c r="F14" i="10"/>
  <c r="T14" i="10" s="1"/>
  <c r="BE28" i="10"/>
  <c r="AQ28" i="10"/>
  <c r="AH46" i="33"/>
  <c r="AK42" i="29"/>
  <c r="AK45" i="29"/>
  <c r="AK30" i="29"/>
  <c r="AK46" i="29"/>
  <c r="AQ33" i="10"/>
  <c r="AN33" i="10"/>
  <c r="AP33" i="10" s="1"/>
  <c r="AZ33" i="10" s="1"/>
  <c r="BA33" i="10" s="1"/>
  <c r="BC33" i="10" s="1"/>
  <c r="J39" i="10"/>
  <c r="C39" i="10"/>
  <c r="K39" i="10"/>
  <c r="AW50" i="10"/>
  <c r="AW63" i="10"/>
  <c r="AW54" i="10"/>
  <c r="C33" i="10"/>
  <c r="K33" i="10" s="1"/>
  <c r="J33" i="10"/>
  <c r="I11" i="23"/>
  <c r="G24" i="10"/>
  <c r="E44" i="31"/>
  <c r="P44" i="31" s="1"/>
  <c r="AI44" i="31"/>
  <c r="G10" i="23"/>
  <c r="AL10" i="23"/>
  <c r="L10" i="23"/>
  <c r="AY10" i="23"/>
  <c r="E35" i="31"/>
  <c r="P35" i="31" s="1"/>
  <c r="K35" i="31"/>
  <c r="G66" i="10"/>
  <c r="AI58" i="39"/>
  <c r="BI58" i="39" s="1"/>
  <c r="C26" i="22"/>
  <c r="G28" i="22"/>
  <c r="AY28" i="22"/>
  <c r="AH28" i="22" s="1"/>
  <c r="AJ28" i="22" s="1"/>
  <c r="AL28" i="22"/>
  <c r="L28" i="22"/>
  <c r="I28" i="22"/>
  <c r="U16" i="16"/>
  <c r="F23" i="29"/>
  <c r="F14" i="29"/>
  <c r="T45" i="22"/>
  <c r="T13" i="22"/>
  <c r="AD61" i="10"/>
  <c r="J34" i="23"/>
  <c r="Y21" i="23"/>
  <c r="U33" i="33"/>
  <c r="U37" i="33"/>
  <c r="S19" i="31"/>
  <c r="BC47" i="39"/>
  <c r="BD47" i="39" s="1"/>
  <c r="BF47" i="39" s="1"/>
  <c r="AH33" i="31"/>
  <c r="AH47" i="31"/>
  <c r="AH46" i="31"/>
  <c r="H32" i="29"/>
  <c r="AW32" i="29"/>
  <c r="AE32" i="29" s="1"/>
  <c r="AG32" i="29" s="1"/>
  <c r="AQ32" i="29" s="1"/>
  <c r="AI32" i="29"/>
  <c r="K32" i="29"/>
  <c r="H48" i="29"/>
  <c r="AI48" i="29"/>
  <c r="E48" i="29"/>
  <c r="S15" i="33"/>
  <c r="X58" i="37"/>
  <c r="X43" i="39"/>
  <c r="AB33" i="39"/>
  <c r="AB37" i="39"/>
  <c r="X37" i="39"/>
  <c r="AB45" i="39"/>
  <c r="X45" i="39" s="1"/>
  <c r="AW12" i="29"/>
  <c r="AI12" i="29"/>
  <c r="H34" i="29"/>
  <c r="AI34" i="29"/>
  <c r="AE34" i="23"/>
  <c r="AF34" i="23" s="1"/>
  <c r="G22" i="10"/>
  <c r="I19" i="33"/>
  <c r="I10" i="33"/>
  <c r="I15" i="33"/>
  <c r="V47" i="33"/>
  <c r="V30" i="33"/>
  <c r="I13" i="33"/>
  <c r="V27" i="33"/>
  <c r="I44" i="33"/>
  <c r="I39" i="33"/>
  <c r="L41" i="23"/>
  <c r="AL41" i="23"/>
  <c r="AD60" i="10"/>
  <c r="O12" i="10"/>
  <c r="AQ12" i="10"/>
  <c r="AQ41" i="10"/>
  <c r="O41" i="10"/>
  <c r="AF37" i="33"/>
  <c r="V37" i="33"/>
  <c r="AL37" i="29"/>
  <c r="AL42" i="29"/>
  <c r="AL10" i="29"/>
  <c r="AL46" i="29"/>
  <c r="AL23" i="29"/>
  <c r="AL15" i="29"/>
  <c r="AL26" i="29"/>
  <c r="AL11" i="29"/>
  <c r="AL31" i="29"/>
  <c r="AL18" i="29"/>
  <c r="AL48" i="29"/>
  <c r="AL36" i="29"/>
  <c r="AL12" i="29"/>
  <c r="C27" i="38"/>
  <c r="C28" i="38" s="1"/>
  <c r="C29" i="38" s="1"/>
  <c r="C30" i="38" s="1"/>
  <c r="C31" i="38" s="1"/>
  <c r="C32" i="38" s="1"/>
  <c r="AI51" i="39"/>
  <c r="BI51" i="39" s="1"/>
  <c r="O26" i="10"/>
  <c r="G26" i="10"/>
  <c r="AQ34" i="31"/>
  <c r="AG30" i="33"/>
  <c r="AQ30" i="33" s="1"/>
  <c r="AN42" i="10"/>
  <c r="AP42" i="10" s="1"/>
  <c r="AZ42" i="10" s="1"/>
  <c r="A27" i="31"/>
  <c r="A22" i="33"/>
  <c r="B22" i="33"/>
  <c r="A30" i="31"/>
  <c r="B30" i="31"/>
  <c r="AL63" i="39"/>
  <c r="D63" i="39" s="1"/>
  <c r="AL15" i="31"/>
  <c r="F47" i="33"/>
  <c r="E47" i="33"/>
  <c r="J19" i="10"/>
  <c r="A26" i="29"/>
  <c r="B26" i="29" s="1"/>
  <c r="A26" i="31"/>
  <c r="B26" i="31"/>
  <c r="J66" i="10"/>
  <c r="A35" i="29"/>
  <c r="B35" i="29"/>
  <c r="A10" i="31"/>
  <c r="B10" i="31" s="1"/>
  <c r="AZ10" i="31" s="1"/>
  <c r="J38" i="10"/>
  <c r="AL43" i="31"/>
  <c r="I11" i="31"/>
  <c r="P11" i="31"/>
  <c r="AL45" i="33"/>
  <c r="I47" i="31"/>
  <c r="A22" i="31"/>
  <c r="B22" i="31"/>
  <c r="AZ22" i="31" s="1"/>
  <c r="AS22" i="31" s="1"/>
  <c r="AS21" i="31" s="1"/>
  <c r="AF46" i="29"/>
  <c r="AL47" i="31"/>
  <c r="G42" i="22"/>
  <c r="BE52" i="10"/>
  <c r="BH52" i="10" s="1"/>
  <c r="A37" i="39"/>
  <c r="B37" i="39" s="1"/>
  <c r="A53" i="39"/>
  <c r="B53" i="39" s="1"/>
  <c r="L42" i="22"/>
  <c r="AI12" i="33"/>
  <c r="V37" i="31"/>
  <c r="F11" i="10"/>
  <c r="A37" i="37"/>
  <c r="B37" i="37"/>
  <c r="A12" i="29"/>
  <c r="A10" i="29"/>
  <c r="AL10" i="31"/>
  <c r="W35" i="10"/>
  <c r="BF20" i="23"/>
  <c r="BF9" i="23" s="1"/>
  <c r="AF43" i="29"/>
  <c r="F40" i="22"/>
  <c r="Q40" i="22" s="1"/>
  <c r="AK51" i="38"/>
  <c r="BK51" i="38" s="1"/>
  <c r="X14" i="39"/>
  <c r="X51" i="16"/>
  <c r="K41" i="12"/>
  <c r="X24" i="37"/>
  <c r="AN44" i="37"/>
  <c r="AP84" i="16"/>
  <c r="AI48" i="31"/>
  <c r="AW48" i="31"/>
  <c r="AY48" i="31" s="1"/>
  <c r="L55" i="10"/>
  <c r="L17" i="10"/>
  <c r="K42" i="12"/>
  <c r="D41" i="39"/>
  <c r="AH66" i="16"/>
  <c r="AK66" i="16" s="1"/>
  <c r="C22" i="22"/>
  <c r="D46" i="37"/>
  <c r="BA46" i="37" s="1"/>
  <c r="BB46" i="37" s="1"/>
  <c r="AY30" i="31"/>
  <c r="Z37" i="38"/>
  <c r="X20" i="39"/>
  <c r="AE20" i="39" s="1"/>
  <c r="K46" i="29"/>
  <c r="AI46" i="29"/>
  <c r="H46" i="29"/>
  <c r="AW46" i="29"/>
  <c r="Z39" i="38"/>
  <c r="X30" i="37"/>
  <c r="AW37" i="29"/>
  <c r="AZ37" i="29" s="1"/>
  <c r="AS37" i="29" s="1"/>
  <c r="E37" i="29"/>
  <c r="P37" i="29" s="1"/>
  <c r="K37" i="29"/>
  <c r="AP59" i="16"/>
  <c r="AP28" i="39"/>
  <c r="AR98" i="38"/>
  <c r="AN30" i="37"/>
  <c r="AR33" i="38"/>
  <c r="AN17" i="37"/>
  <c r="AP79" i="39"/>
  <c r="AN43" i="37"/>
  <c r="AP18" i="16"/>
  <c r="AR79" i="38"/>
  <c r="AP56" i="16"/>
  <c r="AP54" i="16"/>
  <c r="AR87" i="38"/>
  <c r="AP77" i="39"/>
  <c r="AN83" i="37"/>
  <c r="AR61" i="38"/>
  <c r="AN80" i="37"/>
  <c r="AP35" i="39"/>
  <c r="AP18" i="39"/>
  <c r="AP57" i="16"/>
  <c r="AP64" i="39"/>
  <c r="AP40" i="16"/>
  <c r="AN16" i="37"/>
  <c r="AP79" i="16"/>
  <c r="AP29" i="39"/>
  <c r="B23" i="33"/>
  <c r="U30" i="33"/>
  <c r="U18" i="33"/>
  <c r="U19" i="33"/>
  <c r="U22" i="33"/>
  <c r="X12" i="37"/>
  <c r="X42" i="37"/>
  <c r="X15" i="37"/>
  <c r="S10" i="29"/>
  <c r="U10" i="39"/>
  <c r="U11" i="16"/>
  <c r="AF152" i="38"/>
  <c r="AI13" i="33"/>
  <c r="F13" i="33"/>
  <c r="K51" i="33"/>
  <c r="F51" i="33"/>
  <c r="U11" i="29"/>
  <c r="W11" i="39"/>
  <c r="AD40" i="10"/>
  <c r="X14" i="37"/>
  <c r="X20" i="16"/>
  <c r="X28" i="39"/>
  <c r="X85" i="39"/>
  <c r="X18" i="39"/>
  <c r="X35" i="37"/>
  <c r="X46" i="37"/>
  <c r="X50" i="16"/>
  <c r="X85" i="16"/>
  <c r="X51" i="37"/>
  <c r="X61" i="37"/>
  <c r="X62" i="16"/>
  <c r="Z46" i="38"/>
  <c r="X40" i="39"/>
  <c r="X42" i="16"/>
  <c r="X21" i="37"/>
  <c r="Z80" i="38"/>
  <c r="X17" i="39"/>
  <c r="X70" i="37"/>
  <c r="X41" i="39"/>
  <c r="U10" i="37"/>
  <c r="AS39" i="33"/>
  <c r="O51" i="10"/>
  <c r="AN51" i="10"/>
  <c r="AP51" i="10" s="1"/>
  <c r="AZ51" i="10" s="1"/>
  <c r="AQ51" i="10"/>
  <c r="F51" i="10"/>
  <c r="C55" i="10"/>
  <c r="K55" i="10"/>
  <c r="J55" i="10"/>
  <c r="B50" i="39"/>
  <c r="E50" i="39" s="1"/>
  <c r="B24" i="39"/>
  <c r="AU50" i="10"/>
  <c r="AU63" i="10" s="1"/>
  <c r="AU54" i="10"/>
  <c r="A12" i="33"/>
  <c r="B12" i="33" s="1"/>
  <c r="A26" i="33"/>
  <c r="B26" i="33" s="1"/>
  <c r="A36" i="33"/>
  <c r="B36" i="33" s="1"/>
  <c r="A11" i="33"/>
  <c r="A31" i="33"/>
  <c r="B31" i="33" s="1"/>
  <c r="A19" i="33"/>
  <c r="A21" i="33"/>
  <c r="B21" i="33" s="1"/>
  <c r="A38" i="33"/>
  <c r="A10" i="33"/>
  <c r="B10" i="33"/>
  <c r="A15" i="33"/>
  <c r="B15" i="33" s="1"/>
  <c r="A44" i="33"/>
  <c r="B44" i="33"/>
  <c r="X11" i="16"/>
  <c r="AS36" i="39"/>
  <c r="AN36" i="39"/>
  <c r="X22" i="16"/>
  <c r="X24" i="39"/>
  <c r="X27" i="39"/>
  <c r="AR91" i="38"/>
  <c r="AP10" i="16"/>
  <c r="AD80" i="16"/>
  <c r="AD82" i="16"/>
  <c r="AN61" i="10"/>
  <c r="AP61" i="10" s="1"/>
  <c r="AZ61" i="10" s="1"/>
  <c r="O61" i="10"/>
  <c r="AN79" i="37"/>
  <c r="Q22" i="22"/>
  <c r="X46" i="39"/>
  <c r="X73" i="39"/>
  <c r="G55" i="10"/>
  <c r="X22" i="22"/>
  <c r="AD41" i="10"/>
  <c r="U27" i="33"/>
  <c r="X22" i="23"/>
  <c r="U27" i="31"/>
  <c r="S26" i="31"/>
  <c r="T9" i="23"/>
  <c r="S11" i="33"/>
  <c r="X42" i="39"/>
  <c r="X10" i="16"/>
  <c r="AD47" i="10"/>
  <c r="L14" i="10"/>
  <c r="X65" i="16"/>
  <c r="J41" i="10"/>
  <c r="C41" i="10"/>
  <c r="K41" i="10" s="1"/>
  <c r="AR44" i="38"/>
  <c r="AR93" i="38"/>
  <c r="X63" i="37"/>
  <c r="Z60" i="38"/>
  <c r="S48" i="29"/>
  <c r="G39" i="10"/>
  <c r="Z58" i="38"/>
  <c r="X41" i="16"/>
  <c r="X10" i="39"/>
  <c r="B39" i="33"/>
  <c r="Z59" i="38"/>
  <c r="C17" i="10"/>
  <c r="J17" i="10"/>
  <c r="X50" i="39"/>
  <c r="X15" i="16"/>
  <c r="X17" i="16"/>
  <c r="B27" i="31"/>
  <c r="AP9" i="39"/>
  <c r="Z10" i="38"/>
  <c r="Y45" i="23"/>
  <c r="J21" i="23"/>
  <c r="Y9" i="23"/>
  <c r="J38" i="23"/>
  <c r="Y18" i="23"/>
  <c r="J37" i="23"/>
  <c r="Y41" i="23"/>
  <c r="Y34" i="23"/>
  <c r="J16" i="23"/>
  <c r="Y40" i="23"/>
  <c r="J45" i="23"/>
  <c r="J33" i="23"/>
  <c r="J31" i="23"/>
  <c r="J17" i="23"/>
  <c r="Y27" i="23"/>
  <c r="Y32" i="23"/>
  <c r="Z61" i="38"/>
  <c r="BC37" i="23"/>
  <c r="F80" i="38"/>
  <c r="Z21" i="38"/>
  <c r="X84" i="16"/>
  <c r="H36" i="31"/>
  <c r="S39" i="29"/>
  <c r="S37" i="29"/>
  <c r="W45" i="10"/>
  <c r="S23" i="33"/>
  <c r="S44" i="33"/>
  <c r="S23" i="29"/>
  <c r="W66" i="10"/>
  <c r="G18" i="10"/>
  <c r="W56" i="10"/>
  <c r="S30" i="33"/>
  <c r="S38" i="33"/>
  <c r="F15" i="29"/>
  <c r="S20" i="29"/>
  <c r="W46" i="10"/>
  <c r="G34" i="10"/>
  <c r="W48" i="10"/>
  <c r="S46" i="33"/>
  <c r="S22" i="29"/>
  <c r="G14" i="10"/>
  <c r="AH42" i="31"/>
  <c r="AH22" i="31"/>
  <c r="AH35" i="31"/>
  <c r="AH21" i="31"/>
  <c r="AH48" i="31"/>
  <c r="AH32" i="31"/>
  <c r="AC94" i="38"/>
  <c r="AS94" i="38"/>
  <c r="L29" i="23"/>
  <c r="F29" i="23"/>
  <c r="Q29" i="23" s="1"/>
  <c r="F33" i="23"/>
  <c r="Q33" i="23" s="1"/>
  <c r="AL33" i="23"/>
  <c r="I33" i="23"/>
  <c r="AY33" i="23"/>
  <c r="BB33" i="23" s="1"/>
  <c r="AV33" i="23" s="1"/>
  <c r="K14" i="33"/>
  <c r="X51" i="39"/>
  <c r="AS75" i="39"/>
  <c r="AB82" i="39"/>
  <c r="I13" i="29"/>
  <c r="H12" i="29"/>
  <c r="L9" i="10"/>
  <c r="X57" i="39"/>
  <c r="W59" i="10"/>
  <c r="H43" i="33"/>
  <c r="AK34" i="33"/>
  <c r="AG30" i="29"/>
  <c r="AQ30" i="29" s="1"/>
  <c r="A22" i="29"/>
  <c r="H39" i="29"/>
  <c r="AK44" i="33"/>
  <c r="U35" i="33"/>
  <c r="BE46" i="10"/>
  <c r="BH46" i="10" s="1"/>
  <c r="AQ42" i="10"/>
  <c r="AF33" i="29"/>
  <c r="S48" i="33"/>
  <c r="E48" i="33"/>
  <c r="P48" i="33" s="1"/>
  <c r="AQ40" i="10"/>
  <c r="AW35" i="33"/>
  <c r="T5" i="33" s="1"/>
  <c r="U31" i="33"/>
  <c r="L12" i="23"/>
  <c r="AL12" i="23"/>
  <c r="AP50" i="23"/>
  <c r="AA30" i="39"/>
  <c r="AP32" i="23"/>
  <c r="AI39" i="29"/>
  <c r="H36" i="29"/>
  <c r="F12" i="23"/>
  <c r="W52" i="10"/>
  <c r="AJ67" i="38"/>
  <c r="AM67" i="38" s="1"/>
  <c r="AL57" i="39"/>
  <c r="D57" i="39" s="1"/>
  <c r="AN40" i="10"/>
  <c r="AP40" i="10" s="1"/>
  <c r="AZ40" i="10" s="1"/>
  <c r="BA40" i="10" s="1"/>
  <c r="BC40" i="10" s="1"/>
  <c r="W51" i="10"/>
  <c r="V43" i="29"/>
  <c r="AK15" i="31"/>
  <c r="AQ23" i="31"/>
  <c r="B28" i="38"/>
  <c r="B33" i="38" s="1"/>
  <c r="A14" i="29"/>
  <c r="BE66" i="10"/>
  <c r="BH66" i="10" s="1"/>
  <c r="H35" i="33"/>
  <c r="D90" i="39"/>
  <c r="AS30" i="29"/>
  <c r="C28" i="10"/>
  <c r="K28" i="10" s="1"/>
  <c r="J28" i="10"/>
  <c r="W25" i="10"/>
  <c r="F58" i="38"/>
  <c r="AW44" i="29"/>
  <c r="K44" i="29"/>
  <c r="T21" i="23"/>
  <c r="AR78" i="38"/>
  <c r="AH37" i="33"/>
  <c r="A46" i="29"/>
  <c r="A36" i="29"/>
  <c r="B36" i="29"/>
  <c r="A34" i="29"/>
  <c r="B34" i="29"/>
  <c r="A13" i="29"/>
  <c r="B13" i="29" s="1"/>
  <c r="A45" i="29"/>
  <c r="B45" i="29"/>
  <c r="A44" i="29"/>
  <c r="B44" i="29"/>
  <c r="A21" i="29"/>
  <c r="B21" i="29"/>
  <c r="AP37" i="16"/>
  <c r="AY22" i="31"/>
  <c r="U15" i="16"/>
  <c r="S22" i="31"/>
  <c r="U10" i="16"/>
  <c r="E36" i="31"/>
  <c r="W11" i="10"/>
  <c r="S47" i="31"/>
  <c r="AB31" i="39"/>
  <c r="AI31" i="39"/>
  <c r="BI31" i="39"/>
  <c r="V61" i="38"/>
  <c r="AS61" i="38"/>
  <c r="B94" i="38"/>
  <c r="C94" i="38" s="1"/>
  <c r="O39" i="10"/>
  <c r="AP73" i="39"/>
  <c r="AP19" i="39"/>
  <c r="AR60" i="38"/>
  <c r="BE26" i="10"/>
  <c r="BH26" i="10" s="1"/>
  <c r="AP61" i="39"/>
  <c r="AP13" i="39"/>
  <c r="AR45" i="38"/>
  <c r="S39" i="31"/>
  <c r="AK150" i="38"/>
  <c r="AL30" i="23"/>
  <c r="AY30" i="23"/>
  <c r="AF31" i="33"/>
  <c r="AH31" i="33"/>
  <c r="AI11" i="29"/>
  <c r="H11" i="29"/>
  <c r="W8" i="10"/>
  <c r="U12" i="37"/>
  <c r="W26" i="10"/>
  <c r="S9" i="31"/>
  <c r="T12" i="23"/>
  <c r="AS28" i="39"/>
  <c r="AN28" i="39"/>
  <c r="F12" i="31"/>
  <c r="U12" i="39"/>
  <c r="W30" i="10"/>
  <c r="O65" i="10"/>
  <c r="AN12" i="37"/>
  <c r="AP46" i="16"/>
  <c r="AP16" i="39"/>
  <c r="AR50" i="38"/>
  <c r="AR15" i="38"/>
  <c r="AP45" i="16"/>
  <c r="AR21" i="38"/>
  <c r="AN75" i="37"/>
  <c r="AP82" i="16"/>
  <c r="AN28" i="37"/>
  <c r="AP19" i="16"/>
  <c r="AP17" i="39"/>
  <c r="AR14" i="38"/>
  <c r="AP83" i="39"/>
  <c r="AP52" i="39"/>
  <c r="AR72" i="38"/>
  <c r="AN45" i="37"/>
  <c r="AR46" i="38"/>
  <c r="AN64" i="37"/>
  <c r="AR88" i="38"/>
  <c r="AP41" i="16"/>
  <c r="AP20" i="39"/>
  <c r="AR73" i="38"/>
  <c r="AN15" i="37"/>
  <c r="AR34" i="38"/>
  <c r="W13" i="10"/>
  <c r="F35" i="31"/>
  <c r="L56" i="10"/>
  <c r="D28" i="37"/>
  <c r="AR19" i="38"/>
  <c r="G32" i="23"/>
  <c r="L32" i="23"/>
  <c r="AL32" i="23"/>
  <c r="S12" i="33"/>
  <c r="S30" i="31"/>
  <c r="T10" i="23"/>
  <c r="AE31" i="37"/>
  <c r="AP12" i="39"/>
  <c r="AP85" i="16"/>
  <c r="AP56" i="39"/>
  <c r="AR16" i="38"/>
  <c r="AW148" i="38"/>
  <c r="AE33" i="39"/>
  <c r="BH33" i="39" s="1"/>
  <c r="AP55" i="39"/>
  <c r="AP10" i="39"/>
  <c r="AN37" i="39"/>
  <c r="AL37" i="39" s="1"/>
  <c r="BJ37" i="39" s="1"/>
  <c r="U46" i="33"/>
  <c r="U36" i="33"/>
  <c r="U45" i="33"/>
  <c r="X73" i="16"/>
  <c r="AE73" i="16" s="1"/>
  <c r="BI73" i="16" s="1"/>
  <c r="X34" i="39"/>
  <c r="X38" i="37"/>
  <c r="X14" i="16"/>
  <c r="X25" i="39"/>
  <c r="X60" i="39"/>
  <c r="X63" i="39"/>
  <c r="X47" i="37"/>
  <c r="X43" i="37"/>
  <c r="X21" i="16"/>
  <c r="X40" i="16"/>
  <c r="Z13" i="38"/>
  <c r="X59" i="39"/>
  <c r="X40" i="37"/>
  <c r="X19" i="16"/>
  <c r="Z17" i="38"/>
  <c r="X9" i="39"/>
  <c r="AU37" i="38"/>
  <c r="AP37" i="38"/>
  <c r="AN37" i="38" s="1"/>
  <c r="BL37" i="38" s="1"/>
  <c r="BP37" i="38" s="1"/>
  <c r="I32" i="23"/>
  <c r="C40" i="10"/>
  <c r="K40" i="10"/>
  <c r="J40" i="10"/>
  <c r="AL27" i="22"/>
  <c r="AY27" i="22"/>
  <c r="BB27" i="22" s="1"/>
  <c r="AV27" i="22" s="1"/>
  <c r="G27" i="22"/>
  <c r="AP75" i="16"/>
  <c r="AR9" i="38"/>
  <c r="W7" i="10"/>
  <c r="F47" i="31"/>
  <c r="S31" i="33"/>
  <c r="AN26" i="10"/>
  <c r="AP26" i="10" s="1"/>
  <c r="AZ26" i="10" s="1"/>
  <c r="C65" i="10"/>
  <c r="K65" i="10"/>
  <c r="AN38" i="37"/>
  <c r="AR54" i="38"/>
  <c r="AP17" i="16"/>
  <c r="AR42" i="38"/>
  <c r="AR55" i="38"/>
  <c r="AL11" i="23"/>
  <c r="F20" i="31"/>
  <c r="AL75" i="16"/>
  <c r="D75" i="16" s="1"/>
  <c r="AP27" i="16"/>
  <c r="W10" i="37"/>
  <c r="AP87" i="16"/>
  <c r="L39" i="23"/>
  <c r="S51" i="29"/>
  <c r="J64" i="10"/>
  <c r="C64" i="10"/>
  <c r="K64" i="10" s="1"/>
  <c r="K15" i="33"/>
  <c r="AW15" i="33"/>
  <c r="AE15" i="33" s="1"/>
  <c r="AG15" i="33" s="1"/>
  <c r="AQ15" i="33" s="1"/>
  <c r="F10" i="31"/>
  <c r="S9" i="29"/>
  <c r="AY36" i="31"/>
  <c r="K36" i="31"/>
  <c r="L30" i="10"/>
  <c r="S26" i="33"/>
  <c r="S11" i="31"/>
  <c r="W40" i="10"/>
  <c r="W10" i="10"/>
  <c r="AP15" i="16"/>
  <c r="G65" i="10"/>
  <c r="G11" i="23"/>
  <c r="U11" i="39"/>
  <c r="AR29" i="38"/>
  <c r="AN46" i="37"/>
  <c r="G42" i="10"/>
  <c r="B20" i="29"/>
  <c r="S37" i="33"/>
  <c r="T10" i="22"/>
  <c r="U14" i="37"/>
  <c r="L28" i="10"/>
  <c r="S45" i="31"/>
  <c r="F31" i="31"/>
  <c r="AA47" i="16"/>
  <c r="AA37" i="16" s="1"/>
  <c r="AY39" i="23"/>
  <c r="BB39" i="23" s="1"/>
  <c r="AV39" i="23" s="1"/>
  <c r="AN56" i="37"/>
  <c r="B34" i="31"/>
  <c r="AZ34" i="31"/>
  <c r="AN61" i="37"/>
  <c r="AR10" i="38"/>
  <c r="U11" i="37"/>
  <c r="AP78" i="39"/>
  <c r="L29" i="10"/>
  <c r="BC54" i="10"/>
  <c r="AN27" i="37"/>
  <c r="AH55" i="16"/>
  <c r="AK55" i="16" s="1"/>
  <c r="AN9" i="10"/>
  <c r="AP9" i="10" s="1"/>
  <c r="AZ9" i="10" s="1"/>
  <c r="AQ9" i="10"/>
  <c r="AW14" i="29"/>
  <c r="AY14" i="29" s="1"/>
  <c r="E14" i="29"/>
  <c r="P14" i="29" s="1"/>
  <c r="H14" i="29"/>
  <c r="AI14" i="29"/>
  <c r="AR11" i="38"/>
  <c r="AN35" i="37"/>
  <c r="E37" i="33"/>
  <c r="P37" i="33" s="1"/>
  <c r="AP14" i="39"/>
  <c r="AN51" i="37"/>
  <c r="AA83" i="16"/>
  <c r="AH152" i="38"/>
  <c r="AH150" i="38"/>
  <c r="AE24" i="10"/>
  <c r="M38" i="10"/>
  <c r="T38" i="10"/>
  <c r="M56" i="10"/>
  <c r="AE29" i="10"/>
  <c r="AE12" i="10"/>
  <c r="AE34" i="10"/>
  <c r="M7" i="10"/>
  <c r="AE18" i="10"/>
  <c r="AE28" i="10"/>
  <c r="M30" i="10"/>
  <c r="AE27" i="10"/>
  <c r="AE8" i="10"/>
  <c r="M42" i="10"/>
  <c r="AE61" i="10"/>
  <c r="M28" i="10"/>
  <c r="G49" i="23"/>
  <c r="F36" i="31"/>
  <c r="F48" i="31"/>
  <c r="S12" i="29"/>
  <c r="D29" i="37"/>
  <c r="D35" i="37" s="1"/>
  <c r="E35" i="37" s="1"/>
  <c r="AP80" i="39"/>
  <c r="AN57" i="37"/>
  <c r="AN24" i="37"/>
  <c r="S38" i="31"/>
  <c r="S46" i="31"/>
  <c r="AP15" i="39"/>
  <c r="X9" i="37"/>
  <c r="AN85" i="37"/>
  <c r="F30" i="29"/>
  <c r="F51" i="31"/>
  <c r="S35" i="33"/>
  <c r="F19" i="29"/>
  <c r="F39" i="29"/>
  <c r="F33" i="31"/>
  <c r="F33" i="29"/>
  <c r="F18" i="29"/>
  <c r="F19" i="31"/>
  <c r="F9" i="29"/>
  <c r="AH20" i="31"/>
  <c r="AH43" i="31"/>
  <c r="AH38" i="31"/>
  <c r="AH36" i="31"/>
  <c r="AN13" i="10"/>
  <c r="AP13" i="10" s="1"/>
  <c r="AZ13" i="10" s="1"/>
  <c r="O13" i="10"/>
  <c r="E90" i="37"/>
  <c r="E92" i="37" s="1"/>
  <c r="D92" i="37"/>
  <c r="F44" i="31"/>
  <c r="F21" i="31"/>
  <c r="S34" i="31"/>
  <c r="AD29" i="38"/>
  <c r="AU29" i="38" s="1"/>
  <c r="B36" i="31"/>
  <c r="AZ36" i="31" s="1"/>
  <c r="L22" i="10"/>
  <c r="T22" i="10" s="1"/>
  <c r="AR31" i="38"/>
  <c r="AN19" i="37"/>
  <c r="V21" i="33"/>
  <c r="V51" i="33"/>
  <c r="V12" i="33"/>
  <c r="V33" i="33"/>
  <c r="I43" i="33"/>
  <c r="V23" i="33"/>
  <c r="I34" i="33"/>
  <c r="I37" i="33"/>
  <c r="I26" i="33"/>
  <c r="AS33" i="39"/>
  <c r="BK33" i="39"/>
  <c r="AN39" i="10"/>
  <c r="AP39" i="10" s="1"/>
  <c r="AZ39" i="10" s="1"/>
  <c r="BA39" i="10" s="1"/>
  <c r="BC39" i="10" s="1"/>
  <c r="AQ39" i="10"/>
  <c r="BE39" i="10"/>
  <c r="BG39" i="10" s="1"/>
  <c r="F39" i="23"/>
  <c r="Q39" i="23" s="1"/>
  <c r="F23" i="31"/>
  <c r="F37" i="33"/>
  <c r="F65" i="10"/>
  <c r="T65" i="10" s="1"/>
  <c r="BJ18" i="29"/>
  <c r="AD33" i="37"/>
  <c r="AE33" i="37"/>
  <c r="AR80" i="38"/>
  <c r="F22" i="31"/>
  <c r="AP55" i="16"/>
  <c r="G39" i="23"/>
  <c r="F34" i="31"/>
  <c r="AQ65" i="10"/>
  <c r="AP62" i="39"/>
  <c r="AR84" i="38"/>
  <c r="AP38" i="16"/>
  <c r="AI84" i="16"/>
  <c r="E32" i="33"/>
  <c r="P32" i="33" s="1"/>
  <c r="AH55" i="39"/>
  <c r="AK55" i="39" s="1"/>
  <c r="D43" i="16"/>
  <c r="AE63" i="37"/>
  <c r="D76" i="37"/>
  <c r="AF45" i="31"/>
  <c r="AC48" i="31"/>
  <c r="D43" i="37"/>
  <c r="E43" i="37" s="1"/>
  <c r="P26" i="31"/>
  <c r="V12" i="31"/>
  <c r="I18" i="31"/>
  <c r="V38" i="31"/>
  <c r="AW42" i="29"/>
  <c r="AY42" i="29" s="1"/>
  <c r="AF43" i="31"/>
  <c r="AQ43" i="31" s="1"/>
  <c r="K43" i="33"/>
  <c r="AL31" i="22"/>
  <c r="AK14" i="31"/>
  <c r="I30" i="31"/>
  <c r="P30" i="31" s="1"/>
  <c r="AR30" i="31" s="1"/>
  <c r="X62" i="39"/>
  <c r="P21" i="33"/>
  <c r="AF26" i="22"/>
  <c r="G38" i="22"/>
  <c r="V10" i="31"/>
  <c r="AG42" i="29"/>
  <c r="AQ42" i="29" s="1"/>
  <c r="AL26" i="31"/>
  <c r="A43" i="33"/>
  <c r="E47" i="29"/>
  <c r="P47" i="29" s="1"/>
  <c r="AF45" i="22"/>
  <c r="I29" i="23"/>
  <c r="I45" i="31"/>
  <c r="V47" i="31"/>
  <c r="AC47" i="31" s="1"/>
  <c r="AD55" i="10"/>
  <c r="V15" i="31"/>
  <c r="D47" i="37"/>
  <c r="E47" i="37" s="1"/>
  <c r="V45" i="29"/>
  <c r="Q8" i="22"/>
  <c r="BA17" i="22"/>
  <c r="A34" i="33"/>
  <c r="B34" i="33"/>
  <c r="AL13" i="22"/>
  <c r="A52" i="37"/>
  <c r="B52" i="37"/>
  <c r="AL37" i="37"/>
  <c r="AJ37" i="37" s="1"/>
  <c r="AE60" i="37"/>
  <c r="A36" i="37"/>
  <c r="B36" i="37" s="1"/>
  <c r="AD64" i="37"/>
  <c r="AJ60" i="37"/>
  <c r="D60" i="37" s="1"/>
  <c r="A28" i="37"/>
  <c r="B28" i="37" s="1"/>
  <c r="A17" i="37"/>
  <c r="B17" i="37"/>
  <c r="AD79" i="38"/>
  <c r="Z79" i="38" s="1"/>
  <c r="A21" i="37"/>
  <c r="A64" i="37"/>
  <c r="B64" i="37"/>
  <c r="A18" i="37"/>
  <c r="B18" i="37"/>
  <c r="A51" i="37"/>
  <c r="AQ31" i="37"/>
  <c r="E42" i="37"/>
  <c r="A29" i="37"/>
  <c r="B29" i="37"/>
  <c r="A47" i="37"/>
  <c r="B47" i="37"/>
  <c r="A62" i="37"/>
  <c r="A13" i="37"/>
  <c r="A38" i="37"/>
  <c r="B38" i="37" s="1"/>
  <c r="AK28" i="38"/>
  <c r="BK28" i="38" s="1"/>
  <c r="A33" i="37"/>
  <c r="B33" i="37" s="1"/>
  <c r="A57" i="37"/>
  <c r="B57" i="37"/>
  <c r="AJ63" i="37"/>
  <c r="D63" i="37" s="1"/>
  <c r="A19" i="37"/>
  <c r="B19" i="37" s="1"/>
  <c r="X45" i="37"/>
  <c r="A54" i="37"/>
  <c r="B54" i="37" s="1"/>
  <c r="AE47" i="37"/>
  <c r="B9" i="37"/>
  <c r="X31" i="37"/>
  <c r="A15" i="37"/>
  <c r="B15" i="37"/>
  <c r="AJ45" i="37"/>
  <c r="D45" i="37" s="1"/>
  <c r="AH47" i="37"/>
  <c r="Z28" i="38"/>
  <c r="AB64" i="37"/>
  <c r="A35" i="37"/>
  <c r="B35" i="37"/>
  <c r="A58" i="37"/>
  <c r="B58" i="37"/>
  <c r="AE37" i="37"/>
  <c r="AH60" i="37"/>
  <c r="A63" i="37"/>
  <c r="B63" i="37" s="1"/>
  <c r="A14" i="37"/>
  <c r="B14" i="37"/>
  <c r="A59" i="37"/>
  <c r="A41" i="37"/>
  <c r="B41" i="37"/>
  <c r="AJ85" i="37"/>
  <c r="AF119" i="38"/>
  <c r="AG119" i="38" s="1"/>
  <c r="A11" i="37"/>
  <c r="B11" i="37"/>
  <c r="A31" i="37"/>
  <c r="B31" i="37" s="1"/>
  <c r="A67" i="37"/>
  <c r="AN43" i="38"/>
  <c r="BL43" i="38" s="1"/>
  <c r="A46" i="37"/>
  <c r="AP28" i="38"/>
  <c r="P10" i="31"/>
  <c r="AZ21" i="31"/>
  <c r="Q26" i="22"/>
  <c r="AF18" i="22"/>
  <c r="P18" i="31"/>
  <c r="AH28" i="37"/>
  <c r="AH31" i="37"/>
  <c r="AK85" i="38"/>
  <c r="BK85" i="38" s="1"/>
  <c r="AI27" i="16"/>
  <c r="BK27" i="16" s="1"/>
  <c r="AI75" i="16"/>
  <c r="AI27" i="39"/>
  <c r="BI27" i="39" s="1"/>
  <c r="X46" i="16"/>
  <c r="AL46" i="16"/>
  <c r="D46" i="16" s="1"/>
  <c r="B27" i="29"/>
  <c r="C42" i="38"/>
  <c r="B18" i="29"/>
  <c r="B44" i="38"/>
  <c r="C44" i="38" s="1"/>
  <c r="B12" i="29"/>
  <c r="AH67" i="39"/>
  <c r="AK67" i="39" s="1"/>
  <c r="AH54" i="39"/>
  <c r="AK54" i="39" s="1"/>
  <c r="B34" i="37"/>
  <c r="AH70" i="39"/>
  <c r="AK70" i="39" s="1"/>
  <c r="AH62" i="39"/>
  <c r="AK62" i="39" s="1"/>
  <c r="AJ53" i="38"/>
  <c r="AM53" i="38" s="1"/>
  <c r="AJ50" i="38"/>
  <c r="AM50" i="38" s="1"/>
  <c r="AJ52" i="38"/>
  <c r="AM52" i="38" s="1"/>
  <c r="AJ49" i="38"/>
  <c r="AM49" i="38" s="1"/>
  <c r="AH59" i="39"/>
  <c r="AK59" i="39" s="1"/>
  <c r="AH52" i="16"/>
  <c r="AH21" i="16" s="1"/>
  <c r="B48" i="31"/>
  <c r="AC9" i="31"/>
  <c r="B33" i="31"/>
  <c r="B13" i="31"/>
  <c r="W12" i="16"/>
  <c r="AD24" i="10"/>
  <c r="U11" i="33"/>
  <c r="X9" i="23"/>
  <c r="U26" i="31"/>
  <c r="AD42" i="10"/>
  <c r="U11" i="31"/>
  <c r="AD38" i="10"/>
  <c r="X52" i="23"/>
  <c r="X21" i="22"/>
  <c r="W11" i="37"/>
  <c r="X9" i="22"/>
  <c r="AF9" i="22" s="1"/>
  <c r="AD10" i="10"/>
  <c r="Y11" i="38"/>
  <c r="X21" i="23"/>
  <c r="W9" i="10"/>
  <c r="S13" i="31"/>
  <c r="AC13" i="31"/>
  <c r="U13" i="39"/>
  <c r="S10" i="33"/>
  <c r="U14" i="16"/>
  <c r="W12" i="10"/>
  <c r="W13" i="38"/>
  <c r="S13" i="29"/>
  <c r="U13" i="37"/>
  <c r="T8" i="23"/>
  <c r="S10" i="31"/>
  <c r="S13" i="33"/>
  <c r="W10" i="38"/>
  <c r="T11" i="23"/>
  <c r="W14" i="10"/>
  <c r="T50" i="23"/>
  <c r="BB24" i="12"/>
  <c r="AZ25" i="12"/>
  <c r="BB25" i="12" s="1"/>
  <c r="AD19" i="10"/>
  <c r="L8" i="10"/>
  <c r="AD33" i="10"/>
  <c r="AL33" i="10"/>
  <c r="AD34" i="10"/>
  <c r="AL34" i="10" s="1"/>
  <c r="AD17" i="10"/>
  <c r="L39" i="10"/>
  <c r="T39" i="10" s="1"/>
  <c r="L43" i="10"/>
  <c r="T43" i="10" s="1"/>
  <c r="AD48" i="10"/>
  <c r="L42" i="10"/>
  <c r="T42" i="10" s="1"/>
  <c r="W64" i="10"/>
  <c r="W65" i="10"/>
  <c r="G61" i="10"/>
  <c r="G60" i="10"/>
  <c r="G25" i="10"/>
  <c r="AY39" i="31"/>
  <c r="A42" i="31"/>
  <c r="B39" i="31"/>
  <c r="AZ39" i="31" s="1"/>
  <c r="AS39" i="31" s="1"/>
  <c r="B59" i="37"/>
  <c r="E59" i="37"/>
  <c r="A42" i="29"/>
  <c r="B39" i="29"/>
  <c r="AL78" i="16"/>
  <c r="D78" i="16" s="1"/>
  <c r="AI64" i="39"/>
  <c r="BI64" i="39" s="1"/>
  <c r="X64" i="39"/>
  <c r="AN64" i="39"/>
  <c r="AL64" i="39"/>
  <c r="D64" i="39" s="1"/>
  <c r="AE64" i="39"/>
  <c r="BH64" i="39"/>
  <c r="D92" i="16"/>
  <c r="D94" i="16" s="1"/>
  <c r="AH56" i="39"/>
  <c r="AK56" i="39" s="1"/>
  <c r="L24" i="10"/>
  <c r="T24" i="10" s="1"/>
  <c r="F45" i="31"/>
  <c r="S20" i="33"/>
  <c r="F43" i="31"/>
  <c r="S18" i="29"/>
  <c r="F21" i="29"/>
  <c r="S38" i="29"/>
  <c r="S32" i="29"/>
  <c r="S37" i="31"/>
  <c r="F10" i="29"/>
  <c r="P10" i="29" s="1"/>
  <c r="F22" i="29"/>
  <c r="G48" i="10"/>
  <c r="G41" i="10"/>
  <c r="F46" i="31"/>
  <c r="F9" i="31"/>
  <c r="S36" i="31"/>
  <c r="G46" i="10"/>
  <c r="F38" i="29"/>
  <c r="F36" i="29"/>
  <c r="S46" i="29"/>
  <c r="F32" i="31"/>
  <c r="G35" i="10"/>
  <c r="G47" i="10"/>
  <c r="S31" i="31"/>
  <c r="G11" i="10"/>
  <c r="F26" i="31"/>
  <c r="D41" i="37"/>
  <c r="AD22" i="10"/>
  <c r="U14" i="31"/>
  <c r="Y14" i="38"/>
  <c r="AD27" i="10"/>
  <c r="AD7" i="10"/>
  <c r="AD13" i="10"/>
  <c r="U14" i="29"/>
  <c r="W13" i="16"/>
  <c r="W15" i="16"/>
  <c r="W12" i="39"/>
  <c r="W10" i="16"/>
  <c r="AD28" i="10"/>
  <c r="AN62" i="39"/>
  <c r="AL62" i="39" s="1"/>
  <c r="B20" i="37"/>
  <c r="AG150" i="38"/>
  <c r="AH31" i="31"/>
  <c r="AH23" i="31"/>
  <c r="AH39" i="31"/>
  <c r="AH19" i="31"/>
  <c r="F36" i="33"/>
  <c r="F33" i="33"/>
  <c r="T29" i="10"/>
  <c r="AI30" i="39"/>
  <c r="BI30" i="39" s="1"/>
  <c r="L27" i="10"/>
  <c r="L34" i="10"/>
  <c r="T34" i="10"/>
  <c r="L51" i="10"/>
  <c r="L18" i="10"/>
  <c r="L23" i="10"/>
  <c r="L46" i="10"/>
  <c r="L35" i="10"/>
  <c r="T35" i="10" s="1"/>
  <c r="AS61" i="39"/>
  <c r="L59" i="10"/>
  <c r="L25" i="10"/>
  <c r="AE47" i="39"/>
  <c r="BH47" i="39" s="1"/>
  <c r="AD31" i="39"/>
  <c r="AD37" i="39" s="1"/>
  <c r="AE37" i="39" s="1"/>
  <c r="BH37" i="39" s="1"/>
  <c r="AL22" i="33"/>
  <c r="AL44" i="33"/>
  <c r="AL13" i="33"/>
  <c r="AL33" i="33"/>
  <c r="AL11" i="33"/>
  <c r="AL42" i="33"/>
  <c r="AL15" i="33"/>
  <c r="AL43" i="33"/>
  <c r="AL27" i="33"/>
  <c r="AL14" i="33"/>
  <c r="I18" i="33"/>
  <c r="I35" i="33"/>
  <c r="I11" i="33"/>
  <c r="V42" i="33"/>
  <c r="V19" i="33"/>
  <c r="I42" i="33"/>
  <c r="V36" i="33"/>
  <c r="I45" i="33"/>
  <c r="I38" i="33"/>
  <c r="V14" i="33"/>
  <c r="V20" i="33"/>
  <c r="I22" i="33"/>
  <c r="I9" i="33"/>
  <c r="V13" i="33"/>
  <c r="I51" i="33"/>
  <c r="V26" i="33"/>
  <c r="V31" i="33"/>
  <c r="I32" i="33"/>
  <c r="V32" i="33"/>
  <c r="V44" i="33"/>
  <c r="I12" i="33"/>
  <c r="I30" i="33"/>
  <c r="AI36" i="33"/>
  <c r="H36" i="33"/>
  <c r="L52" i="10"/>
  <c r="Y12" i="38"/>
  <c r="AL148" i="38"/>
  <c r="L65" i="10"/>
  <c r="AL42" i="16"/>
  <c r="BL42" i="16" s="1"/>
  <c r="D60" i="16"/>
  <c r="AF54" i="38"/>
  <c r="AK124" i="38" s="1"/>
  <c r="U9" i="39"/>
  <c r="U13" i="16"/>
  <c r="W14" i="38"/>
  <c r="U9" i="37"/>
  <c r="W22" i="10"/>
  <c r="W12" i="38"/>
  <c r="S14" i="29"/>
  <c r="S9" i="33"/>
  <c r="S12" i="31"/>
  <c r="W29" i="10"/>
  <c r="U14" i="39"/>
  <c r="T7" i="23"/>
  <c r="X61" i="39"/>
  <c r="AN61" i="39"/>
  <c r="AL61" i="39"/>
  <c r="K43" i="12"/>
  <c r="D82" i="37"/>
  <c r="D51" i="39"/>
  <c r="AB52" i="39"/>
  <c r="AD35" i="10"/>
  <c r="L61" i="10"/>
  <c r="L60" i="10"/>
  <c r="U9" i="29"/>
  <c r="AD65" i="10"/>
  <c r="X7" i="23"/>
  <c r="W15" i="38"/>
  <c r="U15" i="37"/>
  <c r="T13" i="23"/>
  <c r="U14" i="33"/>
  <c r="AD8" i="10"/>
  <c r="AR30" i="38"/>
  <c r="AN37" i="37"/>
  <c r="AR99" i="38"/>
  <c r="AP13" i="16"/>
  <c r="AP31" i="16"/>
  <c r="AP35" i="16"/>
  <c r="AR85" i="38"/>
  <c r="AN47" i="37"/>
  <c r="AN11" i="37"/>
  <c r="AN73" i="37"/>
  <c r="AR59" i="38"/>
  <c r="AP58" i="16"/>
  <c r="AR37" i="38"/>
  <c r="AN25" i="37"/>
  <c r="AN13" i="37"/>
  <c r="AN76" i="37"/>
  <c r="AP44" i="39"/>
  <c r="AR86" i="38"/>
  <c r="AR92" i="38"/>
  <c r="AR25" i="38"/>
  <c r="AR95" i="38"/>
  <c r="AP81" i="39"/>
  <c r="AP85" i="39"/>
  <c r="AP58" i="39"/>
  <c r="AR53" i="38"/>
  <c r="AP36" i="39"/>
  <c r="AP24" i="39"/>
  <c r="AN54" i="37"/>
  <c r="AP77" i="16"/>
  <c r="AR20" i="38"/>
  <c r="AR97" i="38"/>
  <c r="AP36" i="16"/>
  <c r="AR94" i="38"/>
  <c r="AR32" i="38"/>
  <c r="AP47" i="39"/>
  <c r="AP37" i="39"/>
  <c r="AN78" i="37"/>
  <c r="AP83" i="16"/>
  <c r="AP20" i="16"/>
  <c r="AP46" i="39"/>
  <c r="AP12" i="16"/>
  <c r="AP63" i="16"/>
  <c r="AP31" i="39"/>
  <c r="AE62" i="39"/>
  <c r="BH62" i="39" s="1"/>
  <c r="U12" i="29"/>
  <c r="AI28" i="39"/>
  <c r="BI28" i="39" s="1"/>
  <c r="AK61" i="38"/>
  <c r="BK61" i="38" s="1"/>
  <c r="AH27" i="37"/>
  <c r="L48" i="10"/>
  <c r="L19" i="10"/>
  <c r="S14" i="33"/>
  <c r="AD11" i="10"/>
  <c r="W27" i="10"/>
  <c r="X64" i="16"/>
  <c r="K12" i="10"/>
  <c r="C50" i="23"/>
  <c r="W14" i="37"/>
  <c r="L33" i="10"/>
  <c r="T33" i="10" s="1"/>
  <c r="AL30" i="37"/>
  <c r="AD43" i="10"/>
  <c r="AD39" i="10"/>
  <c r="U27" i="29"/>
  <c r="X82" i="37"/>
  <c r="X76" i="37"/>
  <c r="Z49" i="38"/>
  <c r="X57" i="37"/>
  <c r="AE57" i="37"/>
  <c r="X73" i="37"/>
  <c r="Z15" i="38"/>
  <c r="X71" i="37"/>
  <c r="AE71" i="37" s="1"/>
  <c r="X43" i="16"/>
  <c r="X60" i="37"/>
  <c r="X59" i="37"/>
  <c r="Z68" i="38"/>
  <c r="AG68" i="38" s="1"/>
  <c r="BJ68" i="38" s="1"/>
  <c r="X12" i="16"/>
  <c r="Z11" i="38"/>
  <c r="Z67" i="38"/>
  <c r="Z16" i="38"/>
  <c r="Z43" i="38"/>
  <c r="X15" i="39"/>
  <c r="Z12" i="38"/>
  <c r="X28" i="37"/>
  <c r="X16" i="39"/>
  <c r="X21" i="39"/>
  <c r="AE21" i="39"/>
  <c r="X18" i="16"/>
  <c r="Z20" i="38"/>
  <c r="AG20" i="38" s="1"/>
  <c r="X27" i="37"/>
  <c r="Z19" i="38"/>
  <c r="X37" i="37"/>
  <c r="U12" i="31"/>
  <c r="AH61" i="39"/>
  <c r="AK61" i="39" s="1"/>
  <c r="AH50" i="39"/>
  <c r="AK50" i="39" s="1"/>
  <c r="AH58" i="39"/>
  <c r="AK58" i="39" s="1"/>
  <c r="X36" i="37"/>
  <c r="D65" i="16"/>
  <c r="X12" i="22"/>
  <c r="AD46" i="10"/>
  <c r="L10" i="10"/>
  <c r="AK79" i="38"/>
  <c r="AY29" i="23"/>
  <c r="BB29" i="23" s="1"/>
  <c r="AV29" i="23" s="1"/>
  <c r="AD64" i="10"/>
  <c r="H81" i="12"/>
  <c r="AH62" i="37" s="1"/>
  <c r="AD85" i="16"/>
  <c r="AD79" i="16"/>
  <c r="G31" i="23"/>
  <c r="AY31" i="23"/>
  <c r="BB31" i="23" s="1"/>
  <c r="AV31" i="23" s="1"/>
  <c r="F31" i="23"/>
  <c r="AK11" i="33"/>
  <c r="BE60" i="10"/>
  <c r="F60" i="10"/>
  <c r="T60" i="10" s="1"/>
  <c r="AD31" i="38"/>
  <c r="AD32" i="38" s="1"/>
  <c r="AN45" i="38"/>
  <c r="F45" i="38" s="1"/>
  <c r="AK50" i="38"/>
  <c r="BK50" i="38" s="1"/>
  <c r="A17" i="39"/>
  <c r="B17" i="39" s="1"/>
  <c r="A15" i="39"/>
  <c r="B15" i="39" s="1"/>
  <c r="A45" i="39"/>
  <c r="B45" i="39" s="1"/>
  <c r="A28" i="39"/>
  <c r="B28" i="39" s="1"/>
  <c r="J7" i="23"/>
  <c r="T52" i="23"/>
  <c r="U12" i="16"/>
  <c r="W11" i="38"/>
  <c r="AN14" i="10"/>
  <c r="AP14" i="10" s="1"/>
  <c r="AZ14" i="10" s="1"/>
  <c r="AN47" i="10"/>
  <c r="AP47" i="10" s="1"/>
  <c r="AZ47" i="10" s="1"/>
  <c r="Y11" i="23"/>
  <c r="Y31" i="23"/>
  <c r="Y7" i="23"/>
  <c r="J18" i="23"/>
  <c r="U48" i="33"/>
  <c r="U39" i="33"/>
  <c r="E43" i="29"/>
  <c r="P43" i="29" s="1"/>
  <c r="AI43" i="29"/>
  <c r="AY37" i="23"/>
  <c r="Y17" i="23"/>
  <c r="U21" i="33"/>
  <c r="J25" i="23"/>
  <c r="Y42" i="23"/>
  <c r="F55" i="10"/>
  <c r="AN55" i="10"/>
  <c r="AP55" i="10" s="1"/>
  <c r="AZ55" i="10" s="1"/>
  <c r="Y33" i="23"/>
  <c r="O25" i="10"/>
  <c r="BE25" i="10"/>
  <c r="BG25" i="10" s="1"/>
  <c r="Y25" i="23"/>
  <c r="J10" i="23"/>
  <c r="AB35" i="39"/>
  <c r="AN34" i="39"/>
  <c r="AL34" i="39"/>
  <c r="BJ34" i="39" s="1"/>
  <c r="AQ13" i="10"/>
  <c r="AK9" i="33"/>
  <c r="AK18" i="33"/>
  <c r="Y49" i="23"/>
  <c r="J28" i="23"/>
  <c r="J42" i="23"/>
  <c r="C61" i="10"/>
  <c r="K61" i="10"/>
  <c r="J61" i="10"/>
  <c r="AK22" i="29"/>
  <c r="AK19" i="29"/>
  <c r="Y22" i="23"/>
  <c r="J11" i="23"/>
  <c r="O38" i="10"/>
  <c r="AQ38" i="10"/>
  <c r="X62" i="37"/>
  <c r="J40" i="23"/>
  <c r="J32" i="23"/>
  <c r="Y28" i="23"/>
  <c r="J22" i="23"/>
  <c r="Y12" i="23"/>
  <c r="Y50" i="23"/>
  <c r="V37" i="29"/>
  <c r="AH37" i="29"/>
  <c r="Y38" i="23"/>
  <c r="Y51" i="23"/>
  <c r="J10" i="10"/>
  <c r="Y10" i="23"/>
  <c r="X36" i="39"/>
  <c r="AH52" i="39"/>
  <c r="AK52" i="39" s="1"/>
  <c r="AL27" i="23"/>
  <c r="I27" i="23"/>
  <c r="AQ62" i="37"/>
  <c r="AT49" i="23"/>
  <c r="AE62" i="37"/>
  <c r="AL29" i="22"/>
  <c r="AL62" i="37"/>
  <c r="AJ62" i="37"/>
  <c r="D83" i="37"/>
  <c r="AQ30" i="31"/>
  <c r="AB29" i="39"/>
  <c r="AL13" i="31"/>
  <c r="E42" i="31"/>
  <c r="P42" i="31" s="1"/>
  <c r="AK21" i="31"/>
  <c r="V5" i="37"/>
  <c r="AK19" i="31"/>
  <c r="AL31" i="31"/>
  <c r="I42" i="31"/>
  <c r="V44" i="31"/>
  <c r="AC44" i="31"/>
  <c r="AB77" i="37"/>
  <c r="F38" i="22"/>
  <c r="Q38" i="22" s="1"/>
  <c r="J41" i="22"/>
  <c r="AL9" i="31"/>
  <c r="H47" i="29"/>
  <c r="I22" i="29"/>
  <c r="K47" i="29"/>
  <c r="AL35" i="37"/>
  <c r="AJ35" i="37" s="1"/>
  <c r="F12" i="22"/>
  <c r="Q12" i="22" s="1"/>
  <c r="AF61" i="38"/>
  <c r="AF70" i="38" s="1"/>
  <c r="AG70" i="38" s="1"/>
  <c r="AK132" i="38"/>
  <c r="AF93" i="38"/>
  <c r="AF94" i="38" s="1"/>
  <c r="AK137" i="38" s="1"/>
  <c r="AC136" i="38"/>
  <c r="AB137" i="38"/>
  <c r="AC137" i="38" s="1"/>
  <c r="B61" i="38"/>
  <c r="AC131" i="38"/>
  <c r="AC133" i="38"/>
  <c r="AB134" i="38"/>
  <c r="AC134" i="38" s="1"/>
  <c r="AC132" i="38"/>
  <c r="B52" i="16"/>
  <c r="AJ73" i="16"/>
  <c r="BM73" i="16" s="1"/>
  <c r="AI70" i="37"/>
  <c r="AS70" i="37"/>
  <c r="AJ71" i="39"/>
  <c r="AI85" i="37"/>
  <c r="AL68" i="38"/>
  <c r="BM68" i="38" s="1"/>
  <c r="AI24" i="37"/>
  <c r="AS24" i="37"/>
  <c r="AK72" i="16"/>
  <c r="AJ24" i="39"/>
  <c r="AI67" i="37"/>
  <c r="AJ25" i="39"/>
  <c r="AS20" i="37"/>
  <c r="AJ85" i="39"/>
  <c r="AI71" i="37"/>
  <c r="AS71" i="37" s="1"/>
  <c r="B34" i="39"/>
  <c r="E34" i="39" s="1"/>
  <c r="BG41" i="12"/>
  <c r="X8" i="22"/>
  <c r="AD23" i="10"/>
  <c r="X11" i="22"/>
  <c r="X8" i="23"/>
  <c r="AD12" i="10"/>
  <c r="U10" i="29"/>
  <c r="W14" i="16"/>
  <c r="W11" i="16"/>
  <c r="W13" i="39"/>
  <c r="W10" i="39"/>
  <c r="Y10" i="38"/>
  <c r="Y13" i="38"/>
  <c r="W13" i="37"/>
  <c r="U13" i="29"/>
  <c r="AC13" i="29" s="1"/>
  <c r="AD14" i="10"/>
  <c r="AD9" i="10"/>
  <c r="U10" i="33"/>
  <c r="U10" i="31"/>
  <c r="X11" i="23"/>
  <c r="X50" i="23"/>
  <c r="U13" i="33"/>
  <c r="P38" i="31"/>
  <c r="E58" i="37"/>
  <c r="AD38" i="37"/>
  <c r="AE38" i="37" s="1"/>
  <c r="AK69" i="16"/>
  <c r="B25" i="37"/>
  <c r="E25" i="37"/>
  <c r="BA25" i="37"/>
  <c r="BB25" i="37" s="1"/>
  <c r="AH60" i="39"/>
  <c r="AK60" i="39" s="1"/>
  <c r="BF3" i="38"/>
  <c r="AQ43" i="33"/>
  <c r="AS75" i="16"/>
  <c r="B67" i="38"/>
  <c r="C67" i="38" s="1"/>
  <c r="B40" i="38"/>
  <c r="B37" i="38"/>
  <c r="BE37" i="38" s="1"/>
  <c r="BF37" i="38" s="1"/>
  <c r="BI37" i="38" s="1"/>
  <c r="B11" i="38"/>
  <c r="C11" i="38" s="1"/>
  <c r="B15" i="38"/>
  <c r="C15" i="38" s="1"/>
  <c r="B20" i="38"/>
  <c r="C20" i="38" s="1"/>
  <c r="G20" i="38" s="1"/>
  <c r="B45" i="38"/>
  <c r="C45" i="38" s="1"/>
  <c r="B43" i="38"/>
  <c r="C43" i="38" s="1"/>
  <c r="B10" i="38"/>
  <c r="C10" i="38" s="1"/>
  <c r="B46" i="38"/>
  <c r="C46" i="38" s="1"/>
  <c r="C9" i="38"/>
  <c r="AL38" i="23"/>
  <c r="L38" i="23"/>
  <c r="G38" i="23"/>
  <c r="S51" i="33"/>
  <c r="S51" i="31"/>
  <c r="F12" i="33"/>
  <c r="E12" i="33"/>
  <c r="P12" i="33" s="1"/>
  <c r="K12" i="33"/>
  <c r="H12" i="33"/>
  <c r="AK59" i="38"/>
  <c r="BK59" i="38" s="1"/>
  <c r="AH73" i="37"/>
  <c r="AH29" i="37"/>
  <c r="AH61" i="37"/>
  <c r="AI73" i="39"/>
  <c r="AK70" i="38"/>
  <c r="AY13" i="23"/>
  <c r="F13" i="23"/>
  <c r="Q13" i="23" s="1"/>
  <c r="B13" i="38"/>
  <c r="C13" i="38" s="1"/>
  <c r="AB54" i="16"/>
  <c r="AB55" i="16" s="1"/>
  <c r="C42" i="10"/>
  <c r="J42" i="10"/>
  <c r="AI152" i="38"/>
  <c r="AD30" i="38"/>
  <c r="BM30" i="38" s="1"/>
  <c r="W17" i="10"/>
  <c r="G43" i="10"/>
  <c r="F43" i="29"/>
  <c r="F42" i="31"/>
  <c r="F13" i="31"/>
  <c r="S19" i="33"/>
  <c r="F51" i="29"/>
  <c r="G19" i="10"/>
  <c r="S34" i="29"/>
  <c r="F46" i="29"/>
  <c r="S35" i="29"/>
  <c r="G12" i="10"/>
  <c r="S42" i="31"/>
  <c r="F45" i="29"/>
  <c r="S47" i="33"/>
  <c r="W18" i="10"/>
  <c r="S18" i="33"/>
  <c r="W19" i="10"/>
  <c r="S44" i="31"/>
  <c r="S44" i="29"/>
  <c r="F11" i="29"/>
  <c r="F27" i="31"/>
  <c r="G8" i="10"/>
  <c r="F34" i="29"/>
  <c r="G10" i="10"/>
  <c r="S33" i="29"/>
  <c r="S22" i="33"/>
  <c r="S21" i="29"/>
  <c r="S42" i="29"/>
  <c r="F26" i="29"/>
  <c r="T49" i="23"/>
  <c r="G59" i="10"/>
  <c r="S32" i="31"/>
  <c r="G40" i="10"/>
  <c r="F47" i="29"/>
  <c r="W37" i="10"/>
  <c r="W47" i="10"/>
  <c r="G52" i="23"/>
  <c r="W33" i="10"/>
  <c r="W43" i="10"/>
  <c r="W41" i="10"/>
  <c r="T22" i="23"/>
  <c r="W39" i="10"/>
  <c r="S27" i="29"/>
  <c r="S27" i="31"/>
  <c r="T22" i="22"/>
  <c r="AI65" i="16"/>
  <c r="BK65" i="16" s="1"/>
  <c r="AB66" i="16"/>
  <c r="AN66" i="16" s="1"/>
  <c r="AS37" i="39"/>
  <c r="I38" i="23"/>
  <c r="AE65" i="16"/>
  <c r="BI65" i="16" s="1"/>
  <c r="AD66" i="16"/>
  <c r="AH40" i="22"/>
  <c r="AJ40" i="22" s="1"/>
  <c r="AT40" i="22" s="1"/>
  <c r="AE46" i="31"/>
  <c r="AG46" i="31" s="1"/>
  <c r="AQ46" i="31" s="1"/>
  <c r="AH42" i="23"/>
  <c r="AJ42" i="23" s="1"/>
  <c r="AT42" i="23" s="1"/>
  <c r="B12" i="37"/>
  <c r="AB45" i="16"/>
  <c r="AL45" i="16" s="1"/>
  <c r="D45" i="16" s="1"/>
  <c r="C23" i="10"/>
  <c r="BG23" i="10"/>
  <c r="W15" i="37"/>
  <c r="AD59" i="10"/>
  <c r="U15" i="31"/>
  <c r="AC15" i="31" s="1"/>
  <c r="X13" i="22"/>
  <c r="AF13" i="22"/>
  <c r="U15" i="33"/>
  <c r="AK72" i="38"/>
  <c r="AD73" i="38"/>
  <c r="AK73" i="38" s="1"/>
  <c r="Z72" i="38"/>
  <c r="AN72" i="38"/>
  <c r="F72" i="38" s="1"/>
  <c r="D40" i="37"/>
  <c r="BA40" i="37" s="1"/>
  <c r="BB40" i="37" s="1"/>
  <c r="BE40" i="37" s="1"/>
  <c r="AQ30" i="37"/>
  <c r="AH30" i="37"/>
  <c r="AB79" i="16"/>
  <c r="X79" i="16" s="1"/>
  <c r="U26" i="29"/>
  <c r="U26" i="33"/>
  <c r="D73" i="37"/>
  <c r="E73" i="37" s="1"/>
  <c r="F61" i="38"/>
  <c r="U47" i="33"/>
  <c r="U44" i="33"/>
  <c r="U38" i="33"/>
  <c r="U32" i="33"/>
  <c r="U34" i="33"/>
  <c r="AJ136" i="38"/>
  <c r="A92" i="38"/>
  <c r="A93" i="38" s="1"/>
  <c r="A94" i="38" s="1"/>
  <c r="AG37" i="38"/>
  <c r="X75" i="39"/>
  <c r="AE75" i="39" s="1"/>
  <c r="AB76" i="39"/>
  <c r="AP25" i="23"/>
  <c r="AP30" i="23"/>
  <c r="AP18" i="23"/>
  <c r="I34" i="23"/>
  <c r="AY34" i="23"/>
  <c r="BA34" i="23" s="1"/>
  <c r="AM54" i="10"/>
  <c r="AM50" i="10"/>
  <c r="AM63" i="10"/>
  <c r="F37" i="31"/>
  <c r="F9" i="23"/>
  <c r="Q9" i="23" s="1"/>
  <c r="L9" i="23"/>
  <c r="F11" i="23"/>
  <c r="Q11" i="23" s="1"/>
  <c r="AH44" i="37"/>
  <c r="K22" i="10"/>
  <c r="L41" i="10"/>
  <c r="T41" i="10" s="1"/>
  <c r="AL45" i="23"/>
  <c r="L45" i="23"/>
  <c r="G45" i="23"/>
  <c r="F45" i="23"/>
  <c r="Q45" i="23" s="1"/>
  <c r="H11" i="33"/>
  <c r="F11" i="33"/>
  <c r="E11" i="33"/>
  <c r="P11" i="33" s="1"/>
  <c r="A43" i="37"/>
  <c r="A70" i="37"/>
  <c r="A56" i="37"/>
  <c r="B56" i="37" s="1"/>
  <c r="A40" i="37"/>
  <c r="A71" i="37"/>
  <c r="A45" i="37"/>
  <c r="A60" i="37"/>
  <c r="A27" i="37"/>
  <c r="A44" i="37"/>
  <c r="AN63" i="37"/>
  <c r="B38" i="33"/>
  <c r="T9" i="22"/>
  <c r="S11" i="29"/>
  <c r="AP25" i="16"/>
  <c r="AR24" i="38"/>
  <c r="AN77" i="37"/>
  <c r="AP66" i="16"/>
  <c r="AP80" i="16"/>
  <c r="AG87" i="16"/>
  <c r="AJ87" i="16" s="1"/>
  <c r="C34" i="23"/>
  <c r="AP60" i="16"/>
  <c r="AP52" i="16"/>
  <c r="AN60" i="37"/>
  <c r="AP76" i="39"/>
  <c r="C35" i="10"/>
  <c r="X44" i="39"/>
  <c r="AI44" i="39"/>
  <c r="BI44" i="39" s="1"/>
  <c r="AN35" i="10"/>
  <c r="AP35" i="10" s="1"/>
  <c r="AZ35" i="10" s="1"/>
  <c r="BA35" i="10" s="1"/>
  <c r="BC35" i="10" s="1"/>
  <c r="O35" i="10"/>
  <c r="AP54" i="39"/>
  <c r="AP82" i="39"/>
  <c r="AK47" i="29"/>
  <c r="AK32" i="29"/>
  <c r="AK9" i="29"/>
  <c r="AK27" i="29"/>
  <c r="AK11" i="29"/>
  <c r="AK23" i="29"/>
  <c r="AK43" i="29"/>
  <c r="AP29" i="23"/>
  <c r="W42" i="10"/>
  <c r="L42" i="23"/>
  <c r="F42" i="23"/>
  <c r="Q42" i="23" s="1"/>
  <c r="AF45" i="29"/>
  <c r="AR100" i="38"/>
  <c r="AP31" i="23"/>
  <c r="AQ59" i="10"/>
  <c r="BE59" i="10"/>
  <c r="AD30" i="10"/>
  <c r="X12" i="23"/>
  <c r="X10" i="22"/>
  <c r="AD25" i="10"/>
  <c r="U12" i="33"/>
  <c r="Y9" i="38"/>
  <c r="AD26" i="10"/>
  <c r="U9" i="33"/>
  <c r="X10" i="23"/>
  <c r="AQ35" i="10"/>
  <c r="AG23" i="33"/>
  <c r="AQ23" i="33" s="1"/>
  <c r="AI39" i="33"/>
  <c r="K39" i="33"/>
  <c r="AW39" i="33"/>
  <c r="AY39" i="33" s="1"/>
  <c r="E39" i="33"/>
  <c r="P39" i="33" s="1"/>
  <c r="G27" i="23"/>
  <c r="AL36" i="39"/>
  <c r="BJ36" i="39" s="1"/>
  <c r="K13" i="33"/>
  <c r="AE45" i="39"/>
  <c r="BH45" i="39" s="1"/>
  <c r="AP42" i="16"/>
  <c r="AH64" i="39"/>
  <c r="AK64" i="39" s="1"/>
  <c r="AE63" i="39"/>
  <c r="BH63" i="39"/>
  <c r="AS60" i="39"/>
  <c r="AP51" i="39"/>
  <c r="AP50" i="39" s="1"/>
  <c r="AR58" i="38"/>
  <c r="AP64" i="16"/>
  <c r="AN55" i="37"/>
  <c r="AR52" i="38"/>
  <c r="AN53" i="37"/>
  <c r="AP43" i="39"/>
  <c r="AR74" i="38"/>
  <c r="AN52" i="37"/>
  <c r="AP14" i="16"/>
  <c r="AR82" i="38"/>
  <c r="AR13" i="38"/>
  <c r="AN58" i="37"/>
  <c r="AP24" i="16"/>
  <c r="AP81" i="16"/>
  <c r="AP28" i="16"/>
  <c r="AR77" i="38"/>
  <c r="AN14" i="37"/>
  <c r="AP59" i="39"/>
  <c r="AP25" i="39"/>
  <c r="AR51" i="38"/>
  <c r="AP61" i="16"/>
  <c r="AR12" i="38"/>
  <c r="AP29" i="16"/>
  <c r="AN59" i="37"/>
  <c r="AR28" i="38"/>
  <c r="AP45" i="39"/>
  <c r="AP63" i="39"/>
  <c r="AR57" i="38"/>
  <c r="AP27" i="39"/>
  <c r="AP11" i="39"/>
  <c r="AP30" i="39"/>
  <c r="F48" i="29"/>
  <c r="H44" i="33"/>
  <c r="K44" i="33"/>
  <c r="AI61" i="39"/>
  <c r="BI61" i="39"/>
  <c r="AD45" i="16"/>
  <c r="AA28" i="39"/>
  <c r="AA47" i="39"/>
  <c r="AQ56" i="10"/>
  <c r="BE56" i="10"/>
  <c r="BH56" i="10" s="1"/>
  <c r="AD66" i="10"/>
  <c r="AI51" i="33"/>
  <c r="I32" i="31"/>
  <c r="V34" i="31"/>
  <c r="AL28" i="39"/>
  <c r="D28" i="39" s="1"/>
  <c r="BE61" i="10"/>
  <c r="BG61" i="10" s="1"/>
  <c r="AW51" i="33"/>
  <c r="AY51" i="33" s="1"/>
  <c r="AB52" i="37"/>
  <c r="Y30" i="22"/>
  <c r="I27" i="31"/>
  <c r="P27" i="31" s="1"/>
  <c r="V22" i="29"/>
  <c r="AC22" i="29" s="1"/>
  <c r="V32" i="31"/>
  <c r="AL31" i="23"/>
  <c r="AK34" i="31"/>
  <c r="AK36" i="33"/>
  <c r="F15" i="33"/>
  <c r="E39" i="31"/>
  <c r="P39" i="31" s="1"/>
  <c r="J51" i="23"/>
  <c r="E33" i="33"/>
  <c r="P33" i="33" s="1"/>
  <c r="K15" i="31"/>
  <c r="V27" i="31"/>
  <c r="X72" i="16"/>
  <c r="C11" i="10"/>
  <c r="K11" i="10"/>
  <c r="Y8" i="23"/>
  <c r="V18" i="31"/>
  <c r="I39" i="31"/>
  <c r="Y13" i="23"/>
  <c r="E51" i="33"/>
  <c r="P51" i="33" s="1"/>
  <c r="V20" i="31"/>
  <c r="AC20" i="31" s="1"/>
  <c r="I31" i="31"/>
  <c r="P31" i="31"/>
  <c r="E43" i="33"/>
  <c r="P43" i="33" s="1"/>
  <c r="H51" i="33"/>
  <c r="AH65" i="16"/>
  <c r="AK65" i="16" s="1"/>
  <c r="X50" i="37"/>
  <c r="AE50" i="37"/>
  <c r="W9" i="38"/>
  <c r="M40" i="10"/>
  <c r="T40" i="10"/>
  <c r="AH51" i="37"/>
  <c r="AC37" i="31"/>
  <c r="X60" i="16"/>
  <c r="X67" i="39"/>
  <c r="X75" i="37"/>
  <c r="AE75" i="37"/>
  <c r="X52" i="16"/>
  <c r="X87" i="16"/>
  <c r="I44" i="29"/>
  <c r="I39" i="29"/>
  <c r="I12" i="31"/>
  <c r="V14" i="31"/>
  <c r="S14" i="31"/>
  <c r="X61" i="16"/>
  <c r="B72" i="16"/>
  <c r="B21" i="16"/>
  <c r="X7" i="12"/>
  <c r="X34" i="12" s="1"/>
  <c r="W3" i="12"/>
  <c r="X3" i="12" s="1"/>
  <c r="BA51" i="23"/>
  <c r="T70" i="37"/>
  <c r="AE70" i="37" s="1"/>
  <c r="T67" i="37"/>
  <c r="T25" i="10"/>
  <c r="AI45" i="39"/>
  <c r="BI45" i="39" s="1"/>
  <c r="AL45" i="39"/>
  <c r="BJ45" i="39" s="1"/>
  <c r="AL24" i="10"/>
  <c r="AL46" i="10"/>
  <c r="BF85" i="39"/>
  <c r="BG85" i="39"/>
  <c r="AC10" i="31"/>
  <c r="B42" i="31"/>
  <c r="AL22" i="10"/>
  <c r="B14" i="29"/>
  <c r="AY10" i="31"/>
  <c r="B19" i="33"/>
  <c r="AE9" i="39"/>
  <c r="K17" i="10"/>
  <c r="AS85" i="37"/>
  <c r="AT85" i="37"/>
  <c r="AW85" i="37" s="1"/>
  <c r="E90" i="39"/>
  <c r="E92" i="39"/>
  <c r="D92" i="39"/>
  <c r="AI82" i="39"/>
  <c r="AL82" i="39"/>
  <c r="D82" i="39" s="1"/>
  <c r="X82" i="39"/>
  <c r="B42" i="33"/>
  <c r="AU85" i="39"/>
  <c r="AV85" i="39"/>
  <c r="AY43" i="33"/>
  <c r="B43" i="33"/>
  <c r="AZ43" i="33"/>
  <c r="AS43" i="33" s="1"/>
  <c r="X31" i="39"/>
  <c r="AS31" i="39"/>
  <c r="AN31" i="39"/>
  <c r="AL31" i="39" s="1"/>
  <c r="B51" i="37"/>
  <c r="A24" i="37"/>
  <c r="BA24" i="37" s="1"/>
  <c r="B21" i="37"/>
  <c r="BB19" i="37"/>
  <c r="BE19" i="37" s="1"/>
  <c r="AU19" i="37" s="1"/>
  <c r="AN79" i="38"/>
  <c r="F79" i="38" s="1"/>
  <c r="AT71" i="37"/>
  <c r="BF71" i="37" s="1"/>
  <c r="AE64" i="37"/>
  <c r="B62" i="37"/>
  <c r="E62" i="37"/>
  <c r="AJ64" i="37"/>
  <c r="D64" i="37" s="1"/>
  <c r="BA64" i="37" s="1"/>
  <c r="BB64" i="37" s="1"/>
  <c r="BD64" i="37" s="1"/>
  <c r="BE64" i="37" s="1"/>
  <c r="AU64" i="37" s="1"/>
  <c r="AQ64" i="37"/>
  <c r="AL64" i="37"/>
  <c r="B46" i="37"/>
  <c r="AN35" i="39"/>
  <c r="AL35" i="39"/>
  <c r="BJ35" i="39" s="1"/>
  <c r="AS35" i="39"/>
  <c r="X35" i="39"/>
  <c r="AB38" i="39"/>
  <c r="B42" i="29"/>
  <c r="AF55" i="38"/>
  <c r="AK125" i="38" s="1"/>
  <c r="X77" i="37"/>
  <c r="AB78" i="37"/>
  <c r="AJ77" i="37"/>
  <c r="D77" i="37"/>
  <c r="AH77" i="37"/>
  <c r="AB53" i="39"/>
  <c r="AL52" i="39"/>
  <c r="D52" i="39" s="1"/>
  <c r="AI52" i="39"/>
  <c r="BI52" i="39" s="1"/>
  <c r="X52" i="39"/>
  <c r="E41" i="37"/>
  <c r="AN29" i="39"/>
  <c r="AL29" i="39"/>
  <c r="BJ29" i="39" s="1"/>
  <c r="X29" i="39"/>
  <c r="AS29" i="39"/>
  <c r="BB20" i="37"/>
  <c r="BE20" i="37" s="1"/>
  <c r="AU20" i="37" s="1"/>
  <c r="AI29" i="39"/>
  <c r="BI29" i="39" s="1"/>
  <c r="B44" i="37"/>
  <c r="K23" i="10"/>
  <c r="B27" i="37"/>
  <c r="B60" i="37"/>
  <c r="B45" i="37"/>
  <c r="Z73" i="38"/>
  <c r="B40" i="37"/>
  <c r="BE25" i="37"/>
  <c r="BD25" i="37"/>
  <c r="AV25" i="37"/>
  <c r="AJ52" i="37"/>
  <c r="D52" i="37" s="1"/>
  <c r="E52" i="37" s="1"/>
  <c r="AB53" i="37"/>
  <c r="X52" i="37"/>
  <c r="AH52" i="37"/>
  <c r="K35" i="10"/>
  <c r="B70" i="37"/>
  <c r="B43" i="37"/>
  <c r="C40" i="38"/>
  <c r="BH3" i="16"/>
  <c r="AA37" i="39"/>
  <c r="AA34" i="39"/>
  <c r="BK71" i="39"/>
  <c r="AU71" i="39"/>
  <c r="BJ71" i="39" s="1"/>
  <c r="AU25" i="39"/>
  <c r="AL76" i="39"/>
  <c r="D76" i="39" s="1"/>
  <c r="AI76" i="39"/>
  <c r="AB77" i="39"/>
  <c r="AI77" i="39" s="1"/>
  <c r="X76" i="39"/>
  <c r="K42" i="10"/>
  <c r="BB24" i="37"/>
  <c r="BD24" i="37" s="1"/>
  <c r="AV24" i="37" s="1"/>
  <c r="E24" i="37"/>
  <c r="AS63" i="39"/>
  <c r="AS64" i="39" s="1"/>
  <c r="BL38" i="39"/>
  <c r="AS62" i="39"/>
  <c r="X38" i="39"/>
  <c r="AN38" i="39"/>
  <c r="AL38" i="39"/>
  <c r="BJ38" i="39" s="1"/>
  <c r="AE38" i="39"/>
  <c r="AS38" i="39"/>
  <c r="X53" i="39"/>
  <c r="AB54" i="39"/>
  <c r="AI53" i="39"/>
  <c r="BI53" i="39" s="1"/>
  <c r="AL53" i="39"/>
  <c r="D53" i="39" s="1"/>
  <c r="AB79" i="37"/>
  <c r="X79" i="37" s="1"/>
  <c r="X78" i="37"/>
  <c r="AE78" i="37"/>
  <c r="AJ78" i="37"/>
  <c r="D78" i="37"/>
  <c r="AH78" i="37"/>
  <c r="AB78" i="39"/>
  <c r="X77" i="39"/>
  <c r="AL77" i="39"/>
  <c r="D77" i="39"/>
  <c r="X53" i="37"/>
  <c r="AJ53" i="37"/>
  <c r="D53" i="37" s="1"/>
  <c r="E53" i="37" s="1"/>
  <c r="AB54" i="37"/>
  <c r="AJ54" i="37" s="1"/>
  <c r="D54" i="37" s="1"/>
  <c r="E54" i="37" s="1"/>
  <c r="AH53" i="37"/>
  <c r="AU25" i="37"/>
  <c r="AH79" i="37"/>
  <c r="AI54" i="39"/>
  <c r="BI54" i="39" s="1"/>
  <c r="AL54" i="39"/>
  <c r="D54" i="39" s="1"/>
  <c r="AB55" i="39"/>
  <c r="AB56" i="39" s="1"/>
  <c r="X54" i="39"/>
  <c r="X78" i="39"/>
  <c r="AL78" i="39"/>
  <c r="D78" i="39" s="1"/>
  <c r="AI78" i="39"/>
  <c r="AB79" i="39"/>
  <c r="X54" i="37"/>
  <c r="AE54" i="37"/>
  <c r="AB55" i="37"/>
  <c r="AH54" i="37"/>
  <c r="AL55" i="39"/>
  <c r="D55" i="39" s="1"/>
  <c r="E55" i="39" s="1"/>
  <c r="AI55" i="39"/>
  <c r="X55" i="39"/>
  <c r="AI79" i="39"/>
  <c r="AL79" i="39"/>
  <c r="D79" i="39"/>
  <c r="X79" i="39"/>
  <c r="AB80" i="39"/>
  <c r="AJ55" i="37"/>
  <c r="D55" i="37" s="1"/>
  <c r="E55" i="37" s="1"/>
  <c r="AB56" i="37"/>
  <c r="X56" i="37" s="1"/>
  <c r="AE56" i="37" s="1"/>
  <c r="AH55" i="37"/>
  <c r="X55" i="37"/>
  <c r="AE55" i="37"/>
  <c r="AI56" i="39"/>
  <c r="X56" i="39"/>
  <c r="AL56" i="39"/>
  <c r="D56" i="39" s="1"/>
  <c r="BI55" i="39"/>
  <c r="AL80" i="39"/>
  <c r="D80" i="39"/>
  <c r="X80" i="39"/>
  <c r="AI80" i="39"/>
  <c r="AB81" i="39"/>
  <c r="AI81" i="39" s="1"/>
  <c r="AL81" i="39"/>
  <c r="D81" i="39"/>
  <c r="X81" i="39"/>
  <c r="AZ56" i="37" l="1"/>
  <c r="AZ70" i="37"/>
  <c r="E54" i="39"/>
  <c r="A70" i="39"/>
  <c r="B70" i="39" s="1"/>
  <c r="E19" i="39"/>
  <c r="A13" i="39"/>
  <c r="B13" i="39" s="1"/>
  <c r="E41" i="39"/>
  <c r="A62" i="39"/>
  <c r="B62" i="39" s="1"/>
  <c r="A61" i="39"/>
  <c r="A12" i="39"/>
  <c r="A64" i="39"/>
  <c r="B64" i="39" s="1"/>
  <c r="A56" i="39"/>
  <c r="B56" i="39" s="1"/>
  <c r="A25" i="39"/>
  <c r="A51" i="39"/>
  <c r="AS14" i="37"/>
  <c r="AI63" i="16"/>
  <c r="BK63" i="16" s="1"/>
  <c r="AU16" i="16"/>
  <c r="AU15" i="39"/>
  <c r="AS12" i="37"/>
  <c r="AI62" i="39"/>
  <c r="BI62" i="39" s="1"/>
  <c r="AS15" i="37"/>
  <c r="AU13" i="39"/>
  <c r="AU20" i="39"/>
  <c r="AV20" i="39" s="1"/>
  <c r="D40" i="39"/>
  <c r="BA43" i="37"/>
  <c r="BB43" i="37" s="1"/>
  <c r="AT70" i="37"/>
  <c r="BF70" i="37" s="1"/>
  <c r="E63" i="39"/>
  <c r="E52" i="39"/>
  <c r="BC52" i="39" s="1"/>
  <c r="BD52" i="39" s="1"/>
  <c r="BF52" i="39" s="1"/>
  <c r="E28" i="39"/>
  <c r="E46" i="39"/>
  <c r="F41" i="38"/>
  <c r="BL41" i="38"/>
  <c r="BC63" i="39"/>
  <c r="BD63" i="39" s="1"/>
  <c r="BF63" i="39" s="1"/>
  <c r="BG63" i="39" s="1"/>
  <c r="AS9" i="37"/>
  <c r="F59" i="38"/>
  <c r="E40" i="37"/>
  <c r="AK32" i="23"/>
  <c r="BJ28" i="39"/>
  <c r="AK11" i="23"/>
  <c r="AT11" i="23" s="1"/>
  <c r="AU11" i="23" s="1"/>
  <c r="F39" i="38"/>
  <c r="E51" i="37"/>
  <c r="BA51" i="37" s="1"/>
  <c r="BB51" i="37" s="1"/>
  <c r="BD51" i="37" s="1"/>
  <c r="AK17" i="23"/>
  <c r="AS67" i="37"/>
  <c r="AW71" i="37"/>
  <c r="AK28" i="23"/>
  <c r="AK39" i="23"/>
  <c r="AK37" i="23"/>
  <c r="BC26" i="23"/>
  <c r="BI3" i="38"/>
  <c r="BG3" i="39"/>
  <c r="AE31" i="39"/>
  <c r="BH31" i="39" s="1"/>
  <c r="AD27" i="39"/>
  <c r="AE27" i="39" s="1"/>
  <c r="BH27" i="39" s="1"/>
  <c r="AE29" i="39"/>
  <c r="AE28" i="39"/>
  <c r="AD35" i="39"/>
  <c r="BG47" i="39"/>
  <c r="AW47" i="39" s="1"/>
  <c r="AD46" i="39"/>
  <c r="AE46" i="39" s="1"/>
  <c r="BH46" i="39" s="1"/>
  <c r="E53" i="39"/>
  <c r="BC53" i="39" s="1"/>
  <c r="BD53" i="39" s="1"/>
  <c r="BF53" i="39" s="1"/>
  <c r="E57" i="39"/>
  <c r="BC10" i="39"/>
  <c r="BC62" i="39"/>
  <c r="BD62" i="39" s="1"/>
  <c r="BF62" i="39" s="1"/>
  <c r="E45" i="39"/>
  <c r="BC45" i="39"/>
  <c r="BD45" i="39" s="1"/>
  <c r="E67" i="39"/>
  <c r="E70" i="39"/>
  <c r="E36" i="39"/>
  <c r="BC14" i="39"/>
  <c r="BD9" i="39"/>
  <c r="AW9" i="39" s="1"/>
  <c r="AW85" i="39"/>
  <c r="AY85" i="39" s="1"/>
  <c r="Y122" i="39" s="1"/>
  <c r="AZ31" i="33"/>
  <c r="AT31" i="33" s="1"/>
  <c r="AE31" i="33"/>
  <c r="AG31" i="33" s="1"/>
  <c r="P20" i="31"/>
  <c r="AE59" i="37"/>
  <c r="T52" i="10"/>
  <c r="AY23" i="29"/>
  <c r="AE53" i="37"/>
  <c r="BH7" i="10"/>
  <c r="A73" i="16"/>
  <c r="E73" i="16" s="1"/>
  <c r="BD73" i="16" s="1"/>
  <c r="BG73" i="16" s="1"/>
  <c r="BH73" i="16" s="1"/>
  <c r="D38" i="39"/>
  <c r="E38" i="39" s="1"/>
  <c r="E33" i="39"/>
  <c r="BC64" i="39"/>
  <c r="BD64" i="39" s="1"/>
  <c r="BF64" i="39" s="1"/>
  <c r="BG64" i="39" s="1"/>
  <c r="AW64" i="39" s="1"/>
  <c r="E64" i="39"/>
  <c r="BA19" i="37"/>
  <c r="BJ27" i="39"/>
  <c r="BA47" i="37"/>
  <c r="BB47" i="37" s="1"/>
  <c r="E18" i="37"/>
  <c r="AS17" i="37"/>
  <c r="BL62" i="16"/>
  <c r="AS11" i="37"/>
  <c r="F43" i="38"/>
  <c r="BE43" i="38" s="1"/>
  <c r="BF43" i="38" s="1"/>
  <c r="BH43" i="38" s="1"/>
  <c r="BI43" i="38" s="1"/>
  <c r="D38" i="37"/>
  <c r="E38" i="37" s="1"/>
  <c r="BE60" i="38"/>
  <c r="BF60" i="38" s="1"/>
  <c r="BL61" i="16"/>
  <c r="AU30" i="31"/>
  <c r="AA30" i="16"/>
  <c r="AI66" i="16"/>
  <c r="BK66" i="16" s="1"/>
  <c r="A44" i="16"/>
  <c r="B44" i="16" s="1"/>
  <c r="AA33" i="16"/>
  <c r="AY27" i="33"/>
  <c r="AA34" i="16"/>
  <c r="AI46" i="16"/>
  <c r="BK46" i="16" s="1"/>
  <c r="AE22" i="16"/>
  <c r="AL54" i="16"/>
  <c r="BL54" i="16" s="1"/>
  <c r="A69" i="16"/>
  <c r="B69" i="16" s="1"/>
  <c r="E69" i="16" s="1"/>
  <c r="BD69" i="16" s="1"/>
  <c r="BE69" i="16" s="1"/>
  <c r="BG69" i="16" s="1"/>
  <c r="BH69" i="16" s="1"/>
  <c r="AW69" i="16" s="1"/>
  <c r="AB47" i="16"/>
  <c r="X47" i="16" s="1"/>
  <c r="X66" i="16"/>
  <c r="AH64" i="16"/>
  <c r="AK64" i="16" s="1"/>
  <c r="BM64" i="16" s="1"/>
  <c r="AL66" i="16"/>
  <c r="BL66" i="16" s="1"/>
  <c r="AU25" i="16"/>
  <c r="AV25" i="16" s="1"/>
  <c r="AE12" i="16"/>
  <c r="AB80" i="16"/>
  <c r="AH59" i="16"/>
  <c r="AK59" i="16" s="1"/>
  <c r="BM59" i="16" s="1"/>
  <c r="AI79" i="16"/>
  <c r="AS33" i="16"/>
  <c r="AI44" i="16"/>
  <c r="BK44" i="16" s="1"/>
  <c r="X44" i="16"/>
  <c r="AL59" i="16"/>
  <c r="D59" i="16" s="1"/>
  <c r="AH56" i="16"/>
  <c r="AK56" i="16" s="1"/>
  <c r="AH54" i="16"/>
  <c r="AK54" i="16" s="1"/>
  <c r="BG87" i="16"/>
  <c r="AW87" i="16" s="1"/>
  <c r="D44" i="16"/>
  <c r="BL44" i="16"/>
  <c r="BM55" i="16"/>
  <c r="BK74" i="16"/>
  <c r="AL55" i="16"/>
  <c r="AB56" i="16"/>
  <c r="AI55" i="16"/>
  <c r="BK55" i="16" s="1"/>
  <c r="X55" i="16"/>
  <c r="A51" i="16"/>
  <c r="B51" i="16" s="1"/>
  <c r="E51" i="16" s="1"/>
  <c r="BD51" i="16" s="1"/>
  <c r="BE51" i="16" s="1"/>
  <c r="BH51" i="16" s="1"/>
  <c r="X34" i="16"/>
  <c r="AU24" i="16"/>
  <c r="AV24" i="16" s="1"/>
  <c r="AN34" i="16"/>
  <c r="AL34" i="16" s="1"/>
  <c r="BL34" i="16" s="1"/>
  <c r="AE28" i="16"/>
  <c r="AA95" i="16" s="1"/>
  <c r="AB37" i="16"/>
  <c r="AN37" i="16" s="1"/>
  <c r="AL37" i="16" s="1"/>
  <c r="BL37" i="16" s="1"/>
  <c r="AN33" i="16"/>
  <c r="AL33" i="16" s="1"/>
  <c r="BL33" i="16" s="1"/>
  <c r="AH53" i="16"/>
  <c r="AK53" i="16" s="1"/>
  <c r="BM53" i="16" s="1"/>
  <c r="AB29" i="16"/>
  <c r="AS28" i="16"/>
  <c r="X54" i="16"/>
  <c r="AE54" i="16" s="1"/>
  <c r="BI54" i="16" s="1"/>
  <c r="X28" i="16"/>
  <c r="AI54" i="16"/>
  <c r="BK54" i="16" s="1"/>
  <c r="AH63" i="16"/>
  <c r="AK63" i="16" s="1"/>
  <c r="BM63" i="16" s="1"/>
  <c r="AH58" i="16"/>
  <c r="AK58" i="16" s="1"/>
  <c r="AL79" i="16"/>
  <c r="D79" i="16" s="1"/>
  <c r="AB35" i="16"/>
  <c r="AI28" i="16"/>
  <c r="BK28" i="16" s="1"/>
  <c r="AH57" i="16"/>
  <c r="AK57" i="16" s="1"/>
  <c r="AS34" i="16"/>
  <c r="E92" i="16"/>
  <c r="E94" i="16" s="1"/>
  <c r="AE45" i="16"/>
  <c r="BI45" i="16" s="1"/>
  <c r="AE10" i="16"/>
  <c r="AD29" i="16"/>
  <c r="AB34" i="33" s="1"/>
  <c r="AB36" i="33" s="1"/>
  <c r="AI33" i="16"/>
  <c r="BK33" i="16" s="1"/>
  <c r="AI45" i="16"/>
  <c r="BK45" i="16" s="1"/>
  <c r="BL43" i="16"/>
  <c r="A19" i="16"/>
  <c r="B19" i="16" s="1"/>
  <c r="E19" i="16" s="1"/>
  <c r="AN30" i="16"/>
  <c r="AL30" i="16" s="1"/>
  <c r="X30" i="16"/>
  <c r="AS30" i="16"/>
  <c r="AI30" i="16"/>
  <c r="BK30" i="16" s="1"/>
  <c r="AL47" i="16"/>
  <c r="BL47" i="16" s="1"/>
  <c r="A54" i="16"/>
  <c r="B54" i="16" s="1"/>
  <c r="F108" i="12"/>
  <c r="AI47" i="16"/>
  <c r="BK47" i="16" s="1"/>
  <c r="A40" i="16"/>
  <c r="E40" i="16" s="1"/>
  <c r="BD40" i="16" s="1"/>
  <c r="BE40" i="16" s="1"/>
  <c r="A33" i="16"/>
  <c r="B33" i="16" s="1"/>
  <c r="AU87" i="16"/>
  <c r="AV87" i="16" s="1"/>
  <c r="A16" i="16"/>
  <c r="B16" i="16" s="1"/>
  <c r="BE16" i="16" s="1"/>
  <c r="AW16" i="16" s="1"/>
  <c r="BM30" i="16"/>
  <c r="D27" i="16"/>
  <c r="AE19" i="16"/>
  <c r="AI53" i="16"/>
  <c r="BK53" i="16" s="1"/>
  <c r="AB35" i="33"/>
  <c r="AB31" i="33" s="1"/>
  <c r="AC31" i="33" s="1"/>
  <c r="E21" i="16"/>
  <c r="X63" i="16"/>
  <c r="AA31" i="16"/>
  <c r="A47" i="16"/>
  <c r="B47" i="16" s="1"/>
  <c r="AN63" i="16"/>
  <c r="AL63" i="16" s="1"/>
  <c r="BL63" i="16" s="1"/>
  <c r="BL40" i="16"/>
  <c r="A64" i="16"/>
  <c r="B64" i="16" s="1"/>
  <c r="E64" i="16" s="1"/>
  <c r="BD64" i="16" s="1"/>
  <c r="AE66" i="16"/>
  <c r="BI66" i="16" s="1"/>
  <c r="A46" i="16"/>
  <c r="E46" i="16" s="1"/>
  <c r="BD46" i="16" s="1"/>
  <c r="BE46" i="16" s="1"/>
  <c r="BH46" i="16" s="1"/>
  <c r="AU73" i="16"/>
  <c r="W58" i="12"/>
  <c r="W7" i="12" s="1"/>
  <c r="W44" i="12" s="1"/>
  <c r="X45" i="16"/>
  <c r="A63" i="16"/>
  <c r="B63" i="16" s="1"/>
  <c r="E63" i="16" s="1"/>
  <c r="W59" i="12"/>
  <c r="BM66" i="16"/>
  <c r="A29" i="16"/>
  <c r="B29" i="16" s="1"/>
  <c r="D41" i="16"/>
  <c r="W60" i="12"/>
  <c r="A13" i="16"/>
  <c r="B13" i="16" s="1"/>
  <c r="BE13" i="16" s="1"/>
  <c r="AW13" i="16" s="1"/>
  <c r="A53" i="16"/>
  <c r="B53" i="16" s="1"/>
  <c r="W61" i="12"/>
  <c r="A38" i="16"/>
  <c r="BD38" i="16" s="1"/>
  <c r="BE38" i="16" s="1"/>
  <c r="BH38" i="16" s="1"/>
  <c r="AL28" i="16"/>
  <c r="BL28" i="16" s="1"/>
  <c r="AE46" i="16"/>
  <c r="BI46" i="16" s="1"/>
  <c r="AE79" i="16"/>
  <c r="AU20" i="16"/>
  <c r="BM28" i="16"/>
  <c r="AE64" i="16"/>
  <c r="BI64" i="16" s="1"/>
  <c r="AE75" i="16"/>
  <c r="BA63" i="37"/>
  <c r="BB63" i="37" s="1"/>
  <c r="BD63" i="37" s="1"/>
  <c r="E63" i="37"/>
  <c r="AV64" i="37"/>
  <c r="BL46" i="16"/>
  <c r="E75" i="16"/>
  <c r="BC41" i="39"/>
  <c r="BD41" i="39" s="1"/>
  <c r="BG41" i="39" s="1"/>
  <c r="BA45" i="37"/>
  <c r="BB45" i="37" s="1"/>
  <c r="E45" i="37"/>
  <c r="BA20" i="37"/>
  <c r="AV24" i="39"/>
  <c r="BL45" i="16"/>
  <c r="D29" i="39"/>
  <c r="BC29" i="39" s="1"/>
  <c r="BD29" i="39" s="1"/>
  <c r="BF29" i="39" s="1"/>
  <c r="AX29" i="39" s="1"/>
  <c r="AU10" i="39"/>
  <c r="D42" i="16"/>
  <c r="AS19" i="37"/>
  <c r="BA41" i="37"/>
  <c r="BB41" i="37" s="1"/>
  <c r="BD41" i="37" s="1"/>
  <c r="AV41" i="37" s="1"/>
  <c r="BC54" i="39"/>
  <c r="BD54" i="39" s="1"/>
  <c r="BF54" i="39" s="1"/>
  <c r="BG54" i="39" s="1"/>
  <c r="AW54" i="39" s="1"/>
  <c r="E60" i="37"/>
  <c r="AU12" i="16"/>
  <c r="AV12" i="16" s="1"/>
  <c r="E27" i="37"/>
  <c r="E57" i="37"/>
  <c r="BA57" i="37" s="1"/>
  <c r="BB57" i="37" s="1"/>
  <c r="BD57" i="37" s="1"/>
  <c r="BE57" i="37" s="1"/>
  <c r="AU57" i="37" s="1"/>
  <c r="BC73" i="39"/>
  <c r="A75" i="39" s="1"/>
  <c r="BC59" i="39"/>
  <c r="BD59" i="39" s="1"/>
  <c r="BF59" i="39" s="1"/>
  <c r="BG59" i="39" s="1"/>
  <c r="AW59" i="39" s="1"/>
  <c r="BJ30" i="39"/>
  <c r="BA60" i="37"/>
  <c r="BB60" i="37" s="1"/>
  <c r="BD60" i="37" s="1"/>
  <c r="BE60" i="37" s="1"/>
  <c r="AU60" i="37" s="1"/>
  <c r="AU10" i="16"/>
  <c r="AV10" i="16" s="1"/>
  <c r="AU17" i="16"/>
  <c r="AV17" i="16" s="1"/>
  <c r="BC17" i="39"/>
  <c r="AU11" i="39"/>
  <c r="AS16" i="37"/>
  <c r="AT16" i="37" s="1"/>
  <c r="E64" i="37"/>
  <c r="BA21" i="37"/>
  <c r="E29" i="37"/>
  <c r="G16" i="38"/>
  <c r="D53" i="16"/>
  <c r="AU75" i="16"/>
  <c r="AU9" i="39"/>
  <c r="AV9" i="39" s="1"/>
  <c r="AU16" i="39"/>
  <c r="AV16" i="39" s="1"/>
  <c r="BE61" i="38"/>
  <c r="BF61" i="38" s="1"/>
  <c r="BH61" i="38" s="1"/>
  <c r="AN95" i="38"/>
  <c r="AN97" i="38" s="1"/>
  <c r="AN99" i="38" s="1"/>
  <c r="E30" i="39"/>
  <c r="BA73" i="37"/>
  <c r="BB73" i="37" s="1"/>
  <c r="BD73" i="37" s="1"/>
  <c r="E46" i="37"/>
  <c r="Q69" i="12"/>
  <c r="AE21" i="16"/>
  <c r="BI21" i="16" s="1"/>
  <c r="AD35" i="16"/>
  <c r="AE44" i="16"/>
  <c r="BI44" i="16" s="1"/>
  <c r="AD33" i="16"/>
  <c r="AE33" i="16" s="1"/>
  <c r="AX47" i="39"/>
  <c r="AG58" i="38"/>
  <c r="BJ58" i="38" s="1"/>
  <c r="AF91" i="38"/>
  <c r="AF92" i="38" s="1"/>
  <c r="AK136" i="38" s="1"/>
  <c r="AS9" i="29"/>
  <c r="AS48" i="29"/>
  <c r="BG18" i="10"/>
  <c r="AY31" i="29"/>
  <c r="AZ23" i="29"/>
  <c r="AS23" i="29" s="1"/>
  <c r="BB28" i="23"/>
  <c r="AV28" i="23" s="1"/>
  <c r="AF41" i="22"/>
  <c r="AR43" i="33"/>
  <c r="AE61" i="16"/>
  <c r="BI61" i="16" s="1"/>
  <c r="AK52" i="16"/>
  <c r="BM52" i="16" s="1"/>
  <c r="AE20" i="16"/>
  <c r="A66" i="16"/>
  <c r="B66" i="16" s="1"/>
  <c r="A36" i="16"/>
  <c r="B36" i="16" s="1"/>
  <c r="A18" i="16"/>
  <c r="B18" i="16" s="1"/>
  <c r="BE18" i="16" s="1"/>
  <c r="AX18" i="16" s="1"/>
  <c r="A11" i="16"/>
  <c r="B11" i="16" s="1"/>
  <c r="BE11" i="16" s="1"/>
  <c r="AW11" i="16" s="1"/>
  <c r="A22" i="16"/>
  <c r="A24" i="16" s="1"/>
  <c r="E24" i="16" s="1"/>
  <c r="A37" i="16"/>
  <c r="B37" i="16" s="1"/>
  <c r="A41" i="16"/>
  <c r="A12" i="16"/>
  <c r="B12" i="16" s="1"/>
  <c r="BE12" i="16" s="1"/>
  <c r="AW12" i="16" s="1"/>
  <c r="A61" i="16"/>
  <c r="B61" i="16" s="1"/>
  <c r="A56" i="16"/>
  <c r="B56" i="16" s="1"/>
  <c r="A59" i="16"/>
  <c r="B59" i="16" s="1"/>
  <c r="A20" i="16"/>
  <c r="B20" i="16" s="1"/>
  <c r="E20" i="16" s="1"/>
  <c r="A65" i="16"/>
  <c r="B65" i="16" s="1"/>
  <c r="E65" i="16" s="1"/>
  <c r="BD65" i="16" s="1"/>
  <c r="BG65" i="16" s="1"/>
  <c r="BG72" i="16"/>
  <c r="BH72" i="16" s="1"/>
  <c r="BM69" i="38"/>
  <c r="A27" i="16"/>
  <c r="B27" i="16" s="1"/>
  <c r="B10" i="16"/>
  <c r="BE10" i="16" s="1"/>
  <c r="AW10" i="16" s="1"/>
  <c r="A58" i="16"/>
  <c r="B58" i="16" s="1"/>
  <c r="A34" i="16"/>
  <c r="E34" i="16" s="1"/>
  <c r="BD34" i="16" s="1"/>
  <c r="BE34" i="16" s="1"/>
  <c r="BH34" i="16" s="1"/>
  <c r="BE10" i="12"/>
  <c r="BE12" i="12" s="1"/>
  <c r="A45" i="16"/>
  <c r="B45" i="16" s="1"/>
  <c r="A30" i="16"/>
  <c r="B30" i="16" s="1"/>
  <c r="A42" i="16"/>
  <c r="B42" i="16" s="1"/>
  <c r="X53" i="12"/>
  <c r="A31" i="16"/>
  <c r="A62" i="16"/>
  <c r="B62" i="16" s="1"/>
  <c r="E62" i="16" s="1"/>
  <c r="BD62" i="16" s="1"/>
  <c r="BE62" i="16" s="1"/>
  <c r="X50" i="12"/>
  <c r="X57" i="12"/>
  <c r="X45" i="12"/>
  <c r="A25" i="16"/>
  <c r="B25" i="16" s="1"/>
  <c r="E25" i="16" s="1"/>
  <c r="A57" i="16"/>
  <c r="B57" i="16" s="1"/>
  <c r="X36" i="12"/>
  <c r="A15" i="16"/>
  <c r="A14" i="16"/>
  <c r="B14" i="16" s="1"/>
  <c r="BE14" i="16" s="1"/>
  <c r="AW14" i="16" s="1"/>
  <c r="A60" i="16"/>
  <c r="B60" i="16" s="1"/>
  <c r="A55" i="16"/>
  <c r="B55" i="16" s="1"/>
  <c r="AZ20" i="29"/>
  <c r="AL17" i="10"/>
  <c r="BB12" i="37"/>
  <c r="AU12" i="37" s="1"/>
  <c r="AZ27" i="33"/>
  <c r="AS27" i="33" s="1"/>
  <c r="C61" i="38"/>
  <c r="B41" i="38"/>
  <c r="C41" i="38" s="1"/>
  <c r="G41" i="38" s="1"/>
  <c r="AJ93" i="38"/>
  <c r="AM93" i="38" s="1"/>
  <c r="B21" i="38"/>
  <c r="BH37" i="38"/>
  <c r="AZ37" i="38" s="1"/>
  <c r="BE21" i="38"/>
  <c r="BF21" i="38" s="1"/>
  <c r="BI21" i="38" s="1"/>
  <c r="AP30" i="38"/>
  <c r="AU30" i="38"/>
  <c r="Z30" i="38"/>
  <c r="AG59" i="38"/>
  <c r="BJ59" i="38" s="1"/>
  <c r="X5" i="38"/>
  <c r="AL150" i="38"/>
  <c r="G70" i="38"/>
  <c r="AD74" i="38"/>
  <c r="AN74" i="38" s="1"/>
  <c r="F74" i="38" s="1"/>
  <c r="AG11" i="38"/>
  <c r="B64" i="38"/>
  <c r="C64" i="38" s="1"/>
  <c r="G64" i="38" s="1"/>
  <c r="B25" i="38"/>
  <c r="AW11" i="38"/>
  <c r="AK43" i="38"/>
  <c r="BK43" i="38" s="1"/>
  <c r="G58" i="38"/>
  <c r="BE58" i="38" s="1"/>
  <c r="BF58" i="38" s="1"/>
  <c r="BM51" i="38"/>
  <c r="AW68" i="38"/>
  <c r="BL68" i="38" s="1"/>
  <c r="G43" i="38"/>
  <c r="G28" i="38"/>
  <c r="AN73" i="38"/>
  <c r="F73" i="38" s="1"/>
  <c r="BL27" i="38"/>
  <c r="AG72" i="38"/>
  <c r="B29" i="38"/>
  <c r="B30" i="38" s="1"/>
  <c r="AJ56" i="38"/>
  <c r="AM56" i="38" s="1"/>
  <c r="AG21" i="38"/>
  <c r="AJ64" i="38"/>
  <c r="AM64" i="38" s="1"/>
  <c r="F42" i="38"/>
  <c r="G42" i="38" s="1"/>
  <c r="BM44" i="38"/>
  <c r="BK69" i="38"/>
  <c r="AG17" i="38"/>
  <c r="B39" i="38"/>
  <c r="C39" i="38" s="1"/>
  <c r="AJ59" i="38"/>
  <c r="AM59" i="38" s="1"/>
  <c r="AW59" i="38" s="1"/>
  <c r="BL59" i="38" s="1"/>
  <c r="AJ61" i="38"/>
  <c r="AM61" i="38" s="1"/>
  <c r="AW61" i="38" s="1"/>
  <c r="BL61" i="38" s="1"/>
  <c r="G40" i="38"/>
  <c r="AD33" i="38"/>
  <c r="AU32" i="38"/>
  <c r="Z32" i="38"/>
  <c r="AP32" i="38"/>
  <c r="AK32" i="38"/>
  <c r="AW25" i="38"/>
  <c r="AX25" i="38" s="1"/>
  <c r="AY37" i="38"/>
  <c r="BP41" i="38"/>
  <c r="BQ41" i="38" s="1"/>
  <c r="AW24" i="38"/>
  <c r="AX24" i="38" s="1"/>
  <c r="G67" i="38"/>
  <c r="G45" i="38"/>
  <c r="AG80" i="38"/>
  <c r="AW21" i="38"/>
  <c r="B68" i="38"/>
  <c r="AG43" i="38"/>
  <c r="BJ43" i="38" s="1"/>
  <c r="AW10" i="38"/>
  <c r="B34" i="38"/>
  <c r="B17" i="38"/>
  <c r="C17" i="38" s="1"/>
  <c r="AD86" i="38"/>
  <c r="AW19" i="38"/>
  <c r="AK30" i="38"/>
  <c r="BK30" i="38" s="1"/>
  <c r="AK29" i="38"/>
  <c r="BK29" i="38" s="1"/>
  <c r="B19" i="38"/>
  <c r="C19" i="38" s="1"/>
  <c r="AF45" i="38"/>
  <c r="AG45" i="38" s="1"/>
  <c r="BJ45" i="38" s="1"/>
  <c r="AN148" i="38"/>
  <c r="BE51" i="38"/>
  <c r="BF51" i="38" s="1"/>
  <c r="BH51" i="38" s="1"/>
  <c r="AH121" i="38" s="1"/>
  <c r="G61" i="38"/>
  <c r="F46" i="38"/>
  <c r="G46" i="38" s="1"/>
  <c r="BL45" i="38"/>
  <c r="AJ54" i="38"/>
  <c r="AM54" i="38" s="1"/>
  <c r="BE70" i="38"/>
  <c r="B72" i="38" s="1"/>
  <c r="C72" i="38" s="1"/>
  <c r="C73" i="38" s="1"/>
  <c r="C74" i="38" s="1"/>
  <c r="AU85" i="38"/>
  <c r="BF15" i="38"/>
  <c r="AY15" i="38" s="1"/>
  <c r="AC35" i="38"/>
  <c r="AN84" i="38"/>
  <c r="AN30" i="38"/>
  <c r="Z29" i="38"/>
  <c r="BE40" i="38"/>
  <c r="BF40" i="38" s="1"/>
  <c r="BI40" i="38" s="1"/>
  <c r="G59" i="38"/>
  <c r="AF56" i="38"/>
  <c r="BM29" i="38"/>
  <c r="AJ94" i="38"/>
  <c r="AM94" i="38" s="1"/>
  <c r="AJ58" i="38"/>
  <c r="AM58" i="38" s="1"/>
  <c r="AW58" i="38" s="1"/>
  <c r="AW20" i="38"/>
  <c r="AX20" i="38" s="1"/>
  <c r="AJ63" i="38"/>
  <c r="AM63" i="38" s="1"/>
  <c r="AJ60" i="38"/>
  <c r="AM60" i="38" s="1"/>
  <c r="AW60" i="38" s="1"/>
  <c r="BL40" i="38"/>
  <c r="BP40" i="38" s="1"/>
  <c r="BQ40" i="38" s="1"/>
  <c r="B18" i="38"/>
  <c r="BE18" i="38" s="1"/>
  <c r="BF18" i="38" s="1"/>
  <c r="BI18" i="38" s="1"/>
  <c r="BH18" i="38" s="1"/>
  <c r="B12" i="38"/>
  <c r="C12" i="38" s="1"/>
  <c r="AJ92" i="38"/>
  <c r="AM92" i="38" s="1"/>
  <c r="AW16" i="38"/>
  <c r="AX16" i="38" s="1"/>
  <c r="AK74" i="38"/>
  <c r="AP31" i="38"/>
  <c r="AN31" i="38" s="1"/>
  <c r="AP85" i="38"/>
  <c r="AN85" i="38" s="1"/>
  <c r="BL85" i="38" s="1"/>
  <c r="AJ55" i="38"/>
  <c r="AM55" i="38" s="1"/>
  <c r="AJ91" i="38"/>
  <c r="AM91" i="38" s="1"/>
  <c r="AW9" i="38"/>
  <c r="C37" i="38"/>
  <c r="AG79" i="38"/>
  <c r="G37" i="38"/>
  <c r="G27" i="38"/>
  <c r="Z85" i="38"/>
  <c r="AJ57" i="38"/>
  <c r="AM57" i="38" s="1"/>
  <c r="AU31" i="38"/>
  <c r="AJ51" i="38"/>
  <c r="AM51" i="38" s="1"/>
  <c r="AW51" i="38" s="1"/>
  <c r="BL51" i="38" s="1"/>
  <c r="Z31" i="38"/>
  <c r="BF11" i="38"/>
  <c r="AY11" i="38" s="1"/>
  <c r="BE20" i="38"/>
  <c r="BF20" i="38" s="1"/>
  <c r="BI20" i="38" s="1"/>
  <c r="AY20" i="38" s="1"/>
  <c r="BL28" i="38"/>
  <c r="AP29" i="38"/>
  <c r="AN29" i="38" s="1"/>
  <c r="BL29" i="38" s="1"/>
  <c r="AW50" i="38"/>
  <c r="BL50" i="38" s="1"/>
  <c r="B14" i="38"/>
  <c r="C14" i="38" s="1"/>
  <c r="BF14" i="38" s="1"/>
  <c r="AY14" i="38" s="1"/>
  <c r="AW18" i="38"/>
  <c r="BE39" i="38"/>
  <c r="BF39" i="38" s="1"/>
  <c r="BI39" i="38" s="1"/>
  <c r="BE45" i="38"/>
  <c r="BF45" i="38" s="1"/>
  <c r="BH45" i="38" s="1"/>
  <c r="C33" i="38"/>
  <c r="B31" i="38"/>
  <c r="B35" i="38"/>
  <c r="B84" i="38"/>
  <c r="BE59" i="38"/>
  <c r="BF59" i="38" s="1"/>
  <c r="BH59" i="38" s="1"/>
  <c r="BH58" i="38" s="1"/>
  <c r="BE50" i="38"/>
  <c r="BF50" i="38" s="1"/>
  <c r="BH50" i="38" s="1"/>
  <c r="AH120" i="38" s="1"/>
  <c r="BE49" i="38"/>
  <c r="BF49" i="38" s="1"/>
  <c r="BH49" i="38" s="1"/>
  <c r="AH119" i="38" s="1"/>
  <c r="BP42" i="38"/>
  <c r="BQ42" i="38" s="1"/>
  <c r="X41" i="12"/>
  <c r="X33" i="12"/>
  <c r="X56" i="12"/>
  <c r="X55" i="12"/>
  <c r="X5" i="12"/>
  <c r="X6" i="12" s="1"/>
  <c r="BE4" i="12"/>
  <c r="BE5" i="12"/>
  <c r="BD3" i="12"/>
  <c r="AW4" i="12"/>
  <c r="BD4" i="12" s="1"/>
  <c r="BE3" i="12"/>
  <c r="AY3" i="12"/>
  <c r="X2" i="12"/>
  <c r="A35" i="16"/>
  <c r="B35" i="16" s="1"/>
  <c r="AG28" i="38"/>
  <c r="BJ28" i="38" s="1"/>
  <c r="AF84" i="38"/>
  <c r="AF88" i="38" s="1"/>
  <c r="AF89" i="38" s="1"/>
  <c r="AF27" i="38"/>
  <c r="AG27" i="38" s="1"/>
  <c r="BJ27" i="38" s="1"/>
  <c r="AF29" i="38"/>
  <c r="AG29" i="38" s="1"/>
  <c r="BJ29" i="38" s="1"/>
  <c r="X35" i="12"/>
  <c r="X40" i="12"/>
  <c r="BM65" i="16"/>
  <c r="X32" i="12"/>
  <c r="X49" i="12"/>
  <c r="X38" i="12"/>
  <c r="X17" i="12"/>
  <c r="X39" i="12"/>
  <c r="E52" i="16"/>
  <c r="BD52" i="16" s="1"/>
  <c r="BE52" i="16" s="1"/>
  <c r="BG52" i="16" s="1"/>
  <c r="X37" i="12"/>
  <c r="X47" i="12"/>
  <c r="X48" i="12"/>
  <c r="X46" i="12"/>
  <c r="X51" i="12"/>
  <c r="X44" i="12"/>
  <c r="X52" i="12"/>
  <c r="X43" i="12"/>
  <c r="AW49" i="38"/>
  <c r="BL49" i="38" s="1"/>
  <c r="BP46" i="38"/>
  <c r="BQ46" i="38" s="1"/>
  <c r="X54" i="12"/>
  <c r="X42" i="12"/>
  <c r="AW63" i="39"/>
  <c r="P30" i="33"/>
  <c r="P9" i="33"/>
  <c r="AC43" i="29"/>
  <c r="AR43" i="29" s="1"/>
  <c r="AE21" i="37"/>
  <c r="AC47" i="29"/>
  <c r="AC10" i="29"/>
  <c r="Q7" i="23"/>
  <c r="AC9" i="29"/>
  <c r="AC46" i="33"/>
  <c r="BB30" i="22"/>
  <c r="AV30" i="22" s="1"/>
  <c r="AY38" i="33"/>
  <c r="BA30" i="22"/>
  <c r="BA11" i="37"/>
  <c r="BG13" i="10"/>
  <c r="AZ20" i="33"/>
  <c r="AS20" i="33" s="1"/>
  <c r="AZ58" i="37"/>
  <c r="AZ71" i="37"/>
  <c r="BA50" i="37"/>
  <c r="BB50" i="37" s="1"/>
  <c r="BD50" i="37" s="1"/>
  <c r="BE50" i="37" s="1"/>
  <c r="AU50" i="37" s="1"/>
  <c r="AE56" i="39"/>
  <c r="BH56" i="39" s="1"/>
  <c r="AE55" i="39"/>
  <c r="BH55" i="39" s="1"/>
  <c r="T70" i="39"/>
  <c r="AE50" i="39"/>
  <c r="BH50" i="39" s="1"/>
  <c r="AF7" i="22"/>
  <c r="Q16" i="22"/>
  <c r="Q7" i="22"/>
  <c r="AE3" i="22" s="1"/>
  <c r="BG17" i="10"/>
  <c r="AE80" i="39"/>
  <c r="AE67" i="39"/>
  <c r="BH67" i="39" s="1"/>
  <c r="Q51" i="23"/>
  <c r="AE10" i="39"/>
  <c r="AV10" i="39" s="1"/>
  <c r="Q49" i="23"/>
  <c r="AE55" i="16"/>
  <c r="BI55" i="16" s="1"/>
  <c r="AG73" i="38"/>
  <c r="AF42" i="23"/>
  <c r="AU42" i="23" s="1"/>
  <c r="BA11" i="23"/>
  <c r="AH50" i="23"/>
  <c r="AJ50" i="23" s="1"/>
  <c r="BB50" i="23"/>
  <c r="AV50" i="23" s="1"/>
  <c r="BB11" i="23"/>
  <c r="AV11" i="23" s="1"/>
  <c r="BB22" i="23"/>
  <c r="AV22" i="23" s="1"/>
  <c r="AY33" i="33"/>
  <c r="AR14" i="31"/>
  <c r="BA54" i="37"/>
  <c r="BB54" i="37" s="1"/>
  <c r="BD54" i="37" s="1"/>
  <c r="AV54" i="37" s="1"/>
  <c r="AV19" i="37"/>
  <c r="AY36" i="29"/>
  <c r="BH34" i="10"/>
  <c r="AN54" i="10"/>
  <c r="BB16" i="23"/>
  <c r="AV16" i="23" s="1"/>
  <c r="AH52" i="23"/>
  <c r="AJ52" i="23" s="1"/>
  <c r="BA65" i="10"/>
  <c r="BC65" i="10" s="1"/>
  <c r="BH64" i="10"/>
  <c r="BA13" i="22"/>
  <c r="AY32" i="29"/>
  <c r="AE38" i="29"/>
  <c r="AG38" i="29" s="1"/>
  <c r="AQ38" i="29" s="1"/>
  <c r="BH29" i="10"/>
  <c r="BA55" i="37"/>
  <c r="BB55" i="37" s="1"/>
  <c r="BD55" i="37" s="1"/>
  <c r="AH27" i="22"/>
  <c r="AJ27" i="22" s="1"/>
  <c r="AT27" i="22" s="1"/>
  <c r="AU27" i="22" s="1"/>
  <c r="AW27" i="22" s="1"/>
  <c r="AZ14" i="29"/>
  <c r="AS14" i="29" s="1"/>
  <c r="BB52" i="23"/>
  <c r="AV52" i="23" s="1"/>
  <c r="BG22" i="10"/>
  <c r="BG46" i="10"/>
  <c r="BA27" i="22"/>
  <c r="BG26" i="10"/>
  <c r="AZ11" i="29"/>
  <c r="AS11" i="29" s="1"/>
  <c r="BB45" i="22"/>
  <c r="AV45" i="22" s="1"/>
  <c r="AZ33" i="31"/>
  <c r="AS33" i="31" s="1"/>
  <c r="BA9" i="37"/>
  <c r="P48" i="29"/>
  <c r="AC47" i="33"/>
  <c r="BA29" i="23"/>
  <c r="AY44" i="33"/>
  <c r="AG17" i="39"/>
  <c r="AJ17" i="39" s="1"/>
  <c r="AU17" i="39" s="1"/>
  <c r="AV17" i="39" s="1"/>
  <c r="BA10" i="37"/>
  <c r="AH51" i="23"/>
  <c r="AJ51" i="23" s="1"/>
  <c r="BD29" i="38"/>
  <c r="BA32" i="23"/>
  <c r="AR51" i="33"/>
  <c r="BH39" i="10"/>
  <c r="AY33" i="31"/>
  <c r="BA22" i="22"/>
  <c r="AY46" i="31"/>
  <c r="AE52" i="39"/>
  <c r="BH52" i="39" s="1"/>
  <c r="AE15" i="37"/>
  <c r="AF40" i="23"/>
  <c r="AF41" i="23"/>
  <c r="AE17" i="37"/>
  <c r="P31" i="29"/>
  <c r="BE28" i="38"/>
  <c r="BF28" i="38" s="1"/>
  <c r="BI28" i="38" s="1"/>
  <c r="BB29" i="22"/>
  <c r="AV29" i="22" s="1"/>
  <c r="BB33" i="22"/>
  <c r="AV33" i="22" s="1"/>
  <c r="AZ13" i="33"/>
  <c r="AS13" i="33" s="1"/>
  <c r="AY27" i="31"/>
  <c r="BD40" i="37"/>
  <c r="AU40" i="37" s="1"/>
  <c r="BA27" i="37"/>
  <c r="BB27" i="37" s="1"/>
  <c r="BD27" i="37" s="1"/>
  <c r="AV27" i="37" s="1"/>
  <c r="AH33" i="23"/>
  <c r="AJ33" i="23" s="1"/>
  <c r="AT33" i="23" s="1"/>
  <c r="AU33" i="23" s="1"/>
  <c r="AW33" i="23" s="1"/>
  <c r="AH29" i="22"/>
  <c r="AJ29" i="22" s="1"/>
  <c r="AT29" i="22" s="1"/>
  <c r="AU29" i="22" s="1"/>
  <c r="BB32" i="23"/>
  <c r="AV32" i="23" s="1"/>
  <c r="AZ38" i="33"/>
  <c r="AT38" i="33" s="1"/>
  <c r="AY47" i="31"/>
  <c r="BA33" i="23"/>
  <c r="BB41" i="22"/>
  <c r="AV41" i="22" s="1"/>
  <c r="BB42" i="22"/>
  <c r="AV42" i="22" s="1"/>
  <c r="BB12" i="22"/>
  <c r="AV12" i="22" s="1"/>
  <c r="AR14" i="33"/>
  <c r="AC15" i="33"/>
  <c r="AG10" i="38"/>
  <c r="AT24" i="37"/>
  <c r="Q18" i="23"/>
  <c r="P23" i="29"/>
  <c r="AL66" i="10"/>
  <c r="Q38" i="23"/>
  <c r="AE14" i="16"/>
  <c r="AV14" i="16" s="1"/>
  <c r="AE76" i="37"/>
  <c r="AL13" i="10"/>
  <c r="AF9" i="23"/>
  <c r="P33" i="29"/>
  <c r="AF45" i="23"/>
  <c r="AE50" i="16"/>
  <c r="BI50" i="16" s="1"/>
  <c r="AF39" i="23"/>
  <c r="BG59" i="10"/>
  <c r="BH59" i="10"/>
  <c r="AG18" i="16"/>
  <c r="AJ18" i="16" s="1"/>
  <c r="AU18" i="16" s="1"/>
  <c r="BC35" i="16"/>
  <c r="BD86" i="38" s="1"/>
  <c r="BD87" i="38" s="1"/>
  <c r="BC29" i="16"/>
  <c r="BC11" i="39"/>
  <c r="BD11" i="39"/>
  <c r="AW11" i="39" s="1"/>
  <c r="BB28" i="39"/>
  <c r="BC43" i="39"/>
  <c r="BD43" i="39" s="1"/>
  <c r="BG43" i="39" s="1"/>
  <c r="BH38" i="10"/>
  <c r="BG38" i="10"/>
  <c r="AZ18" i="33"/>
  <c r="AS18" i="33" s="1"/>
  <c r="AY18" i="33"/>
  <c r="AZ19" i="29"/>
  <c r="AS19" i="29" s="1"/>
  <c r="AY19" i="29"/>
  <c r="AE27" i="29"/>
  <c r="AG27" i="29" s="1"/>
  <c r="AQ27" i="29" s="1"/>
  <c r="AY27" i="29"/>
  <c r="AG18" i="37"/>
  <c r="BB18" i="37"/>
  <c r="AZ59" i="37"/>
  <c r="BA59" i="37" s="1"/>
  <c r="BB59" i="37" s="1"/>
  <c r="BD59" i="37" s="1"/>
  <c r="BE59" i="37" s="1"/>
  <c r="AU59" i="37" s="1"/>
  <c r="BA17" i="23"/>
  <c r="BD85" i="38"/>
  <c r="AR39" i="31"/>
  <c r="AU39" i="31" s="1"/>
  <c r="BB34" i="23"/>
  <c r="AV34" i="23" s="1"/>
  <c r="AH34" i="23"/>
  <c r="AJ34" i="23" s="1"/>
  <c r="AT34" i="23" s="1"/>
  <c r="AU34" i="23" s="1"/>
  <c r="AZ27" i="29"/>
  <c r="AS27" i="29" s="1"/>
  <c r="AZ45" i="29"/>
  <c r="AS45" i="29" s="1"/>
  <c r="AZ34" i="33"/>
  <c r="AE34" i="33"/>
  <c r="AG34" i="33" s="1"/>
  <c r="AQ34" i="33" s="1"/>
  <c r="AY34" i="33"/>
  <c r="AE13" i="31"/>
  <c r="AG13" i="31" s="1"/>
  <c r="AQ13" i="31" s="1"/>
  <c r="AR13" i="31" s="1"/>
  <c r="AY13" i="31"/>
  <c r="BA46" i="10"/>
  <c r="BC46" i="10" s="1"/>
  <c r="BB21" i="37"/>
  <c r="AV21" i="37" s="1"/>
  <c r="BA18" i="37"/>
  <c r="BA33" i="22"/>
  <c r="BB37" i="23"/>
  <c r="AV37" i="23" s="1"/>
  <c r="BA37" i="23"/>
  <c r="AZ18" i="29"/>
  <c r="AS18" i="29" s="1"/>
  <c r="BB8" i="23"/>
  <c r="AV8" i="23" s="1"/>
  <c r="BG28" i="10"/>
  <c r="BH28" i="10"/>
  <c r="AY19" i="31"/>
  <c r="BC57" i="39"/>
  <c r="BD57" i="39" s="1"/>
  <c r="BF57" i="39" s="1"/>
  <c r="AX57" i="39" s="1"/>
  <c r="AY18" i="29"/>
  <c r="BA53" i="37"/>
  <c r="BB53" i="37" s="1"/>
  <c r="BD53" i="37" s="1"/>
  <c r="AV53" i="37" s="1"/>
  <c r="BH35" i="10"/>
  <c r="BA52" i="37"/>
  <c r="BB52" i="37" s="1"/>
  <c r="BD52" i="37" s="1"/>
  <c r="AV52" i="37" s="1"/>
  <c r="BE11" i="38"/>
  <c r="AH18" i="23"/>
  <c r="AJ18" i="23" s="1"/>
  <c r="AT18" i="23" s="1"/>
  <c r="AV15" i="39"/>
  <c r="BH65" i="10"/>
  <c r="AZ13" i="31"/>
  <c r="AS13" i="31" s="1"/>
  <c r="BB17" i="37"/>
  <c r="AY48" i="29"/>
  <c r="AZ21" i="29"/>
  <c r="AS21" i="29" s="1"/>
  <c r="BA48" i="10"/>
  <c r="BC48" i="10" s="1"/>
  <c r="AU21" i="23"/>
  <c r="AR44" i="31"/>
  <c r="AU17" i="23"/>
  <c r="AW17" i="23" s="1"/>
  <c r="BA8" i="10"/>
  <c r="BC8" i="10" s="1"/>
  <c r="AU12" i="22"/>
  <c r="AC22" i="33"/>
  <c r="P18" i="33"/>
  <c r="P21" i="29"/>
  <c r="AU27" i="23"/>
  <c r="AE78" i="39"/>
  <c r="AU33" i="22"/>
  <c r="AE52" i="16"/>
  <c r="BI52" i="16" s="1"/>
  <c r="P15" i="33"/>
  <c r="AL47" i="10"/>
  <c r="AC10" i="33"/>
  <c r="AR10" i="33" s="1"/>
  <c r="AC11" i="33"/>
  <c r="AC45" i="29"/>
  <c r="AR45" i="29" s="1"/>
  <c r="P36" i="31"/>
  <c r="AR36" i="31" s="1"/>
  <c r="AC44" i="29"/>
  <c r="AV12" i="39"/>
  <c r="AT14" i="37"/>
  <c r="BD45" i="37"/>
  <c r="AV45" i="37" s="1"/>
  <c r="BE45" i="37"/>
  <c r="AE26" i="31"/>
  <c r="AG26" i="31" s="1"/>
  <c r="AQ26" i="31" s="1"/>
  <c r="AR26" i="31" s="1"/>
  <c r="AY26" i="31"/>
  <c r="BF16" i="38"/>
  <c r="AZ16" i="38" s="1"/>
  <c r="BE16" i="38"/>
  <c r="BC16" i="39"/>
  <c r="BD16" i="39"/>
  <c r="BB21" i="22"/>
  <c r="AV21" i="22" s="1"/>
  <c r="BA21" i="22"/>
  <c r="AH25" i="22"/>
  <c r="AJ25" i="22" s="1"/>
  <c r="AT25" i="22" s="1"/>
  <c r="AU25" i="22" s="1"/>
  <c r="BB25" i="22"/>
  <c r="AV25" i="22" s="1"/>
  <c r="BE17" i="38"/>
  <c r="BE15" i="38"/>
  <c r="BH11" i="10"/>
  <c r="BB13" i="22"/>
  <c r="AV13" i="22" s="1"/>
  <c r="BD17" i="16"/>
  <c r="BG24" i="10"/>
  <c r="AU13" i="22"/>
  <c r="BA16" i="22"/>
  <c r="BB25" i="23"/>
  <c r="AV25" i="23" s="1"/>
  <c r="BH30" i="10"/>
  <c r="BB12" i="23"/>
  <c r="AV12" i="23" s="1"/>
  <c r="BB18" i="22"/>
  <c r="AV18" i="22" s="1"/>
  <c r="AZ36" i="29"/>
  <c r="AS36" i="29" s="1"/>
  <c r="BH10" i="10"/>
  <c r="BG10" i="10"/>
  <c r="BB9" i="22"/>
  <c r="AV9" i="22" s="1"/>
  <c r="AR20" i="31"/>
  <c r="BH42" i="10"/>
  <c r="BG42" i="10"/>
  <c r="AY48" i="33"/>
  <c r="AY22" i="33"/>
  <c r="AZ22" i="33"/>
  <c r="AS22" i="33" s="1"/>
  <c r="AY23" i="33"/>
  <c r="AZ23" i="33"/>
  <c r="AS23" i="33" s="1"/>
  <c r="BA16" i="37"/>
  <c r="BB16" i="37"/>
  <c r="AH26" i="22"/>
  <c r="AJ26" i="22" s="1"/>
  <c r="AT26" i="22" s="1"/>
  <c r="BB26" i="22"/>
  <c r="AV26" i="22" s="1"/>
  <c r="BA70" i="37"/>
  <c r="BB70" i="37" s="1"/>
  <c r="BD70" i="37" s="1"/>
  <c r="BE70" i="37" s="1"/>
  <c r="AU70" i="37" s="1"/>
  <c r="AE39" i="33"/>
  <c r="AG39" i="33" s="1"/>
  <c r="AQ39" i="33" s="1"/>
  <c r="AZ42" i="29"/>
  <c r="AS42" i="29" s="1"/>
  <c r="AZ19" i="33"/>
  <c r="AS19" i="33" s="1"/>
  <c r="BA17" i="37"/>
  <c r="BD21" i="16"/>
  <c r="BE21" i="16" s="1"/>
  <c r="BG21" i="16" s="1"/>
  <c r="BH21" i="16" s="1"/>
  <c r="AW21" i="16" s="1"/>
  <c r="AY9" i="29"/>
  <c r="BA44" i="37"/>
  <c r="BB44" i="37" s="1"/>
  <c r="BD44" i="37" s="1"/>
  <c r="AV44" i="37" s="1"/>
  <c r="BA42" i="37"/>
  <c r="BB42" i="37" s="1"/>
  <c r="BE42" i="37" s="1"/>
  <c r="BB9" i="23"/>
  <c r="AV9" i="23" s="1"/>
  <c r="BA34" i="22"/>
  <c r="BA8" i="22"/>
  <c r="AZ43" i="29"/>
  <c r="AS43" i="29" s="1"/>
  <c r="BB15" i="37"/>
  <c r="AU15" i="37" s="1"/>
  <c r="AZ26" i="29"/>
  <c r="AS26" i="29" s="1"/>
  <c r="BH8" i="10"/>
  <c r="AR21" i="33"/>
  <c r="AU41" i="23"/>
  <c r="AW41" i="23" s="1"/>
  <c r="AZ26" i="31"/>
  <c r="AS26" i="31" s="1"/>
  <c r="BH9" i="10"/>
  <c r="BD27" i="38"/>
  <c r="BE27" i="38" s="1"/>
  <c r="BF27" i="38" s="1"/>
  <c r="BH27" i="38" s="1"/>
  <c r="BD95" i="38"/>
  <c r="BD96" i="38"/>
  <c r="BD84" i="38"/>
  <c r="BE84" i="38" s="1"/>
  <c r="BF84" i="38" s="1"/>
  <c r="BB27" i="39"/>
  <c r="BB33" i="39" s="1"/>
  <c r="BB38" i="39" s="1"/>
  <c r="BC40" i="39"/>
  <c r="BD40" i="39" s="1"/>
  <c r="BB30" i="39"/>
  <c r="BC46" i="39"/>
  <c r="BD46" i="39" s="1"/>
  <c r="BG46" i="39" s="1"/>
  <c r="AH25" i="23"/>
  <c r="AJ25" i="23" s="1"/>
  <c r="AT25" i="23" s="1"/>
  <c r="AU25" i="23" s="1"/>
  <c r="AU30" i="22"/>
  <c r="AU22" i="23"/>
  <c r="AW22" i="23" s="1"/>
  <c r="BD10" i="39"/>
  <c r="AW10" i="39" s="1"/>
  <c r="AR18" i="31"/>
  <c r="BB14" i="37"/>
  <c r="AU14" i="37" s="1"/>
  <c r="AR14" i="29"/>
  <c r="AZ27" i="31"/>
  <c r="AS27" i="31" s="1"/>
  <c r="AZ10" i="33"/>
  <c r="AS10" i="33" s="1"/>
  <c r="AR34" i="31"/>
  <c r="AZ48" i="33"/>
  <c r="AT48" i="33" s="1"/>
  <c r="AZ11" i="31"/>
  <c r="AS11" i="31" s="1"/>
  <c r="AB138" i="38"/>
  <c r="B95" i="38"/>
  <c r="A95" i="38"/>
  <c r="AU43" i="33"/>
  <c r="AG61" i="38"/>
  <c r="BE63" i="37"/>
  <c r="AU63" i="37" s="1"/>
  <c r="AV63" i="37"/>
  <c r="BB21" i="23"/>
  <c r="AV21" i="23" s="1"/>
  <c r="BA21" i="23"/>
  <c r="AR42" i="31"/>
  <c r="AE37" i="29"/>
  <c r="AG37" i="29" s="1"/>
  <c r="AQ37" i="29" s="1"/>
  <c r="BA7" i="23"/>
  <c r="BB7" i="23"/>
  <c r="AV7" i="23" s="1"/>
  <c r="AS47" i="31"/>
  <c r="AT47" i="31"/>
  <c r="BC60" i="16"/>
  <c r="BE10" i="38"/>
  <c r="BF10" i="38"/>
  <c r="AY10" i="38" s="1"/>
  <c r="BH60" i="10"/>
  <c r="BG60" i="10"/>
  <c r="AV20" i="37"/>
  <c r="BD97" i="38"/>
  <c r="BD98" i="38" s="1"/>
  <c r="BC30" i="16"/>
  <c r="AG18" i="39"/>
  <c r="AJ18" i="39" s="1"/>
  <c r="AU18" i="39" s="1"/>
  <c r="AV18" i="39" s="1"/>
  <c r="BC18" i="39"/>
  <c r="BD18" i="39" s="1"/>
  <c r="BG18" i="39" s="1"/>
  <c r="AI12" i="38"/>
  <c r="AL12" i="38" s="1"/>
  <c r="AW12" i="38" s="1"/>
  <c r="AX12" i="38" s="1"/>
  <c r="AZ44" i="29"/>
  <c r="AS44" i="29" s="1"/>
  <c r="AY44" i="29"/>
  <c r="BA42" i="23"/>
  <c r="BB42" i="23"/>
  <c r="AV42" i="23" s="1"/>
  <c r="AY35" i="33"/>
  <c r="AZ35" i="33"/>
  <c r="AR51" i="31"/>
  <c r="AE12" i="31"/>
  <c r="AG12" i="31" s="1"/>
  <c r="AQ12" i="31" s="1"/>
  <c r="AZ12" i="31"/>
  <c r="AS12" i="31" s="1"/>
  <c r="Z3" i="33"/>
  <c r="Y3" i="33"/>
  <c r="AH13" i="23"/>
  <c r="AJ13" i="23" s="1"/>
  <c r="BB13" i="23"/>
  <c r="AV13" i="23" s="1"/>
  <c r="BA13" i="23"/>
  <c r="AU38" i="22"/>
  <c r="AH30" i="23"/>
  <c r="AJ30" i="23" s="1"/>
  <c r="AT30" i="23" s="1"/>
  <c r="BA30" i="23"/>
  <c r="BA10" i="23"/>
  <c r="BB10" i="23"/>
  <c r="AV10" i="23" s="1"/>
  <c r="AU45" i="22"/>
  <c r="AU17" i="22"/>
  <c r="AW17" i="22" s="1"/>
  <c r="AZ15" i="31"/>
  <c r="AS15" i="31" s="1"/>
  <c r="AY15" i="31"/>
  <c r="AE12" i="29"/>
  <c r="AG12" i="29" s="1"/>
  <c r="AQ12" i="29" s="1"/>
  <c r="AY12" i="29"/>
  <c r="AR15" i="31"/>
  <c r="AT45" i="33"/>
  <c r="AS45" i="33"/>
  <c r="AZ51" i="29"/>
  <c r="AS51" i="29" s="1"/>
  <c r="AY51" i="29"/>
  <c r="BF12" i="38"/>
  <c r="AY12" i="38" s="1"/>
  <c r="BF45" i="39"/>
  <c r="AX45" i="39" s="1"/>
  <c r="BG45" i="39"/>
  <c r="AU38" i="23"/>
  <c r="AX63" i="39"/>
  <c r="AE21" i="29"/>
  <c r="AG21" i="29" s="1"/>
  <c r="AQ21" i="29" s="1"/>
  <c r="BG56" i="10"/>
  <c r="T51" i="10"/>
  <c r="BA51" i="10" s="1"/>
  <c r="BC51" i="10" s="1"/>
  <c r="AF18" i="23"/>
  <c r="AZ36" i="33"/>
  <c r="AT36" i="33" s="1"/>
  <c r="BC15" i="39"/>
  <c r="BA42" i="10"/>
  <c r="BC42" i="10" s="1"/>
  <c r="AU9" i="22"/>
  <c r="AR19" i="31"/>
  <c r="AU19" i="31" s="1"/>
  <c r="AZ32" i="29"/>
  <c r="AS32" i="29" s="1"/>
  <c r="AV13" i="39"/>
  <c r="AE18" i="16"/>
  <c r="AG15" i="38"/>
  <c r="AZ12" i="29"/>
  <c r="AS12" i="29" s="1"/>
  <c r="AR27" i="33"/>
  <c r="BF13" i="38"/>
  <c r="AY13" i="38" s="1"/>
  <c r="AY34" i="29"/>
  <c r="AY36" i="33"/>
  <c r="AR19" i="33"/>
  <c r="AE9" i="37"/>
  <c r="AT9" i="37" s="1"/>
  <c r="AW9" i="37" s="1"/>
  <c r="AR45" i="31"/>
  <c r="BG51" i="10"/>
  <c r="AT12" i="37"/>
  <c r="AW12" i="37" s="1"/>
  <c r="AR48" i="33"/>
  <c r="AR19" i="29"/>
  <c r="BA9" i="10"/>
  <c r="BC9" i="10" s="1"/>
  <c r="AY26" i="33"/>
  <c r="BA59" i="10"/>
  <c r="BC59" i="10" s="1"/>
  <c r="BD15" i="39"/>
  <c r="AW15" i="39" s="1"/>
  <c r="BA19" i="10"/>
  <c r="BC19" i="10" s="1"/>
  <c r="AZ26" i="33"/>
  <c r="AT26" i="33" s="1"/>
  <c r="AR33" i="31"/>
  <c r="AI13" i="38"/>
  <c r="AL13" i="38" s="1"/>
  <c r="AW13" i="38" s="1"/>
  <c r="AX13" i="38" s="1"/>
  <c r="BC9" i="39"/>
  <c r="AR38" i="31"/>
  <c r="BB49" i="23"/>
  <c r="AV49" i="23" s="1"/>
  <c r="P39" i="29"/>
  <c r="AI15" i="38"/>
  <c r="AL15" i="38" s="1"/>
  <c r="AW15" i="38" s="1"/>
  <c r="P11" i="29"/>
  <c r="AY13" i="33"/>
  <c r="BA61" i="10"/>
  <c r="BC61" i="10" s="1"/>
  <c r="AR31" i="31"/>
  <c r="AU31" i="31" s="1"/>
  <c r="AU16" i="23"/>
  <c r="AW16" i="23" s="1"/>
  <c r="AG13" i="16"/>
  <c r="AJ13" i="16" s="1"/>
  <c r="AU13" i="16" s="1"/>
  <c r="AV13" i="16" s="1"/>
  <c r="P32" i="31"/>
  <c r="AR32" i="31" s="1"/>
  <c r="AZ48" i="31"/>
  <c r="BA49" i="23"/>
  <c r="AR12" i="33"/>
  <c r="AF49" i="23"/>
  <c r="BA60" i="10"/>
  <c r="BC60" i="10" s="1"/>
  <c r="AY42" i="31"/>
  <c r="AR22" i="31"/>
  <c r="AU22" i="31" s="1"/>
  <c r="AY9" i="33"/>
  <c r="AR48" i="31"/>
  <c r="AF39" i="22"/>
  <c r="AU39" i="22" s="1"/>
  <c r="AZ47" i="33"/>
  <c r="AT47" i="33" s="1"/>
  <c r="BA10" i="10"/>
  <c r="BC10" i="10" s="1"/>
  <c r="AE79" i="37"/>
  <c r="BD30" i="38"/>
  <c r="AZ34" i="29"/>
  <c r="AS34" i="29" s="1"/>
  <c r="Q41" i="22"/>
  <c r="AR30" i="33"/>
  <c r="BH55" i="10"/>
  <c r="AR23" i="31"/>
  <c r="AU37" i="22"/>
  <c r="AZ31" i="29"/>
  <c r="AS31" i="29" s="1"/>
  <c r="AE47" i="16"/>
  <c r="BI47" i="16" s="1"/>
  <c r="AB35" i="29"/>
  <c r="AB33" i="29" s="1"/>
  <c r="AC33" i="29" s="1"/>
  <c r="AE34" i="16"/>
  <c r="BI34" i="16" s="1"/>
  <c r="BE62" i="37"/>
  <c r="AU62" i="37" s="1"/>
  <c r="AV62" i="37"/>
  <c r="BG62" i="39"/>
  <c r="AW62" i="39" s="1"/>
  <c r="AX62" i="39"/>
  <c r="BB39" i="22"/>
  <c r="AV39" i="22" s="1"/>
  <c r="BA39" i="22"/>
  <c r="T5" i="31"/>
  <c r="AE35" i="31"/>
  <c r="AG35" i="31" s="1"/>
  <c r="AQ35" i="31" s="1"/>
  <c r="AR35" i="31" s="1"/>
  <c r="AV60" i="37"/>
  <c r="BH25" i="10"/>
  <c r="AY37" i="29"/>
  <c r="P46" i="29"/>
  <c r="AU7" i="22"/>
  <c r="AW7" i="22" s="1"/>
  <c r="BH41" i="10"/>
  <c r="P45" i="33"/>
  <c r="AZ46" i="33"/>
  <c r="BC50" i="39"/>
  <c r="BD50" i="39" s="1"/>
  <c r="BF50" i="39" s="1"/>
  <c r="AT42" i="31"/>
  <c r="AG19" i="16"/>
  <c r="AJ19" i="16" s="1"/>
  <c r="AU19" i="16" s="1"/>
  <c r="AV19" i="16" s="1"/>
  <c r="BA31" i="23"/>
  <c r="BE9" i="38"/>
  <c r="BG66" i="10"/>
  <c r="AR26" i="29"/>
  <c r="AS44" i="33"/>
  <c r="AT44" i="33"/>
  <c r="AH28" i="23"/>
  <c r="AJ28" i="23" s="1"/>
  <c r="AT28" i="23" s="1"/>
  <c r="AU28" i="23" s="1"/>
  <c r="AW28" i="23" s="1"/>
  <c r="BA45" i="23"/>
  <c r="BB70" i="39"/>
  <c r="BC70" i="39" s="1"/>
  <c r="BD70" i="39" s="1"/>
  <c r="BF70" i="39" s="1"/>
  <c r="BG70" i="39" s="1"/>
  <c r="BB58" i="39"/>
  <c r="BB71" i="39"/>
  <c r="AR13" i="33"/>
  <c r="V67" i="38"/>
  <c r="AG67" i="38" s="1"/>
  <c r="BJ67" i="38" s="1"/>
  <c r="BJ69" i="38" s="1"/>
  <c r="V64" i="38"/>
  <c r="AG49" i="38"/>
  <c r="BJ49" i="38" s="1"/>
  <c r="BD17" i="39"/>
  <c r="AZ44" i="31"/>
  <c r="AX17" i="16"/>
  <c r="BH17" i="16"/>
  <c r="AW17" i="16" s="1"/>
  <c r="AH29" i="23"/>
  <c r="AJ29" i="23" s="1"/>
  <c r="AT29" i="23" s="1"/>
  <c r="AU29" i="23" s="1"/>
  <c r="AW29" i="23" s="1"/>
  <c r="AV25" i="39"/>
  <c r="AH31" i="23"/>
  <c r="AJ31" i="23" s="1"/>
  <c r="AT31" i="23" s="1"/>
  <c r="BG48" i="10"/>
  <c r="BH48" i="10"/>
  <c r="BD64" i="38"/>
  <c r="BD67" i="38"/>
  <c r="BD68" i="38"/>
  <c r="BB56" i="39"/>
  <c r="AH11" i="22"/>
  <c r="AJ11" i="22" s="1"/>
  <c r="AT11" i="22" s="1"/>
  <c r="BB11" i="22"/>
  <c r="AV11" i="22" s="1"/>
  <c r="BA11" i="22"/>
  <c r="AS31" i="33"/>
  <c r="AT34" i="33"/>
  <c r="AS34" i="33"/>
  <c r="AZ12" i="33"/>
  <c r="AS12" i="33" s="1"/>
  <c r="BD14" i="39"/>
  <c r="AW14" i="39" s="1"/>
  <c r="BB67" i="39"/>
  <c r="BC67" i="39" s="1"/>
  <c r="AE60" i="16"/>
  <c r="BI60" i="16" s="1"/>
  <c r="BH61" i="10"/>
  <c r="BB40" i="22"/>
  <c r="AV40" i="22" s="1"/>
  <c r="AT27" i="33"/>
  <c r="BA31" i="22"/>
  <c r="AH31" i="22"/>
  <c r="AJ31" i="22" s="1"/>
  <c r="AT31" i="22" s="1"/>
  <c r="AE34" i="29"/>
  <c r="AG34" i="29" s="1"/>
  <c r="AQ34" i="29" s="1"/>
  <c r="AU37" i="23"/>
  <c r="AW37" i="23" s="1"/>
  <c r="AR9" i="31"/>
  <c r="AE51" i="16"/>
  <c r="BI51" i="16" s="1"/>
  <c r="AH26" i="23"/>
  <c r="AJ26" i="23" s="1"/>
  <c r="AT26" i="23" s="1"/>
  <c r="AU26" i="23" s="1"/>
  <c r="AW26" i="23" s="1"/>
  <c r="BA26" i="23"/>
  <c r="AR10" i="31"/>
  <c r="AR37" i="31"/>
  <c r="BB40" i="23"/>
  <c r="AV40" i="23" s="1"/>
  <c r="BA40" i="23"/>
  <c r="AS38" i="33"/>
  <c r="AH10" i="23"/>
  <c r="AJ10" i="23" s="1"/>
  <c r="BA41" i="23"/>
  <c r="AZ43" i="31"/>
  <c r="BA38" i="22"/>
  <c r="BB38" i="22"/>
  <c r="AV38" i="22" s="1"/>
  <c r="BG40" i="10"/>
  <c r="BB30" i="23"/>
  <c r="AV30" i="23" s="1"/>
  <c r="AZ14" i="33"/>
  <c r="AS14" i="33" s="1"/>
  <c r="AU14" i="33" s="1"/>
  <c r="AZ37" i="31"/>
  <c r="AS37" i="31" s="1"/>
  <c r="AZ35" i="37"/>
  <c r="BA35" i="37" s="1"/>
  <c r="BB35" i="37" s="1"/>
  <c r="BD35" i="37" s="1"/>
  <c r="BE35" i="37" s="1"/>
  <c r="AU35" i="37" s="1"/>
  <c r="BA29" i="37"/>
  <c r="BB29" i="37" s="1"/>
  <c r="BD29" i="37" s="1"/>
  <c r="P47" i="31"/>
  <c r="AR47" i="31" s="1"/>
  <c r="BA14" i="10"/>
  <c r="BC14" i="10" s="1"/>
  <c r="AY15" i="33"/>
  <c r="BA27" i="23"/>
  <c r="AZ41" i="10"/>
  <c r="BA41" i="10" s="1"/>
  <c r="BC41" i="10" s="1"/>
  <c r="AY12" i="33"/>
  <c r="BB38" i="23"/>
  <c r="AV38" i="23" s="1"/>
  <c r="AZ38" i="37"/>
  <c r="BA33" i="37"/>
  <c r="BB33" i="37" s="1"/>
  <c r="AY35" i="29"/>
  <c r="BC36" i="16"/>
  <c r="BD88" i="38" s="1"/>
  <c r="BD32" i="38"/>
  <c r="BA39" i="23"/>
  <c r="AZ51" i="33"/>
  <c r="BG47" i="10"/>
  <c r="AE72" i="16"/>
  <c r="BI72" i="16" s="1"/>
  <c r="BI74" i="16" s="1"/>
  <c r="AU22" i="22"/>
  <c r="AW22" i="22" s="1"/>
  <c r="AT15" i="37"/>
  <c r="BB28" i="22"/>
  <c r="AV28" i="22" s="1"/>
  <c r="BB27" i="23"/>
  <c r="AV27" i="23" s="1"/>
  <c r="AE15" i="29"/>
  <c r="AG15" i="29" s="1"/>
  <c r="AQ15" i="29" s="1"/>
  <c r="AZ15" i="29"/>
  <c r="AS15" i="29" s="1"/>
  <c r="AZ38" i="31"/>
  <c r="AS38" i="31" s="1"/>
  <c r="T5" i="29"/>
  <c r="AE35" i="29"/>
  <c r="AG35" i="29" s="1"/>
  <c r="AQ35" i="29" s="1"/>
  <c r="AR23" i="29"/>
  <c r="BD13" i="39"/>
  <c r="AW13" i="39" s="1"/>
  <c r="AU32" i="23"/>
  <c r="AW32" i="23" s="1"/>
  <c r="BC55" i="39"/>
  <c r="BD55" i="39" s="1"/>
  <c r="BF55" i="39" s="1"/>
  <c r="AX55" i="39" s="1"/>
  <c r="BG52" i="10"/>
  <c r="AZ21" i="33"/>
  <c r="AS21" i="33" s="1"/>
  <c r="AU21" i="33" s="1"/>
  <c r="BA24" i="10"/>
  <c r="BC24" i="10" s="1"/>
  <c r="AZ15" i="33"/>
  <c r="AS15" i="33" s="1"/>
  <c r="AY45" i="31"/>
  <c r="AR11" i="31"/>
  <c r="AY37" i="31"/>
  <c r="AS9" i="33"/>
  <c r="AR27" i="31"/>
  <c r="AQ44" i="33"/>
  <c r="AR44" i="33" s="1"/>
  <c r="BA28" i="22"/>
  <c r="BC13" i="39"/>
  <c r="AE39" i="29"/>
  <c r="AG39" i="29" s="1"/>
  <c r="AQ39" i="29" s="1"/>
  <c r="AY39" i="29"/>
  <c r="BA18" i="23"/>
  <c r="AE20" i="33"/>
  <c r="AG20" i="33" s="1"/>
  <c r="AQ20" i="33" s="1"/>
  <c r="AR20" i="33" s="1"/>
  <c r="AU40" i="22"/>
  <c r="P51" i="29"/>
  <c r="AR51" i="29" s="1"/>
  <c r="BH12" i="10"/>
  <c r="AY12" i="31"/>
  <c r="AR18" i="33"/>
  <c r="BD75" i="16"/>
  <c r="BE75" i="16" s="1"/>
  <c r="BG75" i="16" s="1"/>
  <c r="AY38" i="29"/>
  <c r="AU14" i="39"/>
  <c r="AV14" i="39" s="1"/>
  <c r="AQ21" i="31"/>
  <c r="AR21" i="31" s="1"/>
  <c r="AU21" i="31" s="1"/>
  <c r="AZ42" i="33"/>
  <c r="AG19" i="38"/>
  <c r="AF7" i="23"/>
  <c r="AU39" i="23"/>
  <c r="AW39" i="23" s="1"/>
  <c r="BA15" i="37"/>
  <c r="AE82" i="39"/>
  <c r="AQ11" i="29"/>
  <c r="AU18" i="22"/>
  <c r="AW18" i="22" s="1"/>
  <c r="AY26" i="29"/>
  <c r="AE85" i="16"/>
  <c r="AC21" i="29"/>
  <c r="AZ14" i="31"/>
  <c r="AS14" i="31" s="1"/>
  <c r="AU14" i="31" s="1"/>
  <c r="AZ35" i="31"/>
  <c r="AS35" i="31" s="1"/>
  <c r="AG9" i="33"/>
  <c r="AQ9" i="33" s="1"/>
  <c r="AR9" i="33" s="1"/>
  <c r="P47" i="33"/>
  <c r="AR47" i="33" s="1"/>
  <c r="AW14" i="38"/>
  <c r="AX14" i="38" s="1"/>
  <c r="AZ56" i="10"/>
  <c r="BA56" i="10" s="1"/>
  <c r="BC56" i="10" s="1"/>
  <c r="P12" i="31"/>
  <c r="BA12" i="37"/>
  <c r="AE11" i="16"/>
  <c r="BA52" i="10"/>
  <c r="BC52" i="10" s="1"/>
  <c r="P26" i="33"/>
  <c r="AR26" i="33" s="1"/>
  <c r="AG32" i="38"/>
  <c r="AF33" i="38"/>
  <c r="AF34" i="38" s="1"/>
  <c r="AK134" i="38"/>
  <c r="AC35" i="33"/>
  <c r="BP27" i="16"/>
  <c r="BQ27" i="16" s="1"/>
  <c r="X59" i="12"/>
  <c r="B28" i="16"/>
  <c r="BM60" i="16"/>
  <c r="AU60" i="16"/>
  <c r="AH22" i="16"/>
  <c r="AK21" i="16"/>
  <c r="AU21" i="16" s="1"/>
  <c r="AH50" i="16"/>
  <c r="AT19" i="12"/>
  <c r="AT20" i="12" s="1"/>
  <c r="AV20" i="12" s="1"/>
  <c r="BP39" i="38"/>
  <c r="BQ39" i="38" s="1"/>
  <c r="BD10" i="16"/>
  <c r="BI56" i="39"/>
  <c r="AH56" i="37"/>
  <c r="BE46" i="37"/>
  <c r="BD46" i="37"/>
  <c r="AJ56" i="37"/>
  <c r="D56" i="37" s="1"/>
  <c r="E56" i="37" s="1"/>
  <c r="BA56" i="37" s="1"/>
  <c r="AJ79" i="37"/>
  <c r="D79" i="37" s="1"/>
  <c r="AB80" i="37"/>
  <c r="Z33" i="38"/>
  <c r="BD43" i="37"/>
  <c r="AV43" i="37" s="1"/>
  <c r="BE43" i="37"/>
  <c r="BE27" i="37"/>
  <c r="BF72" i="37"/>
  <c r="BF17" i="38"/>
  <c r="G17" i="38"/>
  <c r="BE24" i="37"/>
  <c r="AU24" i="37" s="1"/>
  <c r="B71" i="37"/>
  <c r="E71" i="37"/>
  <c r="BA71" i="37" s="1"/>
  <c r="BB71" i="37" s="1"/>
  <c r="BD71" i="37" s="1"/>
  <c r="BE71" i="37" s="1"/>
  <c r="AY21" i="38"/>
  <c r="BH21" i="38"/>
  <c r="BJ31" i="39"/>
  <c r="D31" i="39"/>
  <c r="AY11" i="33"/>
  <c r="B11" i="33"/>
  <c r="AZ11" i="33" s="1"/>
  <c r="AS11" i="33" s="1"/>
  <c r="BB10" i="22"/>
  <c r="AV10" i="22" s="1"/>
  <c r="BA10" i="22"/>
  <c r="AH10" i="22"/>
  <c r="AJ10" i="22" s="1"/>
  <c r="AT10" i="22" s="1"/>
  <c r="AU10" i="22" s="1"/>
  <c r="AY32" i="31"/>
  <c r="B32" i="31"/>
  <c r="AZ32" i="31" s="1"/>
  <c r="AS32" i="31" s="1"/>
  <c r="AU32" i="31" s="1"/>
  <c r="AF11" i="22"/>
  <c r="AR46" i="31"/>
  <c r="BA58" i="37"/>
  <c r="P38" i="33"/>
  <c r="AX87" i="16"/>
  <c r="BH3" i="38"/>
  <c r="AH37" i="37"/>
  <c r="T27" i="10"/>
  <c r="AI37" i="39"/>
  <c r="BA13" i="37"/>
  <c r="B13" i="37"/>
  <c r="BB13" i="37" s="1"/>
  <c r="AU13" i="37" s="1"/>
  <c r="AY46" i="29"/>
  <c r="B46" i="29"/>
  <c r="AZ46" i="29" s="1"/>
  <c r="AS46" i="29" s="1"/>
  <c r="T64" i="10"/>
  <c r="BA64" i="10" s="1"/>
  <c r="BC64" i="10" s="1"/>
  <c r="X64" i="37"/>
  <c r="AH64" i="37"/>
  <c r="P34" i="29"/>
  <c r="AI34" i="39"/>
  <c r="AH35" i="37"/>
  <c r="B67" i="37"/>
  <c r="E67" i="37" s="1"/>
  <c r="BA67" i="37" s="1"/>
  <c r="AQ47" i="29"/>
  <c r="AR47" i="29" s="1"/>
  <c r="AY30" i="33"/>
  <c r="B30" i="33"/>
  <c r="AZ30" i="33" s="1"/>
  <c r="AS30" i="33" s="1"/>
  <c r="AK37" i="38"/>
  <c r="AW37" i="38" s="1"/>
  <c r="T28" i="10"/>
  <c r="BA28" i="10" s="1"/>
  <c r="BC28" i="10" s="1"/>
  <c r="AQ31" i="33"/>
  <c r="AH33" i="37"/>
  <c r="B51" i="39"/>
  <c r="E51" i="39" s="1"/>
  <c r="BC51" i="39" s="1"/>
  <c r="AI36" i="16"/>
  <c r="AE10" i="37"/>
  <c r="BG33" i="10"/>
  <c r="AI36" i="39"/>
  <c r="AR22" i="29"/>
  <c r="AR22" i="33"/>
  <c r="AU16" i="22"/>
  <c r="AW16" i="22" s="1"/>
  <c r="E44" i="37"/>
  <c r="AH34" i="37"/>
  <c r="AI35" i="39"/>
  <c r="B12" i="39"/>
  <c r="BD12" i="39" s="1"/>
  <c r="AW12" i="39" s="1"/>
  <c r="BC12" i="39"/>
  <c r="D34" i="37"/>
  <c r="E34" i="37" s="1"/>
  <c r="E28" i="37"/>
  <c r="BA28" i="37"/>
  <c r="AI35" i="16"/>
  <c r="AI64" i="16"/>
  <c r="E17" i="39"/>
  <c r="AK31" i="38"/>
  <c r="BM31" i="38"/>
  <c r="AE11" i="37"/>
  <c r="AT11" i="37" s="1"/>
  <c r="AW11" i="37" s="1"/>
  <c r="AQ9" i="29"/>
  <c r="AR9" i="29" s="1"/>
  <c r="AE29" i="37"/>
  <c r="AD30" i="37"/>
  <c r="AE30" i="37" s="1"/>
  <c r="AD35" i="37"/>
  <c r="BA61" i="37"/>
  <c r="B61" i="37"/>
  <c r="E61" i="37" s="1"/>
  <c r="AI34" i="16"/>
  <c r="AH38" i="37"/>
  <c r="AU26" i="22"/>
  <c r="AW26" i="22" s="1"/>
  <c r="AJ8" i="23"/>
  <c r="AJ9" i="23"/>
  <c r="AI38" i="39"/>
  <c r="BG43" i="10"/>
  <c r="BH43" i="10"/>
  <c r="D66" i="16"/>
  <c r="B22" i="29"/>
  <c r="AZ22" i="29" s="1"/>
  <c r="AS22" i="29" s="1"/>
  <c r="AI33" i="39"/>
  <c r="T23" i="10"/>
  <c r="AQ45" i="33"/>
  <c r="X85" i="37"/>
  <c r="X13" i="16"/>
  <c r="X41" i="37"/>
  <c r="X71" i="39"/>
  <c r="AE71" i="39" s="1"/>
  <c r="X69" i="16"/>
  <c r="AE69" i="16" s="1"/>
  <c r="X83" i="37"/>
  <c r="AE83" i="37" s="1"/>
  <c r="X27" i="16"/>
  <c r="X13" i="37"/>
  <c r="AE13" i="37" s="1"/>
  <c r="AT13" i="37" s="1"/>
  <c r="X77" i="16"/>
  <c r="AE77" i="16" s="1"/>
  <c r="X83" i="39"/>
  <c r="AE83" i="39" s="1"/>
  <c r="Z9" i="38"/>
  <c r="AG9" i="38" s="1"/>
  <c r="AX9" i="38" s="1"/>
  <c r="BA9" i="38" s="1"/>
  <c r="X25" i="37"/>
  <c r="X11" i="39"/>
  <c r="AE11" i="39" s="1"/>
  <c r="Z40" i="38"/>
  <c r="X58" i="39"/>
  <c r="AE58" i="39" s="1"/>
  <c r="Z41" i="38"/>
  <c r="X16" i="16"/>
  <c r="AE16" i="16" s="1"/>
  <c r="AV16" i="16" s="1"/>
  <c r="X34" i="37"/>
  <c r="X29" i="37"/>
  <c r="X19" i="37"/>
  <c r="AE19" i="37" s="1"/>
  <c r="X33" i="37"/>
  <c r="Z45" i="38"/>
  <c r="X16" i="37"/>
  <c r="X44" i="37"/>
  <c r="Z14" i="38"/>
  <c r="Z18" i="38"/>
  <c r="AG18" i="38" s="1"/>
  <c r="AX18" i="38" s="1"/>
  <c r="X24" i="16"/>
  <c r="Z64" i="38"/>
  <c r="X30" i="39"/>
  <c r="Z50" i="38"/>
  <c r="AG50" i="38" s="1"/>
  <c r="X20" i="37"/>
  <c r="AE20" i="37" s="1"/>
  <c r="AT20" i="37" s="1"/>
  <c r="AW20" i="37" s="1"/>
  <c r="X10" i="37"/>
  <c r="X75" i="16"/>
  <c r="X11" i="37"/>
  <c r="X25" i="16"/>
  <c r="Z25" i="38"/>
  <c r="Z24" i="38"/>
  <c r="X19" i="39"/>
  <c r="AE19" i="39" s="1"/>
  <c r="AV19" i="39" s="1"/>
  <c r="Z82" i="38"/>
  <c r="X67" i="37"/>
  <c r="AE67" i="37" s="1"/>
  <c r="AT67" i="37" s="1"/>
  <c r="X70" i="39"/>
  <c r="Z27" i="38"/>
  <c r="X12" i="39"/>
  <c r="X78" i="16"/>
  <c r="AE78" i="16" s="1"/>
  <c r="B10" i="29"/>
  <c r="AZ10" i="29" s="1"/>
  <c r="AS10" i="29" s="1"/>
  <c r="AY10" i="29"/>
  <c r="P15" i="29"/>
  <c r="P42" i="33"/>
  <c r="AR42" i="33" s="1"/>
  <c r="AK38" i="23"/>
  <c r="AK33" i="23"/>
  <c r="AK34" i="23"/>
  <c r="AK7" i="23"/>
  <c r="AT7" i="23" s="1"/>
  <c r="AK52" i="23"/>
  <c r="AT52" i="23" s="1"/>
  <c r="AU52" i="23" s="1"/>
  <c r="AW52" i="23" s="1"/>
  <c r="AK10" i="23"/>
  <c r="AK8" i="23"/>
  <c r="AK26" i="23"/>
  <c r="AK25" i="23"/>
  <c r="AK41" i="23"/>
  <c r="AK27" i="23"/>
  <c r="AK49" i="23"/>
  <c r="AK9" i="23"/>
  <c r="AK42" i="23"/>
  <c r="AI61" i="16"/>
  <c r="AS36" i="31"/>
  <c r="W32" i="10"/>
  <c r="F42" i="29"/>
  <c r="P42" i="29" s="1"/>
  <c r="AR42" i="29" s="1"/>
  <c r="S32" i="33"/>
  <c r="F27" i="29"/>
  <c r="G33" i="10"/>
  <c r="G38" i="10"/>
  <c r="S39" i="33"/>
  <c r="S19" i="29"/>
  <c r="F20" i="29"/>
  <c r="S34" i="33"/>
  <c r="F18" i="31"/>
  <c r="S23" i="31"/>
  <c r="F39" i="31"/>
  <c r="S18" i="31"/>
  <c r="G17" i="10"/>
  <c r="T17" i="10" s="1"/>
  <c r="S43" i="29"/>
  <c r="G30" i="10"/>
  <c r="T30" i="10" s="1"/>
  <c r="BA30" i="10" s="1"/>
  <c r="BC30" i="10" s="1"/>
  <c r="S33" i="33"/>
  <c r="G7" i="10"/>
  <c r="T7" i="10" s="1"/>
  <c r="BA7" i="10" s="1"/>
  <c r="BC7" i="10" s="1"/>
  <c r="S45" i="29"/>
  <c r="S20" i="31"/>
  <c r="F30" i="31"/>
  <c r="S42" i="33"/>
  <c r="S45" i="33"/>
  <c r="G64" i="10"/>
  <c r="G27" i="10"/>
  <c r="W34" i="10"/>
  <c r="F38" i="31"/>
  <c r="F11" i="31"/>
  <c r="F32" i="29"/>
  <c r="P32" i="29" s="1"/>
  <c r="G23" i="10"/>
  <c r="G50" i="23"/>
  <c r="S35" i="31"/>
  <c r="S31" i="29"/>
  <c r="S48" i="31"/>
  <c r="S21" i="31"/>
  <c r="S33" i="31"/>
  <c r="G51" i="23"/>
  <c r="S43" i="31"/>
  <c r="F15" i="31"/>
  <c r="S36" i="33"/>
  <c r="AI18" i="37"/>
  <c r="AS18" i="37" s="1"/>
  <c r="AT18" i="37" s="1"/>
  <c r="AL37" i="38"/>
  <c r="BM37" i="38" s="1"/>
  <c r="BQ37" i="38" s="1"/>
  <c r="AI25" i="37"/>
  <c r="AS25" i="37" s="1"/>
  <c r="AT25" i="37" s="1"/>
  <c r="AW25" i="37" s="1"/>
  <c r="AL17" i="38"/>
  <c r="AW17" i="38" s="1"/>
  <c r="AX17" i="38" s="1"/>
  <c r="D58" i="39"/>
  <c r="AL42" i="39"/>
  <c r="AA34" i="37"/>
  <c r="AI42" i="16"/>
  <c r="AY21" i="31"/>
  <c r="AU67" i="38"/>
  <c r="AW67" i="38" s="1"/>
  <c r="AU64" i="38"/>
  <c r="AE35" i="33"/>
  <c r="AG35" i="33" s="1"/>
  <c r="AQ35" i="33" s="1"/>
  <c r="AK45" i="23"/>
  <c r="AT45" i="23" s="1"/>
  <c r="AU45" i="23" s="1"/>
  <c r="AW45" i="23" s="1"/>
  <c r="AY30" i="29"/>
  <c r="AY38" i="31"/>
  <c r="L26" i="10"/>
  <c r="T26" i="10" s="1"/>
  <c r="BA26" i="10" s="1"/>
  <c r="BC26" i="10" s="1"/>
  <c r="L66" i="10"/>
  <c r="T66" i="10" s="1"/>
  <c r="BA66" i="10" s="1"/>
  <c r="BC66" i="10" s="1"/>
  <c r="L47" i="10"/>
  <c r="T47" i="10" s="1"/>
  <c r="Q12" i="23"/>
  <c r="AU12" i="23" s="1"/>
  <c r="AW12" i="23" s="1"/>
  <c r="Q42" i="22"/>
  <c r="AH61" i="16"/>
  <c r="AK61" i="16" s="1"/>
  <c r="BM61" i="16" s="1"/>
  <c r="AK23" i="16"/>
  <c r="AH62" i="16"/>
  <c r="AK62" i="16" s="1"/>
  <c r="AH68" i="16"/>
  <c r="AK68" i="16" s="1"/>
  <c r="AL55" i="10"/>
  <c r="AS10" i="31"/>
  <c r="P30" i="29"/>
  <c r="AR30" i="29" s="1"/>
  <c r="AU30" i="29" s="1"/>
  <c r="AS47" i="29"/>
  <c r="AY47" i="29"/>
  <c r="AS34" i="31"/>
  <c r="AU34" i="31" s="1"/>
  <c r="AE48" i="29"/>
  <c r="AG48" i="29" s="1"/>
  <c r="AQ48" i="29" s="1"/>
  <c r="AR48" i="29" s="1"/>
  <c r="AH42" i="22"/>
  <c r="AJ42" i="22" s="1"/>
  <c r="AT42" i="22" s="1"/>
  <c r="AE46" i="29"/>
  <c r="AG46" i="29" s="1"/>
  <c r="AQ46" i="29" s="1"/>
  <c r="AH40" i="23"/>
  <c r="AJ40" i="23" s="1"/>
  <c r="AT40" i="23" s="1"/>
  <c r="AU40" i="23" s="1"/>
  <c r="AT28" i="22"/>
  <c r="AU28" i="22" s="1"/>
  <c r="E71" i="39"/>
  <c r="T55" i="10"/>
  <c r="AY20" i="31"/>
  <c r="B20" i="31"/>
  <c r="AZ20" i="31" s="1"/>
  <c r="AS20" i="31" s="1"/>
  <c r="AU20" i="31" s="1"/>
  <c r="P20" i="29"/>
  <c r="AU15" i="16"/>
  <c r="AV15" i="16" s="1"/>
  <c r="E59" i="39"/>
  <c r="AC45" i="33"/>
  <c r="AN36" i="16"/>
  <c r="AL36" i="16" s="1"/>
  <c r="BL36" i="16" s="1"/>
  <c r="BC61" i="39"/>
  <c r="BD61" i="39" s="1"/>
  <c r="BF61" i="39" s="1"/>
  <c r="B61" i="39"/>
  <c r="E61" i="39" s="1"/>
  <c r="B23" i="31"/>
  <c r="AZ23" i="31" s="1"/>
  <c r="AS23" i="31" s="1"/>
  <c r="AU23" i="31" s="1"/>
  <c r="AK51" i="23"/>
  <c r="AT51" i="23" s="1"/>
  <c r="AU51" i="23" s="1"/>
  <c r="AW51" i="23" s="1"/>
  <c r="AS20" i="29"/>
  <c r="E60" i="39"/>
  <c r="AK13" i="23"/>
  <c r="AK29" i="23"/>
  <c r="AK18" i="23"/>
  <c r="AK16" i="23"/>
  <c r="BA32" i="22"/>
  <c r="AH32" i="22"/>
  <c r="AJ32" i="22" s="1"/>
  <c r="AT32" i="22" s="1"/>
  <c r="AU32" i="22" s="1"/>
  <c r="AW32" i="22" s="1"/>
  <c r="BG14" i="10"/>
  <c r="BH14" i="10"/>
  <c r="AY35" i="31"/>
  <c r="AK31" i="23"/>
  <c r="AE33" i="29"/>
  <c r="AG33" i="29" s="1"/>
  <c r="AQ33" i="29" s="1"/>
  <c r="AY33" i="29"/>
  <c r="T8" i="22"/>
  <c r="AF8" i="22" s="1"/>
  <c r="AU8" i="22" s="1"/>
  <c r="AW8" i="22" s="1"/>
  <c r="T11" i="22"/>
  <c r="W23" i="10"/>
  <c r="AL23" i="10" s="1"/>
  <c r="AN44" i="38"/>
  <c r="AK44" i="38"/>
  <c r="P18" i="29"/>
  <c r="P27" i="29"/>
  <c r="AR27" i="29" s="1"/>
  <c r="BM86" i="38"/>
  <c r="AD87" i="38"/>
  <c r="AU86" i="38"/>
  <c r="X33" i="39"/>
  <c r="AN33" i="39"/>
  <c r="AL33" i="39" s="1"/>
  <c r="BJ33" i="39" s="1"/>
  <c r="AQ36" i="37"/>
  <c r="AH36" i="37"/>
  <c r="AL36" i="37"/>
  <c r="AJ36" i="37" s="1"/>
  <c r="E47" i="39"/>
  <c r="P12" i="29"/>
  <c r="AK50" i="23"/>
  <c r="AT50" i="23" s="1"/>
  <c r="AU50" i="23" s="1"/>
  <c r="AW50" i="23" s="1"/>
  <c r="AK30" i="23"/>
  <c r="AY37" i="33"/>
  <c r="B37" i="33"/>
  <c r="AZ37" i="33" s="1"/>
  <c r="AJ30" i="37"/>
  <c r="D30" i="37" s="1"/>
  <c r="Q30" i="23"/>
  <c r="AE84" i="16"/>
  <c r="AK40" i="23"/>
  <c r="AY18" i="31"/>
  <c r="AS18" i="31"/>
  <c r="L12" i="10"/>
  <c r="T12" i="10" s="1"/>
  <c r="L13" i="10"/>
  <c r="T13" i="10" s="1"/>
  <c r="BA13" i="10" s="1"/>
  <c r="BC13" i="10" s="1"/>
  <c r="L11" i="10"/>
  <c r="T11" i="10" s="1"/>
  <c r="BA11" i="10" s="1"/>
  <c r="BC11" i="10" s="1"/>
  <c r="BF82" i="38"/>
  <c r="AI82" i="38"/>
  <c r="AL82" i="38" s="1"/>
  <c r="AW82" i="38" s="1"/>
  <c r="AX82" i="38" s="1"/>
  <c r="AK12" i="23"/>
  <c r="I31" i="23"/>
  <c r="Q31" i="23" s="1"/>
  <c r="L31" i="23"/>
  <c r="AS54" i="10"/>
  <c r="AS50" i="10"/>
  <c r="AS63" i="10" s="1"/>
  <c r="AV54" i="10"/>
  <c r="AV50" i="10"/>
  <c r="AV63" i="10" s="1"/>
  <c r="AQ46" i="33"/>
  <c r="AR46" i="33" s="1"/>
  <c r="BA54" i="10"/>
  <c r="BA50" i="10"/>
  <c r="BA63" i="10" s="1"/>
  <c r="AD52" i="38"/>
  <c r="Z51" i="38"/>
  <c r="AG51" i="38" s="1"/>
  <c r="AG20" i="29"/>
  <c r="AQ20" i="29" s="1"/>
  <c r="AG10" i="29"/>
  <c r="AQ10" i="29" s="1"/>
  <c r="AG18" i="29"/>
  <c r="AQ18" i="29" s="1"/>
  <c r="U15" i="39"/>
  <c r="S15" i="29"/>
  <c r="AN27" i="10"/>
  <c r="AP27" i="10" s="1"/>
  <c r="AZ27" i="10" s="1"/>
  <c r="BE27" i="10"/>
  <c r="BG27" i="10" s="1"/>
  <c r="O27" i="10"/>
  <c r="E40" i="39"/>
  <c r="X53" i="16"/>
  <c r="AE53" i="16" s="1"/>
  <c r="B33" i="33"/>
  <c r="AZ33" i="33" s="1"/>
  <c r="AY45" i="33"/>
  <c r="E17" i="16"/>
  <c r="AC28" i="38"/>
  <c r="AC46" i="38"/>
  <c r="AC32" i="38" s="1"/>
  <c r="AD18" i="10"/>
  <c r="AL18" i="10" s="1"/>
  <c r="BA18" i="10" s="1"/>
  <c r="BC18" i="10" s="1"/>
  <c r="AP78" i="16"/>
  <c r="B46" i="31"/>
  <c r="AZ46" i="31" s="1"/>
  <c r="BC60" i="39"/>
  <c r="AA81" i="39"/>
  <c r="AA56" i="39"/>
  <c r="C19" i="10"/>
  <c r="BG19" i="10"/>
  <c r="AP53" i="16"/>
  <c r="B45" i="31"/>
  <c r="AZ45" i="31" s="1"/>
  <c r="K13" i="29"/>
  <c r="H13" i="29"/>
  <c r="AI13" i="29"/>
  <c r="AW13" i="29"/>
  <c r="E13" i="29"/>
  <c r="AN36" i="37"/>
  <c r="AN81" i="37"/>
  <c r="AP42" i="39"/>
  <c r="AR96" i="38"/>
  <c r="AN10" i="37"/>
  <c r="AS10" i="37" s="1"/>
  <c r="AR35" i="38"/>
  <c r="AR43" i="38"/>
  <c r="AP53" i="39"/>
  <c r="AP43" i="16"/>
  <c r="AR76" i="38"/>
  <c r="AP47" i="16"/>
  <c r="AR27" i="38"/>
  <c r="AR17" i="38"/>
  <c r="AN21" i="37"/>
  <c r="AS21" i="37" s="1"/>
  <c r="AT21" i="37" s="1"/>
  <c r="AR75" i="38"/>
  <c r="AR89" i="38"/>
  <c r="AP11" i="16"/>
  <c r="AU11" i="16" s="1"/>
  <c r="AP21" i="39"/>
  <c r="AU21" i="39" s="1"/>
  <c r="AV21" i="39" s="1"/>
  <c r="AN29" i="37"/>
  <c r="AN40" i="37"/>
  <c r="X59" i="16"/>
  <c r="AE59" i="16" s="1"/>
  <c r="AP75" i="39"/>
  <c r="AR39" i="38"/>
  <c r="BC19" i="39"/>
  <c r="BD19" i="39" s="1"/>
  <c r="BG19" i="39" s="1"/>
  <c r="AC23" i="33"/>
  <c r="AR23" i="33" s="1"/>
  <c r="AW32" i="33"/>
  <c r="AI32" i="33"/>
  <c r="K32" i="33"/>
  <c r="AZ12" i="10"/>
  <c r="Q21" i="22"/>
  <c r="B9" i="31"/>
  <c r="AZ9" i="31" s="1"/>
  <c r="A51" i="31"/>
  <c r="C34" i="22"/>
  <c r="BB34" i="22" s="1"/>
  <c r="AV34" i="22" s="1"/>
  <c r="B37" i="22"/>
  <c r="AF42" i="22"/>
  <c r="A27" i="39"/>
  <c r="A21" i="39"/>
  <c r="A44" i="39"/>
  <c r="A58" i="39"/>
  <c r="A20" i="39"/>
  <c r="AL31" i="37"/>
  <c r="AJ31" i="37" s="1"/>
  <c r="D31" i="37" s="1"/>
  <c r="AJ34" i="22"/>
  <c r="AT34" i="22" s="1"/>
  <c r="AU34" i="22" s="1"/>
  <c r="L31" i="22"/>
  <c r="F31" i="22"/>
  <c r="Q31" i="22" s="1"/>
  <c r="AU31" i="22" s="1"/>
  <c r="AW31" i="22" s="1"/>
  <c r="X13" i="23"/>
  <c r="AF13" i="23" s="1"/>
  <c r="AQ11" i="10"/>
  <c r="AG11" i="33"/>
  <c r="AQ11" i="33" s="1"/>
  <c r="F44" i="29"/>
  <c r="P44" i="29" s="1"/>
  <c r="AR44" i="29" s="1"/>
  <c r="G34" i="23"/>
  <c r="K43" i="31"/>
  <c r="E43" i="31"/>
  <c r="P43" i="31" s="1"/>
  <c r="AR43" i="31" s="1"/>
  <c r="AI42" i="39"/>
  <c r="K38" i="31"/>
  <c r="AL19" i="33"/>
  <c r="AW11" i="23" l="1"/>
  <c r="AW25" i="23"/>
  <c r="AX54" i="39"/>
  <c r="B25" i="39"/>
  <c r="E25" i="39" s="1"/>
  <c r="BC25" i="39"/>
  <c r="BD25" i="39" s="1"/>
  <c r="E62" i="39"/>
  <c r="E56" i="39"/>
  <c r="BF41" i="39"/>
  <c r="AX41" i="39" s="1"/>
  <c r="AX19" i="38"/>
  <c r="AV11" i="39"/>
  <c r="BE51" i="37"/>
  <c r="AU51" i="37" s="1"/>
  <c r="AV51" i="37"/>
  <c r="BA38" i="37"/>
  <c r="BB38" i="37" s="1"/>
  <c r="BI45" i="38"/>
  <c r="BE42" i="38"/>
  <c r="BF42" i="38" s="1"/>
  <c r="AW27" i="23"/>
  <c r="B75" i="37"/>
  <c r="AX64" i="39"/>
  <c r="BE73" i="16"/>
  <c r="AF131" i="38"/>
  <c r="AG131" i="38" s="1"/>
  <c r="BE41" i="37"/>
  <c r="AU41" i="37" s="1"/>
  <c r="BC56" i="39"/>
  <c r="BD56" i="39" s="1"/>
  <c r="BF56" i="39" s="1"/>
  <c r="AX56" i="39" s="1"/>
  <c r="BD73" i="39"/>
  <c r="BF73" i="39" s="1"/>
  <c r="BI27" i="38"/>
  <c r="BE53" i="37"/>
  <c r="AU53" i="37" s="1"/>
  <c r="BC38" i="39"/>
  <c r="BD38" i="39" s="1"/>
  <c r="AY9" i="39"/>
  <c r="AE36" i="39"/>
  <c r="BH36" i="39" s="1"/>
  <c r="AE35" i="39"/>
  <c r="BH35" i="39" s="1"/>
  <c r="BH28" i="39"/>
  <c r="AA93" i="39"/>
  <c r="BH29" i="39"/>
  <c r="AD93" i="39"/>
  <c r="BF46" i="39"/>
  <c r="AX46" i="39" s="1"/>
  <c r="AD92" i="39" s="1"/>
  <c r="AR31" i="33"/>
  <c r="AU31" i="33" s="1"/>
  <c r="AB33" i="33"/>
  <c r="AC33" i="33" s="1"/>
  <c r="AR33" i="33" s="1"/>
  <c r="AU49" i="23"/>
  <c r="AW49" i="23" s="1"/>
  <c r="AT17" i="37"/>
  <c r="AS47" i="33"/>
  <c r="AU47" i="33" s="1"/>
  <c r="AW29" i="22"/>
  <c r="B73" i="16"/>
  <c r="AV59" i="37"/>
  <c r="AW30" i="22"/>
  <c r="AW33" i="22"/>
  <c r="AT13" i="23"/>
  <c r="AU13" i="23" s="1"/>
  <c r="AW13" i="23" s="1"/>
  <c r="AR15" i="29"/>
  <c r="E44" i="16"/>
  <c r="BD44" i="16" s="1"/>
  <c r="BE44" i="16" s="1"/>
  <c r="BG44" i="16" s="1"/>
  <c r="AY44" i="16" s="1"/>
  <c r="W17" i="12"/>
  <c r="AU21" i="12" s="1"/>
  <c r="AV21" i="12" s="1"/>
  <c r="AT38" i="12" s="1"/>
  <c r="AT37" i="12" s="1"/>
  <c r="AT40" i="12" s="1"/>
  <c r="AC34" i="33"/>
  <c r="AR34" i="33" s="1"/>
  <c r="AU34" i="33" s="1"/>
  <c r="BD13" i="16"/>
  <c r="AU53" i="16"/>
  <c r="BN53" i="16" s="1"/>
  <c r="B40" i="16"/>
  <c r="E60" i="16"/>
  <c r="BD60" i="16" s="1"/>
  <c r="BE60" i="16" s="1"/>
  <c r="BG60" i="16" s="1"/>
  <c r="AI37" i="16"/>
  <c r="BK37" i="16" s="1"/>
  <c r="E61" i="16"/>
  <c r="BD61" i="16" s="1"/>
  <c r="BE61" i="16" s="1"/>
  <c r="BG61" i="16" s="1"/>
  <c r="BH61" i="16" s="1"/>
  <c r="AW61" i="16" s="1"/>
  <c r="BD16" i="16"/>
  <c r="BD19" i="16"/>
  <c r="BE19" i="16" s="1"/>
  <c r="BH19" i="16" s="1"/>
  <c r="BG19" i="16" s="1"/>
  <c r="AW19" i="16" s="1"/>
  <c r="AZ19" i="16" s="1"/>
  <c r="W5" i="12"/>
  <c r="W6" i="12" s="1"/>
  <c r="AV57" i="37"/>
  <c r="B73" i="38"/>
  <c r="B74" i="38" s="1"/>
  <c r="B75" i="38" s="1"/>
  <c r="B76" i="38" s="1"/>
  <c r="B77" i="38" s="1"/>
  <c r="B78" i="38" s="1"/>
  <c r="B79" i="38" s="1"/>
  <c r="B80" i="38" s="1"/>
  <c r="BE54" i="37"/>
  <c r="AU54" i="37" s="1"/>
  <c r="AU30" i="23"/>
  <c r="AW30" i="23" s="1"/>
  <c r="BI50" i="38"/>
  <c r="AY50" i="38" s="1"/>
  <c r="AU54" i="16"/>
  <c r="BN54" i="16" s="1"/>
  <c r="BD47" i="37"/>
  <c r="AV47" i="37" s="1"/>
  <c r="BE47" i="37"/>
  <c r="BE44" i="37"/>
  <c r="AU44" i="37" s="1"/>
  <c r="AX59" i="39"/>
  <c r="AV70" i="37"/>
  <c r="AW70" i="37" s="1"/>
  <c r="AT19" i="37"/>
  <c r="AW19" i="37" s="1"/>
  <c r="W51" i="12"/>
  <c r="Y51" i="12" s="1"/>
  <c r="AT62" i="12" s="1"/>
  <c r="AX62" i="12" s="1"/>
  <c r="W57" i="12"/>
  <c r="Y57" i="12" s="1"/>
  <c r="AT68" i="12" s="1"/>
  <c r="AX68" i="12" s="1"/>
  <c r="AI64" i="38" s="1"/>
  <c r="AL64" i="38" s="1"/>
  <c r="E66" i="16"/>
  <c r="BD66" i="16" s="1"/>
  <c r="BE66" i="16" s="1"/>
  <c r="BG66" i="16" s="1"/>
  <c r="AY66" i="16" s="1"/>
  <c r="W33" i="12"/>
  <c r="Y33" i="12" s="1"/>
  <c r="AT44" i="12" s="1"/>
  <c r="AX44" i="12" s="1"/>
  <c r="AG54" i="16" s="1"/>
  <c r="W49" i="12"/>
  <c r="Y49" i="12" s="1"/>
  <c r="AT60" i="12" s="1"/>
  <c r="AX60" i="12" s="1"/>
  <c r="AG57" i="39" s="1"/>
  <c r="AJ57" i="39" s="1"/>
  <c r="W36" i="12"/>
  <c r="Y36" i="12" s="1"/>
  <c r="AT47" i="12" s="1"/>
  <c r="AV47" i="12" s="1"/>
  <c r="W55" i="12"/>
  <c r="Y55" i="12" s="1"/>
  <c r="AT66" i="12" s="1"/>
  <c r="AV66" i="12" s="1"/>
  <c r="W38" i="12"/>
  <c r="Y38" i="12" s="1"/>
  <c r="AT49" i="12" s="1"/>
  <c r="AV49" i="12" s="1"/>
  <c r="W32" i="12"/>
  <c r="Y32" i="12" s="1"/>
  <c r="AT43" i="12" s="1"/>
  <c r="AX43" i="12" s="1"/>
  <c r="AG54" i="39" s="1"/>
  <c r="AJ54" i="39" s="1"/>
  <c r="BD14" i="16"/>
  <c r="W52" i="12"/>
  <c r="Y52" i="12" s="1"/>
  <c r="AT63" i="12" s="1"/>
  <c r="W34" i="12"/>
  <c r="Y34" i="12" s="1"/>
  <c r="AT45" i="12" s="1"/>
  <c r="AX45" i="12" s="1"/>
  <c r="BH52" i="16"/>
  <c r="AW52" i="16" s="1"/>
  <c r="AY52" i="16"/>
  <c r="C116" i="12"/>
  <c r="W40" i="12"/>
  <c r="W46" i="12"/>
  <c r="Y46" i="12" s="1"/>
  <c r="AT57" i="12" s="1"/>
  <c r="AV57" i="12" s="1"/>
  <c r="AG56" i="37" s="1"/>
  <c r="AI56" i="37" s="1"/>
  <c r="AS56" i="37" s="1"/>
  <c r="AT56" i="37" s="1"/>
  <c r="AX65" i="16"/>
  <c r="AY65" i="16"/>
  <c r="W2" i="12"/>
  <c r="BG34" i="16"/>
  <c r="AY34" i="16" s="1"/>
  <c r="E33" i="16"/>
  <c r="BD33" i="16" s="1"/>
  <c r="BE33" i="16" s="1"/>
  <c r="BG33" i="16" s="1"/>
  <c r="W42" i="12"/>
  <c r="Y42" i="12" s="1"/>
  <c r="AT53" i="12" s="1"/>
  <c r="AV53" i="12" s="1"/>
  <c r="B46" i="16"/>
  <c r="BD63" i="16"/>
  <c r="BE63" i="16" s="1"/>
  <c r="BG63" i="16" s="1"/>
  <c r="AD38" i="16"/>
  <c r="AB32" i="33"/>
  <c r="AC32" i="33" s="1"/>
  <c r="AU23" i="29"/>
  <c r="BI28" i="16"/>
  <c r="BP28" i="16" s="1"/>
  <c r="BQ28" i="16" s="1"/>
  <c r="BR28" i="16" s="1"/>
  <c r="AB37" i="33"/>
  <c r="AC37" i="33" s="1"/>
  <c r="AR37" i="33" s="1"/>
  <c r="AB34" i="29"/>
  <c r="AC34" i="29" s="1"/>
  <c r="AR34" i="29" s="1"/>
  <c r="AU34" i="29" s="1"/>
  <c r="AZ87" i="16"/>
  <c r="Y124" i="16" s="1"/>
  <c r="BL59" i="16"/>
  <c r="W47" i="12"/>
  <c r="Y47" i="12" s="1"/>
  <c r="AT58" i="12" s="1"/>
  <c r="AV58" i="12" s="1"/>
  <c r="W56" i="12"/>
  <c r="Y56" i="12" s="1"/>
  <c r="AT67" i="12" s="1"/>
  <c r="AX67" i="12" s="1"/>
  <c r="W43" i="12"/>
  <c r="Y43" i="12" s="1"/>
  <c r="AT54" i="12" s="1"/>
  <c r="AV54" i="12" s="1"/>
  <c r="W39" i="12"/>
  <c r="Y39" i="12" s="1"/>
  <c r="AT50" i="12" s="1"/>
  <c r="AX50" i="12" s="1"/>
  <c r="E18" i="16"/>
  <c r="BG38" i="16"/>
  <c r="AX38" i="16" s="1"/>
  <c r="BM54" i="16"/>
  <c r="BM56" i="16"/>
  <c r="B38" i="16"/>
  <c r="E38" i="16" s="1"/>
  <c r="A50" i="16"/>
  <c r="AU43" i="29"/>
  <c r="AR10" i="29"/>
  <c r="AU18" i="31"/>
  <c r="AU42" i="31"/>
  <c r="BA17" i="10"/>
  <c r="BC17" i="10" s="1"/>
  <c r="AU41" i="22"/>
  <c r="AW41" i="22" s="1"/>
  <c r="AW24" i="37"/>
  <c r="AE70" i="39"/>
  <c r="AR12" i="31"/>
  <c r="BD42" i="37"/>
  <c r="AV42" i="37" s="1"/>
  <c r="D28" i="16"/>
  <c r="BD28" i="16" s="1"/>
  <c r="BE28" i="16" s="1"/>
  <c r="AU59" i="16"/>
  <c r="BN59" i="16" s="1"/>
  <c r="AL80" i="16"/>
  <c r="D80" i="16" s="1"/>
  <c r="X80" i="16"/>
  <c r="AE80" i="16" s="1"/>
  <c r="AI80" i="16"/>
  <c r="AB81" i="16"/>
  <c r="W53" i="12"/>
  <c r="Y53" i="12" s="1"/>
  <c r="AT64" i="12" s="1"/>
  <c r="AV64" i="12" s="1"/>
  <c r="AE29" i="16"/>
  <c r="AD95" i="16" s="1"/>
  <c r="BD22" i="16"/>
  <c r="BE22" i="16" s="1"/>
  <c r="BH22" i="16" s="1"/>
  <c r="BG22" i="16" s="1"/>
  <c r="AW22" i="16" s="1"/>
  <c r="D54" i="16"/>
  <c r="E54" i="16" s="1"/>
  <c r="BD54" i="16" s="1"/>
  <c r="BE54" i="16" s="1"/>
  <c r="BG54" i="16" s="1"/>
  <c r="W37" i="12"/>
  <c r="Y37" i="12" s="1"/>
  <c r="AT48" i="12" s="1"/>
  <c r="BP28" i="38"/>
  <c r="BQ28" i="38" s="1"/>
  <c r="BR28" i="38" s="1"/>
  <c r="AN32" i="38"/>
  <c r="AN34" i="38" s="1"/>
  <c r="F34" i="38" s="1"/>
  <c r="W45" i="12"/>
  <c r="Y45" i="12" s="1"/>
  <c r="AT56" i="12" s="1"/>
  <c r="AX56" i="12" s="1"/>
  <c r="W48" i="12"/>
  <c r="Y48" i="12" s="1"/>
  <c r="AT59" i="12" s="1"/>
  <c r="AV59" i="12" s="1"/>
  <c r="AS37" i="16"/>
  <c r="W41" i="12"/>
  <c r="Y41" i="12" s="1"/>
  <c r="AT52" i="12" s="1"/>
  <c r="AV52" i="12" s="1"/>
  <c r="W54" i="12"/>
  <c r="Y54" i="12" s="1"/>
  <c r="AT65" i="12" s="1"/>
  <c r="AV65" i="12" s="1"/>
  <c r="BD12" i="16"/>
  <c r="W50" i="12"/>
  <c r="Y50" i="12" s="1"/>
  <c r="AT61" i="12" s="1"/>
  <c r="AV61" i="12" s="1"/>
  <c r="AV20" i="16"/>
  <c r="AV75" i="16"/>
  <c r="AD30" i="16"/>
  <c r="AE30" i="16" s="1"/>
  <c r="BI30" i="16" s="1"/>
  <c r="AS62" i="16"/>
  <c r="AU62" i="16" s="1"/>
  <c r="X36" i="16"/>
  <c r="AS36" i="16"/>
  <c r="AB38" i="16"/>
  <c r="X35" i="16"/>
  <c r="AS35" i="16"/>
  <c r="AN35" i="16"/>
  <c r="AL35" i="16" s="1"/>
  <c r="BL35" i="16" s="1"/>
  <c r="AF132" i="38"/>
  <c r="AG132" i="38" s="1"/>
  <c r="E53" i="16"/>
  <c r="BD53" i="16" s="1"/>
  <c r="BE53" i="16" s="1"/>
  <c r="BG53" i="16" s="1"/>
  <c r="AN29" i="16"/>
  <c r="AL29" i="16" s="1"/>
  <c r="AI29" i="16"/>
  <c r="BK29" i="16" s="1"/>
  <c r="X29" i="16"/>
  <c r="AS29" i="16"/>
  <c r="BM29" i="16"/>
  <c r="AB31" i="16"/>
  <c r="AS63" i="16"/>
  <c r="AU63" i="16" s="1"/>
  <c r="AE36" i="16"/>
  <c r="BI36" i="16" s="1"/>
  <c r="E41" i="16"/>
  <c r="BD41" i="16" s="1"/>
  <c r="BE41" i="16" s="1"/>
  <c r="BH41" i="16" s="1"/>
  <c r="AE35" i="16"/>
  <c r="BI35" i="16" s="1"/>
  <c r="AL56" i="16"/>
  <c r="AB57" i="16"/>
  <c r="X56" i="16"/>
  <c r="AE56" i="16" s="1"/>
  <c r="BI56" i="16" s="1"/>
  <c r="AI56" i="16"/>
  <c r="AU55" i="16"/>
  <c r="BN55" i="16" s="1"/>
  <c r="BL55" i="16"/>
  <c r="D55" i="16"/>
  <c r="E55" i="16" s="1"/>
  <c r="BD55" i="16" s="1"/>
  <c r="BE55" i="16" s="1"/>
  <c r="BG55" i="16" s="1"/>
  <c r="AY55" i="16" s="1"/>
  <c r="D47" i="16"/>
  <c r="E47" i="16" s="1"/>
  <c r="BD47" i="16" s="1"/>
  <c r="BE47" i="16" s="1"/>
  <c r="BH47" i="16" s="1"/>
  <c r="AE37" i="16"/>
  <c r="BI37" i="16" s="1"/>
  <c r="X37" i="16"/>
  <c r="W35" i="12"/>
  <c r="Y35" i="12" s="1"/>
  <c r="AT46" i="12" s="1"/>
  <c r="AX46" i="12" s="1"/>
  <c r="BL30" i="16"/>
  <c r="D30" i="16"/>
  <c r="BD30" i="16" s="1"/>
  <c r="BE30" i="16" s="1"/>
  <c r="E27" i="16"/>
  <c r="B41" i="16"/>
  <c r="BI33" i="16"/>
  <c r="BD18" i="16"/>
  <c r="AV73" i="16"/>
  <c r="AZ73" i="16" s="1"/>
  <c r="BL73" i="16"/>
  <c r="AU48" i="29"/>
  <c r="BI61" i="38"/>
  <c r="BH60" i="38"/>
  <c r="BI60" i="38" s="1"/>
  <c r="AY60" i="38" s="1"/>
  <c r="AX68" i="38"/>
  <c r="BP68" i="38" s="1"/>
  <c r="BQ68" i="38" s="1"/>
  <c r="BE65" i="16"/>
  <c r="AZ61" i="38"/>
  <c r="BH39" i="38"/>
  <c r="AY39" i="38" s="1"/>
  <c r="A75" i="37"/>
  <c r="A76" i="37" s="1"/>
  <c r="A77" i="37" s="1"/>
  <c r="A78" i="37" s="1"/>
  <c r="D35" i="39"/>
  <c r="E29" i="39"/>
  <c r="AV18" i="16"/>
  <c r="AU18" i="23"/>
  <c r="AW18" i="23" s="1"/>
  <c r="BE52" i="37"/>
  <c r="AU52" i="37" s="1"/>
  <c r="BG29" i="39"/>
  <c r="AW29" i="39" s="1"/>
  <c r="AD91" i="39" s="1"/>
  <c r="BH40" i="38"/>
  <c r="AY40" i="38" s="1"/>
  <c r="AV50" i="37"/>
  <c r="AU52" i="16"/>
  <c r="BN52" i="16" s="1"/>
  <c r="AU9" i="29"/>
  <c r="AZ27" i="38"/>
  <c r="AZ58" i="38"/>
  <c r="AW15" i="37"/>
  <c r="AV40" i="37"/>
  <c r="AW12" i="22"/>
  <c r="AW45" i="22"/>
  <c r="AU12" i="33"/>
  <c r="AU27" i="29"/>
  <c r="AR15" i="33"/>
  <c r="AU15" i="33" s="1"/>
  <c r="AW21" i="23"/>
  <c r="AY45" i="38"/>
  <c r="AW42" i="23"/>
  <c r="BF70" i="38"/>
  <c r="BH70" i="38" s="1"/>
  <c r="BI70" i="38" s="1"/>
  <c r="AU14" i="29"/>
  <c r="BD27" i="16"/>
  <c r="BE27" i="16" s="1"/>
  <c r="BH27" i="16" s="1"/>
  <c r="BD20" i="16"/>
  <c r="BE20" i="16" s="1"/>
  <c r="BH20" i="16" s="1"/>
  <c r="BG20" i="16" s="1"/>
  <c r="AX59" i="38"/>
  <c r="BP59" i="38" s="1"/>
  <c r="BQ59" i="38" s="1"/>
  <c r="E59" i="16"/>
  <c r="BD59" i="16" s="1"/>
  <c r="BE59" i="16" s="1"/>
  <c r="BG59" i="16" s="1"/>
  <c r="AY59" i="16" s="1"/>
  <c r="BD24" i="16"/>
  <c r="BE24" i="16" s="1"/>
  <c r="BH24" i="16" s="1"/>
  <c r="BD11" i="16"/>
  <c r="B22" i="16"/>
  <c r="E22" i="16" s="1"/>
  <c r="A43" i="16"/>
  <c r="E43" i="16" s="1"/>
  <c r="BD43" i="16" s="1"/>
  <c r="BE43" i="16" s="1"/>
  <c r="BH43" i="16" s="1"/>
  <c r="E42" i="16"/>
  <c r="BD42" i="16" s="1"/>
  <c r="BE42" i="16" s="1"/>
  <c r="BH42" i="16" s="1"/>
  <c r="E45" i="16"/>
  <c r="BD45" i="16" s="1"/>
  <c r="BE45" i="16" s="1"/>
  <c r="BG45" i="16" s="1"/>
  <c r="B34" i="16"/>
  <c r="BD25" i="16"/>
  <c r="BE25" i="16" s="1"/>
  <c r="BH25" i="16" s="1"/>
  <c r="AU42" i="29"/>
  <c r="B15" i="16"/>
  <c r="BE15" i="16" s="1"/>
  <c r="AW15" i="16" s="1"/>
  <c r="AZ15" i="16" s="1"/>
  <c r="AW9" i="12"/>
  <c r="Y44" i="12"/>
  <c r="AT55" i="12" s="1"/>
  <c r="BD15" i="16"/>
  <c r="B31" i="16"/>
  <c r="AW13" i="22"/>
  <c r="AX11" i="38"/>
  <c r="BA11" i="38" s="1"/>
  <c r="AY15" i="39"/>
  <c r="AU19" i="33"/>
  <c r="BA20" i="38"/>
  <c r="BC71" i="39"/>
  <c r="BD71" i="39" s="1"/>
  <c r="BF71" i="39" s="1"/>
  <c r="BG71" i="39" s="1"/>
  <c r="BG57" i="39"/>
  <c r="AW57" i="39" s="1"/>
  <c r="BE25" i="38"/>
  <c r="BF25" i="38" s="1"/>
  <c r="C25" i="38"/>
  <c r="G25" i="38" s="1"/>
  <c r="BP45" i="38"/>
  <c r="BQ45" i="38" s="1"/>
  <c r="BP27" i="38"/>
  <c r="BQ27" i="38" s="1"/>
  <c r="G72" i="38"/>
  <c r="BE72" i="38" s="1"/>
  <c r="BF72" i="38" s="1"/>
  <c r="BH72" i="38" s="1"/>
  <c r="BI72" i="38" s="1"/>
  <c r="AY72" i="38" s="1"/>
  <c r="G39" i="38"/>
  <c r="AX10" i="38"/>
  <c r="BA10" i="38" s="1"/>
  <c r="AZ51" i="38"/>
  <c r="Z74" i="38"/>
  <c r="AG74" i="38" s="1"/>
  <c r="BP43" i="38"/>
  <c r="BQ43" i="38" s="1"/>
  <c r="BI51" i="38"/>
  <c r="AY51" i="38" s="1"/>
  <c r="B24" i="38"/>
  <c r="C21" i="38"/>
  <c r="G21" i="38"/>
  <c r="AX21" i="38"/>
  <c r="BA21" i="38" s="1"/>
  <c r="AD75" i="38"/>
  <c r="BE67" i="38"/>
  <c r="BF67" i="38" s="1"/>
  <c r="BH67" i="38" s="1"/>
  <c r="BI67" i="38" s="1"/>
  <c r="AZ67" i="38" s="1"/>
  <c r="BE64" i="38"/>
  <c r="BF64" i="38" s="1"/>
  <c r="BH64" i="38" s="1"/>
  <c r="BI64" i="38" s="1"/>
  <c r="AY64" i="38" s="1"/>
  <c r="BE41" i="38"/>
  <c r="BF41" i="38" s="1"/>
  <c r="BE46" i="38"/>
  <c r="BF46" i="38" s="1"/>
  <c r="BH46" i="38" s="1"/>
  <c r="AZ46" i="38" s="1"/>
  <c r="AX60" i="38"/>
  <c r="BP60" i="38" s="1"/>
  <c r="BQ60" i="38" s="1"/>
  <c r="BL60" i="38"/>
  <c r="F31" i="38"/>
  <c r="BL31" i="38"/>
  <c r="AK86" i="38"/>
  <c r="BK86" i="38" s="1"/>
  <c r="AP86" i="38"/>
  <c r="Z86" i="38"/>
  <c r="AK126" i="38"/>
  <c r="AF57" i="38"/>
  <c r="AK127" i="38" s="1"/>
  <c r="BE14" i="38"/>
  <c r="C68" i="38"/>
  <c r="G68" i="38"/>
  <c r="BE68" i="38" s="1"/>
  <c r="BF68" i="38" s="1"/>
  <c r="BH68" i="38" s="1"/>
  <c r="BI68" i="38" s="1"/>
  <c r="BL30" i="38"/>
  <c r="F30" i="38"/>
  <c r="BA68" i="38"/>
  <c r="AN86" i="38"/>
  <c r="BL84" i="38"/>
  <c r="BE19" i="38"/>
  <c r="BF19" i="38" s="1"/>
  <c r="BI19" i="38" s="1"/>
  <c r="G19" i="38"/>
  <c r="BH20" i="38"/>
  <c r="AZ50" i="38"/>
  <c r="BP29" i="38"/>
  <c r="BQ29" i="38" s="1"/>
  <c r="F29" i="38"/>
  <c r="BE29" i="38" s="1"/>
  <c r="Z75" i="38"/>
  <c r="AG75" i="38" s="1"/>
  <c r="C18" i="38"/>
  <c r="G18" i="38"/>
  <c r="BE12" i="38"/>
  <c r="AU33" i="38"/>
  <c r="AD34" i="38"/>
  <c r="AG34" i="38" s="1"/>
  <c r="AP33" i="38"/>
  <c r="AN33" i="38" s="1"/>
  <c r="F33" i="38" s="1"/>
  <c r="G33" i="38" s="1"/>
  <c r="AK33" i="38"/>
  <c r="AZ49" i="38"/>
  <c r="BI49" i="38"/>
  <c r="AY49" i="38" s="1"/>
  <c r="AG84" i="38"/>
  <c r="BJ84" i="38" s="1"/>
  <c r="AF85" i="38"/>
  <c r="AG85" i="38" s="1"/>
  <c r="BJ85" i="38" s="1"/>
  <c r="BP85" i="38" s="1"/>
  <c r="BQ85" i="38" s="1"/>
  <c r="AF95" i="38"/>
  <c r="AF96" i="38" s="1"/>
  <c r="AF97" i="38" s="1"/>
  <c r="AF98" i="38" s="1"/>
  <c r="C84" i="38"/>
  <c r="G84" i="38" s="1"/>
  <c r="B85" i="38"/>
  <c r="BH28" i="38"/>
  <c r="AZ28" i="38" s="1"/>
  <c r="C34" i="38"/>
  <c r="AU20" i="33"/>
  <c r="AY11" i="39"/>
  <c r="Y40" i="12"/>
  <c r="AT51" i="12" s="1"/>
  <c r="AV51" i="12" s="1"/>
  <c r="BE6" i="12"/>
  <c r="BH18" i="16"/>
  <c r="AW18" i="16" s="1"/>
  <c r="AX58" i="38"/>
  <c r="BP58" i="38" s="1"/>
  <c r="BQ58" i="38" s="1"/>
  <c r="BL58" i="38"/>
  <c r="AY4" i="12"/>
  <c r="AW5" i="12"/>
  <c r="AK133" i="38"/>
  <c r="AF30" i="38"/>
  <c r="AU13" i="33"/>
  <c r="AU23" i="33"/>
  <c r="AU11" i="31"/>
  <c r="AU33" i="31"/>
  <c r="AU22" i="33"/>
  <c r="AU19" i="29"/>
  <c r="AU18" i="33"/>
  <c r="AZ14" i="16"/>
  <c r="AV11" i="16"/>
  <c r="AZ11" i="16" s="1"/>
  <c r="AU45" i="37"/>
  <c r="AW34" i="23"/>
  <c r="AH131" i="38"/>
  <c r="AW10" i="22"/>
  <c r="BG55" i="39"/>
  <c r="AW55" i="39" s="1"/>
  <c r="AR45" i="33"/>
  <c r="AU45" i="33" s="1"/>
  <c r="AW28" i="22"/>
  <c r="AZ10" i="16"/>
  <c r="AZ59" i="38"/>
  <c r="AU27" i="31"/>
  <c r="AS48" i="33"/>
  <c r="AU48" i="33" s="1"/>
  <c r="AW9" i="22"/>
  <c r="BF43" i="39"/>
  <c r="AX43" i="39" s="1"/>
  <c r="BI16" i="38"/>
  <c r="AY16" i="38" s="1"/>
  <c r="BA16" i="38" s="1"/>
  <c r="BE21" i="37"/>
  <c r="AU21" i="37" s="1"/>
  <c r="AW21" i="37" s="1"/>
  <c r="AU31" i="23"/>
  <c r="AW31" i="23" s="1"/>
  <c r="AR12" i="29"/>
  <c r="AU12" i="29" s="1"/>
  <c r="AZ13" i="16"/>
  <c r="AW40" i="23"/>
  <c r="A77" i="16"/>
  <c r="B77" i="16" s="1"/>
  <c r="B78" i="16" s="1"/>
  <c r="B79" i="16" s="1"/>
  <c r="B80" i="16" s="1"/>
  <c r="B81" i="16" s="1"/>
  <c r="B82" i="16" s="1"/>
  <c r="B83" i="16" s="1"/>
  <c r="B84" i="16" s="1"/>
  <c r="B85" i="16" s="1"/>
  <c r="AX52" i="16"/>
  <c r="AU26" i="29"/>
  <c r="AU45" i="29"/>
  <c r="AU26" i="31"/>
  <c r="AW14" i="37"/>
  <c r="AX49" i="38"/>
  <c r="BP49" i="38" s="1"/>
  <c r="BQ49" i="38" s="1"/>
  <c r="AY13" i="39"/>
  <c r="AW38" i="23"/>
  <c r="AU13" i="31"/>
  <c r="AX70" i="39"/>
  <c r="AW70" i="39"/>
  <c r="AT10" i="23"/>
  <c r="AU10" i="23" s="1"/>
  <c r="AW10" i="23" s="1"/>
  <c r="BE18" i="37"/>
  <c r="AU18" i="37" s="1"/>
  <c r="AV18" i="37"/>
  <c r="AV17" i="37"/>
  <c r="BE17" i="37"/>
  <c r="AU17" i="37" s="1"/>
  <c r="BB34" i="39"/>
  <c r="BC34" i="39" s="1"/>
  <c r="BD34" i="39" s="1"/>
  <c r="BC28" i="39"/>
  <c r="BD28" i="39" s="1"/>
  <c r="AU10" i="33"/>
  <c r="AW25" i="22"/>
  <c r="AY10" i="39"/>
  <c r="AU7" i="23"/>
  <c r="AW7" i="23" s="1"/>
  <c r="AY12" i="39"/>
  <c r="AR11" i="33"/>
  <c r="AU11" i="33" s="1"/>
  <c r="AR46" i="29"/>
  <c r="AU46" i="29" s="1"/>
  <c r="AU10" i="31"/>
  <c r="BA47" i="10"/>
  <c r="BC47" i="10" s="1"/>
  <c r="BG3" i="10" s="1"/>
  <c r="AU36" i="31"/>
  <c r="AG64" i="38"/>
  <c r="BJ64" i="38" s="1"/>
  <c r="AZ12" i="16"/>
  <c r="AU38" i="31"/>
  <c r="BG16" i="39"/>
  <c r="AW16" i="39" s="1"/>
  <c r="AX16" i="39"/>
  <c r="BB36" i="39"/>
  <c r="BC36" i="39" s="1"/>
  <c r="BD36" i="39" s="1"/>
  <c r="BC30" i="39"/>
  <c r="BD30" i="39" s="1"/>
  <c r="AV16" i="37"/>
  <c r="BE16" i="37"/>
  <c r="AU16" i="37" s="1"/>
  <c r="BC33" i="39"/>
  <c r="BD33" i="39" s="1"/>
  <c r="BA12" i="10"/>
  <c r="BC12" i="10" s="1"/>
  <c r="BF40" i="39"/>
  <c r="AX40" i="39" s="1"/>
  <c r="BG40" i="39"/>
  <c r="C95" i="38"/>
  <c r="G95" i="38" s="1"/>
  <c r="BE95" i="38"/>
  <c r="BF95" i="38" s="1"/>
  <c r="B96" i="38"/>
  <c r="AB139" i="38"/>
  <c r="AC139" i="38" s="1"/>
  <c r="AC138" i="38"/>
  <c r="A96" i="38"/>
  <c r="AU47" i="31"/>
  <c r="BA13" i="38"/>
  <c r="AU44" i="29"/>
  <c r="AU12" i="31"/>
  <c r="AU15" i="29"/>
  <c r="AU51" i="29"/>
  <c r="AZ16" i="16"/>
  <c r="AX61" i="38"/>
  <c r="BP61" i="38" s="1"/>
  <c r="BQ61" i="38" s="1"/>
  <c r="BJ61" i="38"/>
  <c r="BI59" i="38"/>
  <c r="BI58" i="38" s="1"/>
  <c r="AY58" i="38" s="1"/>
  <c r="AX15" i="38"/>
  <c r="BA15" i="38" s="1"/>
  <c r="AU44" i="33"/>
  <c r="AW38" i="22"/>
  <c r="BG53" i="39"/>
  <c r="AW53" i="39" s="1"/>
  <c r="AX53" i="39"/>
  <c r="AW45" i="39"/>
  <c r="AS26" i="33"/>
  <c r="AU26" i="33" s="1"/>
  <c r="AU43" i="37"/>
  <c r="AS48" i="31"/>
  <c r="AT48" i="31"/>
  <c r="BA12" i="38"/>
  <c r="AZ17" i="16"/>
  <c r="BF18" i="39"/>
  <c r="AW18" i="39" s="1"/>
  <c r="AY18" i="39" s="1"/>
  <c r="AW34" i="22"/>
  <c r="AU9" i="33"/>
  <c r="AS36" i="33"/>
  <c r="AU15" i="31"/>
  <c r="AR21" i="29"/>
  <c r="AU21" i="29" s="1"/>
  <c r="AS35" i="33"/>
  <c r="AT35" i="33"/>
  <c r="AU42" i="22"/>
  <c r="AW42" i="22" s="1"/>
  <c r="BA14" i="38"/>
  <c r="AR11" i="29"/>
  <c r="AU11" i="29" s="1"/>
  <c r="AW40" i="22"/>
  <c r="AU27" i="33"/>
  <c r="BG46" i="16"/>
  <c r="AB31" i="29"/>
  <c r="AC31" i="29" s="1"/>
  <c r="AR31" i="29" s="1"/>
  <c r="AU31" i="29" s="1"/>
  <c r="AB37" i="29"/>
  <c r="AC35" i="29"/>
  <c r="AR35" i="29" s="1"/>
  <c r="AG33" i="38"/>
  <c r="AC36" i="33"/>
  <c r="AR36" i="33" s="1"/>
  <c r="AB38" i="33"/>
  <c r="AC38" i="33" s="1"/>
  <c r="AR38" i="33" s="1"/>
  <c r="AU38" i="33" s="1"/>
  <c r="AR33" i="29"/>
  <c r="AU33" i="29" s="1"/>
  <c r="BD89" i="38"/>
  <c r="BD35" i="38"/>
  <c r="BD33" i="38"/>
  <c r="BD100" i="38"/>
  <c r="BD34" i="38"/>
  <c r="AT43" i="31"/>
  <c r="AS43" i="31"/>
  <c r="BE33" i="37"/>
  <c r="BD33" i="37"/>
  <c r="AV33" i="37" s="1"/>
  <c r="AU11" i="22"/>
  <c r="AW11" i="22" s="1"/>
  <c r="BD38" i="37"/>
  <c r="AV38" i="37" s="1"/>
  <c r="BE38" i="37"/>
  <c r="BE73" i="37"/>
  <c r="AU73" i="37" s="1"/>
  <c r="AV73" i="37"/>
  <c r="AT44" i="31"/>
  <c r="AS44" i="31"/>
  <c r="B76" i="37"/>
  <c r="BG50" i="39"/>
  <c r="AW50" i="39" s="1"/>
  <c r="AX50" i="39"/>
  <c r="AW13" i="37"/>
  <c r="BN67" i="39"/>
  <c r="BD67" i="39"/>
  <c r="BF67" i="39" s="1"/>
  <c r="BG67" i="39" s="1"/>
  <c r="AW67" i="39" s="1"/>
  <c r="AX17" i="39"/>
  <c r="BG17" i="39"/>
  <c r="AW17" i="39" s="1"/>
  <c r="AT46" i="33"/>
  <c r="AS46" i="33"/>
  <c r="AT42" i="33"/>
  <c r="AS42" i="33"/>
  <c r="AU22" i="29"/>
  <c r="AY14" i="39"/>
  <c r="AV35" i="37"/>
  <c r="AU37" i="31"/>
  <c r="AT51" i="33"/>
  <c r="AS51" i="33"/>
  <c r="AW39" i="22"/>
  <c r="AX52" i="39"/>
  <c r="BG52" i="39"/>
  <c r="AW52" i="39" s="1"/>
  <c r="AH132" i="38"/>
  <c r="BE29" i="37"/>
  <c r="AU29" i="37" s="1"/>
  <c r="AD91" i="37" s="1"/>
  <c r="AV29" i="37"/>
  <c r="AF35" i="38"/>
  <c r="AR35" i="33"/>
  <c r="AZ4" i="33" s="1"/>
  <c r="AZ5" i="33" s="1"/>
  <c r="BG51" i="16"/>
  <c r="AW51" i="16" s="1"/>
  <c r="BL21" i="16"/>
  <c r="AV21" i="16"/>
  <c r="BN60" i="16"/>
  <c r="AV60" i="16"/>
  <c r="X62" i="12"/>
  <c r="Y62" i="12" s="1"/>
  <c r="X61" i="12"/>
  <c r="Y61" i="12" s="1"/>
  <c r="Y59" i="12"/>
  <c r="X58" i="12"/>
  <c r="Y58" i="12" s="1"/>
  <c r="X60" i="12"/>
  <c r="Y60" i="12" s="1"/>
  <c r="BH65" i="16"/>
  <c r="AW65" i="16" s="1"/>
  <c r="AK50" i="16"/>
  <c r="AH51" i="16"/>
  <c r="Y17" i="12"/>
  <c r="AT69" i="12" s="1"/>
  <c r="BB67" i="37"/>
  <c r="BD67" i="37" s="1"/>
  <c r="BE67" i="37" s="1"/>
  <c r="AU67" i="37" s="1"/>
  <c r="AW67" i="37" s="1"/>
  <c r="BF67" i="37"/>
  <c r="BG4" i="10"/>
  <c r="BE64" i="16"/>
  <c r="BG64" i="16" s="1"/>
  <c r="AY64" i="16" s="1"/>
  <c r="D37" i="37"/>
  <c r="BA31" i="37"/>
  <c r="E31" i="37"/>
  <c r="BD51" i="39"/>
  <c r="BF51" i="39" s="1"/>
  <c r="BJ42" i="39"/>
  <c r="D42" i="39"/>
  <c r="BH75" i="16"/>
  <c r="AW75" i="16" s="1"/>
  <c r="AX75" i="16"/>
  <c r="BI53" i="16"/>
  <c r="BJ50" i="38"/>
  <c r="AX50" i="38"/>
  <c r="BI35" i="39"/>
  <c r="AY70" i="38"/>
  <c r="AZ70" i="38"/>
  <c r="AY61" i="38"/>
  <c r="AZ39" i="38"/>
  <c r="AY18" i="38"/>
  <c r="BA18" i="38" s="1"/>
  <c r="AZ45" i="38"/>
  <c r="AY27" i="38"/>
  <c r="BK34" i="16"/>
  <c r="AV55" i="37"/>
  <c r="BE55" i="37"/>
  <c r="AU55" i="37" s="1"/>
  <c r="BG61" i="39"/>
  <c r="AW61" i="39" s="1"/>
  <c r="AX61" i="39"/>
  <c r="AE13" i="29"/>
  <c r="AG13" i="29" s="1"/>
  <c r="AQ13" i="29" s="1"/>
  <c r="AZ13" i="29"/>
  <c r="AS13" i="29" s="1"/>
  <c r="AY13" i="29"/>
  <c r="AR18" i="29"/>
  <c r="AU18" i="29" s="1"/>
  <c r="BH27" i="10"/>
  <c r="BM62" i="16"/>
  <c r="AZ4" i="31"/>
  <c r="AZ5" i="31" s="1"/>
  <c r="AU35" i="31"/>
  <c r="BI34" i="39"/>
  <c r="BI17" i="38"/>
  <c r="AY17" i="38" s="1"/>
  <c r="AZ17" i="38"/>
  <c r="AB81" i="37"/>
  <c r="X80" i="37"/>
  <c r="AE80" i="37" s="1"/>
  <c r="AJ80" i="37"/>
  <c r="D80" i="37" s="1"/>
  <c r="AH80" i="37"/>
  <c r="BB61" i="37"/>
  <c r="BD61" i="37" s="1"/>
  <c r="BL44" i="38"/>
  <c r="F44" i="38"/>
  <c r="BA23" i="10"/>
  <c r="BC23" i="10" s="1"/>
  <c r="AE35" i="37"/>
  <c r="AD36" i="37"/>
  <c r="AE36" i="37" s="1"/>
  <c r="BI36" i="39"/>
  <c r="AU27" i="37"/>
  <c r="O5" i="33"/>
  <c r="BI59" i="16"/>
  <c r="AS45" i="31"/>
  <c r="AT45" i="31"/>
  <c r="AU10" i="29"/>
  <c r="AD93" i="37"/>
  <c r="AT10" i="37"/>
  <c r="AW10" i="37" s="1"/>
  <c r="BL67" i="38"/>
  <c r="BL69" i="38" s="1"/>
  <c r="AX67" i="38"/>
  <c r="AR20" i="29"/>
  <c r="AU20" i="29" s="1"/>
  <c r="BB56" i="37"/>
  <c r="BD56" i="37" s="1"/>
  <c r="K19" i="10"/>
  <c r="BH19" i="10"/>
  <c r="BK36" i="16"/>
  <c r="AT33" i="33"/>
  <c r="AS33" i="33"/>
  <c r="P13" i="29"/>
  <c r="B75" i="39"/>
  <c r="B76" i="39" s="1"/>
  <c r="B77" i="39" s="1"/>
  <c r="B78" i="39" s="1"/>
  <c r="B79" i="39" s="1"/>
  <c r="B80" i="39" s="1"/>
  <c r="B81" i="39" s="1"/>
  <c r="B82" i="39" s="1"/>
  <c r="B83" i="39" s="1"/>
  <c r="A76" i="39"/>
  <c r="BA55" i="10"/>
  <c r="BC55" i="10" s="1"/>
  <c r="BK31" i="38"/>
  <c r="BA30" i="37"/>
  <c r="D36" i="37"/>
  <c r="E30" i="37"/>
  <c r="B20" i="39"/>
  <c r="E20" i="39" s="1"/>
  <c r="BC20" i="39"/>
  <c r="BD20" i="39" s="1"/>
  <c r="BG20" i="39" s="1"/>
  <c r="BF20" i="39" s="1"/>
  <c r="BH58" i="39"/>
  <c r="BG73" i="39"/>
  <c r="AW73" i="39" s="1"/>
  <c r="AX73" i="39"/>
  <c r="E31" i="39"/>
  <c r="D37" i="39"/>
  <c r="BC31" i="39"/>
  <c r="AZ43" i="38"/>
  <c r="BM87" i="38"/>
  <c r="Z87" i="38"/>
  <c r="AD88" i="38"/>
  <c r="AU87" i="38"/>
  <c r="AP87" i="38"/>
  <c r="AN87" i="38" s="1"/>
  <c r="BL87" i="38" s="1"/>
  <c r="AK87" i="38"/>
  <c r="BI82" i="38"/>
  <c r="BH82" i="38"/>
  <c r="BH70" i="39"/>
  <c r="BK35" i="16"/>
  <c r="BI37" i="39"/>
  <c r="AY43" i="38"/>
  <c r="BF19" i="39"/>
  <c r="AW19" i="39"/>
  <c r="AY19" i="39" s="1"/>
  <c r="B21" i="39"/>
  <c r="E21" i="39" s="1"/>
  <c r="A24" i="39"/>
  <c r="BC21" i="39"/>
  <c r="BD21" i="39" s="1"/>
  <c r="BG21" i="39" s="1"/>
  <c r="BF21" i="39" s="1"/>
  <c r="AK52" i="38"/>
  <c r="AD53" i="38"/>
  <c r="AN52" i="38"/>
  <c r="F52" i="38" s="1"/>
  <c r="G52" i="38" s="1"/>
  <c r="BE52" i="38" s="1"/>
  <c r="BF52" i="38" s="1"/>
  <c r="BH52" i="38" s="1"/>
  <c r="Z52" i="38"/>
  <c r="AG52" i="38" s="1"/>
  <c r="BM52" i="38"/>
  <c r="AE32" i="33"/>
  <c r="AG32" i="33" s="1"/>
  <c r="AQ32" i="33" s="1"/>
  <c r="AY32" i="33"/>
  <c r="AZ32" i="33"/>
  <c r="BB58" i="37"/>
  <c r="BD58" i="37" s="1"/>
  <c r="BK64" i="16"/>
  <c r="BJ51" i="38"/>
  <c r="AX51" i="38"/>
  <c r="AS46" i="31"/>
  <c r="AT46" i="31"/>
  <c r="BA27" i="10"/>
  <c r="BC27" i="10" s="1"/>
  <c r="B27" i="39"/>
  <c r="E27" i="39" s="1"/>
  <c r="BC27" i="39"/>
  <c r="BD27" i="39" s="1"/>
  <c r="BK61" i="16"/>
  <c r="AU61" i="16"/>
  <c r="BB28" i="37"/>
  <c r="BG56" i="39"/>
  <c r="AW56" i="39" s="1"/>
  <c r="BK44" i="38"/>
  <c r="AT37" i="33"/>
  <c r="AS37" i="33"/>
  <c r="B51" i="31"/>
  <c r="AZ51" i="31" s="1"/>
  <c r="AT51" i="31" s="1"/>
  <c r="AY51" i="31"/>
  <c r="BK42" i="16"/>
  <c r="AV46" i="37"/>
  <c r="AD92" i="37" s="1"/>
  <c r="B44" i="39"/>
  <c r="E44" i="39" s="1"/>
  <c r="BC44" i="39"/>
  <c r="BD60" i="39"/>
  <c r="BF60" i="39" s="1"/>
  <c r="BH84" i="38"/>
  <c r="BI84" i="38"/>
  <c r="AU46" i="37"/>
  <c r="BO37" i="38"/>
  <c r="AX37" i="38"/>
  <c r="BA37" i="38" s="1"/>
  <c r="AS9" i="31"/>
  <c r="AU9" i="31" s="1"/>
  <c r="AW6" i="31"/>
  <c r="BA34" i="37"/>
  <c r="BI69" i="16"/>
  <c r="AT8" i="23"/>
  <c r="AU8" i="23" s="1"/>
  <c r="AW8" i="23" s="1"/>
  <c r="AU47" i="29"/>
  <c r="C75" i="38"/>
  <c r="BI42" i="39"/>
  <c r="BI33" i="39"/>
  <c r="BN33" i="39" s="1"/>
  <c r="BO33" i="39" s="1"/>
  <c r="B58" i="39"/>
  <c r="E58" i="39" s="1"/>
  <c r="BC58" i="39"/>
  <c r="BD58" i="39" s="1"/>
  <c r="BF58" i="39" s="1"/>
  <c r="C37" i="22"/>
  <c r="BB37" i="22" s="1"/>
  <c r="AV37" i="22" s="1"/>
  <c r="AW37" i="22" s="1"/>
  <c r="BA37" i="22"/>
  <c r="BH42" i="38"/>
  <c r="AZ42" i="38" s="1"/>
  <c r="BI42" i="38"/>
  <c r="AD4" i="33"/>
  <c r="AT30" i="33"/>
  <c r="AU30" i="33" s="1"/>
  <c r="AT9" i="23"/>
  <c r="AU9" i="23" s="1"/>
  <c r="AW9" i="23" s="1"/>
  <c r="AU21" i="22"/>
  <c r="AW21" i="22" s="1"/>
  <c r="AG3" i="22"/>
  <c r="BH71" i="39"/>
  <c r="AV71" i="39"/>
  <c r="AW41" i="39" l="1"/>
  <c r="BG25" i="39"/>
  <c r="AW25" i="39" s="1"/>
  <c r="BF25" i="39"/>
  <c r="AX25" i="39" s="1"/>
  <c r="G74" i="38"/>
  <c r="BE74" i="38" s="1"/>
  <c r="BF74" i="38" s="1"/>
  <c r="BH74" i="38" s="1"/>
  <c r="BI74" i="38" s="1"/>
  <c r="AY74" i="38" s="1"/>
  <c r="G73" i="38"/>
  <c r="BE73" i="38" s="1"/>
  <c r="BF73" i="38" s="1"/>
  <c r="BH73" i="38" s="1"/>
  <c r="BI73" i="38" s="1"/>
  <c r="AY73" i="38" s="1"/>
  <c r="BG30" i="39"/>
  <c r="BF30" i="39"/>
  <c r="AW46" i="39"/>
  <c r="AR32" i="33"/>
  <c r="BG38" i="39"/>
  <c r="BF38" i="39"/>
  <c r="AX38" i="39" s="1"/>
  <c r="AY59" i="38"/>
  <c r="AX61" i="16"/>
  <c r="AY61" i="16"/>
  <c r="AV53" i="16"/>
  <c r="AV45" i="12"/>
  <c r="AG73" i="37" s="1"/>
  <c r="AG79" i="37" s="1"/>
  <c r="AI79" i="37" s="1"/>
  <c r="AS79" i="37" s="1"/>
  <c r="AT79" i="37" s="1"/>
  <c r="AV54" i="16"/>
  <c r="AB39" i="33"/>
  <c r="AC39" i="33" s="1"/>
  <c r="AR39" i="33" s="1"/>
  <c r="AU39" i="33" s="1"/>
  <c r="AB36" i="29"/>
  <c r="AB38" i="29" s="1"/>
  <c r="AC38" i="29" s="1"/>
  <c r="AR38" i="29" s="1"/>
  <c r="AU38" i="29" s="1"/>
  <c r="AB32" i="29"/>
  <c r="AC32" i="29" s="1"/>
  <c r="AR32" i="29" s="1"/>
  <c r="AU32" i="29" s="1"/>
  <c r="AE38" i="16"/>
  <c r="AX57" i="12"/>
  <c r="AG56" i="39" s="1"/>
  <c r="AJ56" i="39" s="1"/>
  <c r="AU56" i="39" s="1"/>
  <c r="AI67" i="38"/>
  <c r="AW34" i="16"/>
  <c r="AV59" i="16"/>
  <c r="E75" i="37"/>
  <c r="BA75" i="37" s="1"/>
  <c r="BB75" i="37" s="1"/>
  <c r="BD75" i="37" s="1"/>
  <c r="BE75" i="37" s="1"/>
  <c r="AU75" i="37" s="1"/>
  <c r="AU47" i="37"/>
  <c r="F32" i="38"/>
  <c r="G32" i="38" s="1"/>
  <c r="AZ40" i="38"/>
  <c r="AU42" i="37"/>
  <c r="AW38" i="16"/>
  <c r="B50" i="16"/>
  <c r="E50" i="16" s="1"/>
  <c r="BD50" i="16" s="1"/>
  <c r="BE50" i="16" s="1"/>
  <c r="BG50" i="16" s="1"/>
  <c r="BH50" i="16" s="1"/>
  <c r="AW50" i="16" s="1"/>
  <c r="AX34" i="16"/>
  <c r="BG43" i="16"/>
  <c r="AY43" i="16" s="1"/>
  <c r="BH33" i="16"/>
  <c r="AW33" i="16" s="1"/>
  <c r="AX46" i="16"/>
  <c r="AD94" i="16" s="1"/>
  <c r="AY46" i="16"/>
  <c r="AX60" i="16"/>
  <c r="AY60" i="16"/>
  <c r="BH63" i="16"/>
  <c r="AW63" i="16" s="1"/>
  <c r="AY63" i="16"/>
  <c r="BG62" i="16"/>
  <c r="BH62" i="16" s="1"/>
  <c r="AW62" i="16" s="1"/>
  <c r="AX45" i="16"/>
  <c r="AY45" i="16"/>
  <c r="AX63" i="16"/>
  <c r="AX53" i="16"/>
  <c r="AY53" i="16"/>
  <c r="AV52" i="16"/>
  <c r="AX54" i="16"/>
  <c r="AY54" i="16"/>
  <c r="AX47" i="12"/>
  <c r="AX33" i="16"/>
  <c r="AY33" i="16"/>
  <c r="BG25" i="16"/>
  <c r="AX25" i="16" s="1"/>
  <c r="BG41" i="16"/>
  <c r="BE32" i="38"/>
  <c r="BF32" i="38" s="1"/>
  <c r="BI32" i="38" s="1"/>
  <c r="E28" i="16"/>
  <c r="AV55" i="16"/>
  <c r="BP30" i="16"/>
  <c r="BQ30" i="16" s="1"/>
  <c r="AZ60" i="38"/>
  <c r="BH29" i="38"/>
  <c r="AZ29" i="38" s="1"/>
  <c r="AZ18" i="16"/>
  <c r="BG5" i="10"/>
  <c r="BH5" i="10" s="1"/>
  <c r="AW43" i="39"/>
  <c r="BH53" i="16"/>
  <c r="AW53" i="16" s="1"/>
  <c r="AV63" i="16"/>
  <c r="BN63" i="16"/>
  <c r="BH55" i="16"/>
  <c r="AW55" i="16" s="1"/>
  <c r="AX55" i="16"/>
  <c r="BE34" i="38"/>
  <c r="BF34" i="38" s="1"/>
  <c r="BI34" i="38" s="1"/>
  <c r="AV67" i="12"/>
  <c r="AB82" i="16"/>
  <c r="AI81" i="16"/>
  <c r="X81" i="16"/>
  <c r="AE81" i="16" s="1"/>
  <c r="AL81" i="16"/>
  <c r="D81" i="16" s="1"/>
  <c r="BI29" i="16"/>
  <c r="BG47" i="16"/>
  <c r="AY28" i="38"/>
  <c r="BG30" i="16"/>
  <c r="AX30" i="16" s="1"/>
  <c r="BH30" i="16"/>
  <c r="BK56" i="16"/>
  <c r="AU56" i="16"/>
  <c r="AB58" i="16"/>
  <c r="AI57" i="16"/>
  <c r="X57" i="16"/>
  <c r="AE57" i="16" s="1"/>
  <c r="AL57" i="16"/>
  <c r="AV68" i="12"/>
  <c r="D56" i="16"/>
  <c r="E56" i="16" s="1"/>
  <c r="BD56" i="16" s="1"/>
  <c r="BE56" i="16" s="1"/>
  <c r="BG56" i="16" s="1"/>
  <c r="BL56" i="16"/>
  <c r="AV44" i="12"/>
  <c r="AG52" i="37" s="1"/>
  <c r="AI52" i="37" s="1"/>
  <c r="AS52" i="37" s="1"/>
  <c r="AT52" i="37" s="1"/>
  <c r="BF52" i="37" s="1"/>
  <c r="AN31" i="16"/>
  <c r="AL31" i="16" s="1"/>
  <c r="X31" i="16"/>
  <c r="AS31" i="16"/>
  <c r="AI31" i="16"/>
  <c r="BK31" i="16" s="1"/>
  <c r="BM31" i="16"/>
  <c r="AE31" i="16"/>
  <c r="BI31" i="16" s="1"/>
  <c r="D29" i="16"/>
  <c r="BL29" i="16"/>
  <c r="AN38" i="16"/>
  <c r="AL38" i="16" s="1"/>
  <c r="BL38" i="16" s="1"/>
  <c r="AS65" i="16"/>
  <c r="AS64" i="16"/>
  <c r="AU64" i="16" s="1"/>
  <c r="AV64" i="16" s="1"/>
  <c r="AI38" i="16"/>
  <c r="AS38" i="16"/>
  <c r="BN38" i="16"/>
  <c r="X38" i="16"/>
  <c r="AG52" i="39"/>
  <c r="AJ52" i="39" s="1"/>
  <c r="BK52" i="39" s="1"/>
  <c r="BH54" i="16"/>
  <c r="AW54" i="16" s="1"/>
  <c r="AX53" i="12"/>
  <c r="AG58" i="16" s="1"/>
  <c r="BG24" i="16"/>
  <c r="AX24" i="16" s="1"/>
  <c r="BM57" i="16"/>
  <c r="D36" i="16"/>
  <c r="E36" i="16" s="1"/>
  <c r="BD36" i="16" s="1"/>
  <c r="BE36" i="16" s="1"/>
  <c r="BH36" i="16" s="1"/>
  <c r="E30" i="16"/>
  <c r="E35" i="39"/>
  <c r="BC35" i="39"/>
  <c r="BD35" i="39" s="1"/>
  <c r="AV43" i="12"/>
  <c r="AG56" i="16"/>
  <c r="AV56" i="12"/>
  <c r="BG27" i="16"/>
  <c r="AX27" i="16" s="1"/>
  <c r="BH60" i="16"/>
  <c r="AW60" i="16" s="1"/>
  <c r="AX58" i="12"/>
  <c r="AW20" i="16"/>
  <c r="AZ20" i="16" s="1"/>
  <c r="AW40" i="39"/>
  <c r="AX64" i="12"/>
  <c r="BH45" i="16"/>
  <c r="AW45" i="16" s="1"/>
  <c r="AG72" i="16"/>
  <c r="AJ72" i="16" s="1"/>
  <c r="BM72" i="16" s="1"/>
  <c r="BM74" i="16" s="1"/>
  <c r="AX61" i="12"/>
  <c r="AG69" i="16"/>
  <c r="AJ69" i="16" s="1"/>
  <c r="AU69" i="16" s="1"/>
  <c r="AV62" i="12"/>
  <c r="AG67" i="39"/>
  <c r="AJ67" i="39" s="1"/>
  <c r="AU67" i="39" s="1"/>
  <c r="AG70" i="39"/>
  <c r="AJ70" i="39" s="1"/>
  <c r="AU70" i="39" s="1"/>
  <c r="AX54" i="12"/>
  <c r="BG42" i="16"/>
  <c r="B43" i="16"/>
  <c r="AV63" i="12"/>
  <c r="AX63" i="12"/>
  <c r="AX49" i="12"/>
  <c r="AG59" i="16"/>
  <c r="AV50" i="12"/>
  <c r="AG64" i="37"/>
  <c r="AI64" i="37" s="1"/>
  <c r="AS64" i="37" s="1"/>
  <c r="AT64" i="37" s="1"/>
  <c r="BF64" i="37" s="1"/>
  <c r="AG63" i="37"/>
  <c r="AI63" i="37" s="1"/>
  <c r="AS63" i="37" s="1"/>
  <c r="AT63" i="37" s="1"/>
  <c r="AW63" i="37" s="1"/>
  <c r="Y116" i="37" s="1"/>
  <c r="AG53" i="16"/>
  <c r="AG51" i="39"/>
  <c r="AJ51" i="39" s="1"/>
  <c r="BK51" i="39" s="1"/>
  <c r="AV55" i="12"/>
  <c r="AG53" i="37" s="1"/>
  <c r="AI53" i="37" s="1"/>
  <c r="AS53" i="37" s="1"/>
  <c r="AT53" i="37" s="1"/>
  <c r="BF53" i="37" s="1"/>
  <c r="AX55" i="12"/>
  <c r="AX66" i="12"/>
  <c r="AX51" i="12"/>
  <c r="AX59" i="12"/>
  <c r="AY9" i="12"/>
  <c r="BD9" i="12"/>
  <c r="AW10" i="12"/>
  <c r="AV60" i="12"/>
  <c r="AX52" i="12"/>
  <c r="AV46" i="12"/>
  <c r="AG51" i="37" s="1"/>
  <c r="AI51" i="37" s="1"/>
  <c r="AS51" i="37" s="1"/>
  <c r="AT51" i="37" s="1"/>
  <c r="BF51" i="37" s="1"/>
  <c r="AX65" i="12"/>
  <c r="AY42" i="38"/>
  <c r="BI41" i="38"/>
  <c r="AY41" i="38" s="1"/>
  <c r="BH41" i="38"/>
  <c r="AZ41" i="38" s="1"/>
  <c r="AN75" i="38"/>
  <c r="F75" i="38" s="1"/>
  <c r="AK75" i="38"/>
  <c r="AD76" i="38"/>
  <c r="BI46" i="38"/>
  <c r="AY46" i="38" s="1"/>
  <c r="BE24" i="38"/>
  <c r="BF24" i="38" s="1"/>
  <c r="G24" i="38"/>
  <c r="AY67" i="38"/>
  <c r="BA67" i="38" s="1"/>
  <c r="BP44" i="38"/>
  <c r="BQ44" i="38" s="1"/>
  <c r="G29" i="38"/>
  <c r="AY82" i="38"/>
  <c r="BA82" i="38" s="1"/>
  <c r="BP64" i="38"/>
  <c r="BI25" i="38"/>
  <c r="AY25" i="38" s="1"/>
  <c r="BH25" i="38"/>
  <c r="AZ25" i="38" s="1"/>
  <c r="AY19" i="38"/>
  <c r="BA19" i="38" s="1"/>
  <c r="BH19" i="38"/>
  <c r="AN88" i="38"/>
  <c r="BL86" i="38"/>
  <c r="BE30" i="38"/>
  <c r="BF30" i="38" s="1"/>
  <c r="BI30" i="38" s="1"/>
  <c r="G30" i="38"/>
  <c r="BE33" i="38"/>
  <c r="AF134" i="38" s="1"/>
  <c r="AG134" i="38" s="1"/>
  <c r="BP84" i="38"/>
  <c r="BQ84" i="38" s="1"/>
  <c r="BR84" i="38" s="1"/>
  <c r="AK34" i="38"/>
  <c r="AP34" i="38"/>
  <c r="Z34" i="38"/>
  <c r="AD35" i="38"/>
  <c r="AU34" i="38"/>
  <c r="AF99" i="38"/>
  <c r="AF100" i="38" s="1"/>
  <c r="AF86" i="38"/>
  <c r="AG86" i="38" s="1"/>
  <c r="BJ86" i="38" s="1"/>
  <c r="G31" i="38"/>
  <c r="BE31" i="38"/>
  <c r="BF31" i="38" s="1"/>
  <c r="AC36" i="29"/>
  <c r="AR36" i="29" s="1"/>
  <c r="AU36" i="29" s="1"/>
  <c r="C35" i="38"/>
  <c r="G34" i="38"/>
  <c r="C85" i="38"/>
  <c r="B86" i="38"/>
  <c r="G85" i="38"/>
  <c r="BE85" i="38"/>
  <c r="BF85" i="38" s="1"/>
  <c r="BD5" i="12"/>
  <c r="BD6" i="12" s="1"/>
  <c r="BF6" i="12" s="1"/>
  <c r="AX38" i="12" s="1"/>
  <c r="AY5" i="12"/>
  <c r="A78" i="16"/>
  <c r="E78" i="16" s="1"/>
  <c r="BD78" i="16" s="1"/>
  <c r="BE78" i="16" s="1"/>
  <c r="BG78" i="16" s="1"/>
  <c r="BH78" i="16" s="1"/>
  <c r="AW78" i="16" s="1"/>
  <c r="AF31" i="38"/>
  <c r="AG30" i="38"/>
  <c r="BJ30" i="38" s="1"/>
  <c r="BP30" i="38" s="1"/>
  <c r="BQ30" i="38" s="1"/>
  <c r="AX48" i="12"/>
  <c r="AV48" i="12"/>
  <c r="AW17" i="37"/>
  <c r="AW18" i="37"/>
  <c r="BG28" i="39"/>
  <c r="BF28" i="39"/>
  <c r="AX28" i="39" s="1"/>
  <c r="BG34" i="39"/>
  <c r="BF34" i="39"/>
  <c r="AX34" i="39" s="1"/>
  <c r="AU33" i="37"/>
  <c r="AY16" i="39"/>
  <c r="BG2" i="10"/>
  <c r="AX30" i="39"/>
  <c r="BG36" i="39"/>
  <c r="BF36" i="39"/>
  <c r="AX36" i="39" s="1"/>
  <c r="AW16" i="37"/>
  <c r="BF33" i="39"/>
  <c r="AX33" i="39" s="1"/>
  <c r="BG33" i="39"/>
  <c r="AT41" i="12"/>
  <c r="AT39" i="12" s="1"/>
  <c r="AT42" i="12"/>
  <c r="BI95" i="38"/>
  <c r="BH95" i="38"/>
  <c r="B97" i="38"/>
  <c r="C96" i="38"/>
  <c r="G96" i="38" s="1"/>
  <c r="BE96" i="38"/>
  <c r="A97" i="38"/>
  <c r="AU44" i="31"/>
  <c r="AU33" i="33"/>
  <c r="BA17" i="38"/>
  <c r="AU46" i="33"/>
  <c r="AU36" i="33"/>
  <c r="AU48" i="31"/>
  <c r="AU51" i="33"/>
  <c r="AU43" i="31"/>
  <c r="E75" i="39"/>
  <c r="BC75" i="39" s="1"/>
  <c r="BD75" i="39" s="1"/>
  <c r="BF75" i="39" s="1"/>
  <c r="BG75" i="39" s="1"/>
  <c r="AW75" i="39" s="1"/>
  <c r="AW46" i="16"/>
  <c r="AU42" i="33"/>
  <c r="AU38" i="37"/>
  <c r="AZ4" i="29"/>
  <c r="AZ5" i="29" s="1"/>
  <c r="AU35" i="29"/>
  <c r="AC37" i="29"/>
  <c r="AR37" i="29" s="1"/>
  <c r="AU37" i="29" s="1"/>
  <c r="AB39" i="29"/>
  <c r="AC39" i="29" s="1"/>
  <c r="AR39" i="29" s="1"/>
  <c r="AU39" i="29" s="1"/>
  <c r="AU35" i="33"/>
  <c r="AY17" i="39"/>
  <c r="B77" i="37"/>
  <c r="E76" i="37"/>
  <c r="BA76" i="37" s="1"/>
  <c r="BB76" i="37" s="1"/>
  <c r="BD76" i="37" s="1"/>
  <c r="BE76" i="37" s="1"/>
  <c r="AU76" i="37" s="1"/>
  <c r="AR13" i="29"/>
  <c r="AU13" i="29" s="1"/>
  <c r="AU46" i="31"/>
  <c r="AU45" i="31"/>
  <c r="AU37" i="33"/>
  <c r="A79" i="37"/>
  <c r="AS51" i="31"/>
  <c r="AU51" i="31" s="1"/>
  <c r="AK139" i="38"/>
  <c r="AI52" i="38"/>
  <c r="AI49" i="38"/>
  <c r="AI35" i="38" s="1"/>
  <c r="AI59" i="38"/>
  <c r="AG63" i="16"/>
  <c r="AI92" i="38"/>
  <c r="AI57" i="38"/>
  <c r="AG61" i="39"/>
  <c r="AJ61" i="39" s="1"/>
  <c r="AG50" i="39"/>
  <c r="AJ50" i="39" s="1"/>
  <c r="AG64" i="16"/>
  <c r="AI58" i="38"/>
  <c r="AG62" i="16"/>
  <c r="AI51" i="38"/>
  <c r="AG59" i="39"/>
  <c r="AJ59" i="39" s="1"/>
  <c r="AG52" i="16"/>
  <c r="AG58" i="39"/>
  <c r="AJ58" i="39" s="1"/>
  <c r="AG60" i="16"/>
  <c r="AI53" i="38"/>
  <c r="AI54" i="38"/>
  <c r="AI91" i="38"/>
  <c r="AI55" i="38"/>
  <c r="AI50" i="38"/>
  <c r="AG62" i="39"/>
  <c r="AJ62" i="39" s="1"/>
  <c r="AI56" i="38"/>
  <c r="AG60" i="39"/>
  <c r="AJ60" i="39" s="1"/>
  <c r="AG75" i="16"/>
  <c r="AG81" i="16" s="1"/>
  <c r="AJ81" i="16" s="1"/>
  <c r="AU81" i="16" s="1"/>
  <c r="AV81" i="16" s="1"/>
  <c r="AG58" i="37"/>
  <c r="AI58" i="37" s="1"/>
  <c r="AS58" i="37" s="1"/>
  <c r="AT58" i="37" s="1"/>
  <c r="BF58" i="37" s="1"/>
  <c r="AI70" i="38"/>
  <c r="AI76" i="38" s="1"/>
  <c r="AL76" i="38" s="1"/>
  <c r="AG50" i="37"/>
  <c r="AI50" i="37" s="1"/>
  <c r="AS50" i="37" s="1"/>
  <c r="AT50" i="37" s="1"/>
  <c r="AG61" i="37"/>
  <c r="AI61" i="37" s="1"/>
  <c r="AS61" i="37" s="1"/>
  <c r="AT61" i="37" s="1"/>
  <c r="BF61" i="37" s="1"/>
  <c r="AG73" i="39"/>
  <c r="AG60" i="37"/>
  <c r="AI60" i="37" s="1"/>
  <c r="AS60" i="37" s="1"/>
  <c r="AT60" i="37" s="1"/>
  <c r="BP21" i="16"/>
  <c r="BQ21" i="16" s="1"/>
  <c r="AZ21" i="16"/>
  <c r="AX69" i="12"/>
  <c r="AG55" i="39" s="1"/>
  <c r="AJ55" i="39" s="1"/>
  <c r="AV69" i="12"/>
  <c r="AG55" i="37" s="1"/>
  <c r="AI55" i="37" s="1"/>
  <c r="AS55" i="37" s="1"/>
  <c r="AT55" i="37" s="1"/>
  <c r="AZ75" i="16"/>
  <c r="AG54" i="37"/>
  <c r="AI54" i="37" s="1"/>
  <c r="AS54" i="37" s="1"/>
  <c r="AT54" i="37" s="1"/>
  <c r="BM50" i="16"/>
  <c r="AU50" i="16"/>
  <c r="E77" i="16"/>
  <c r="BD77" i="16" s="1"/>
  <c r="BE77" i="16" s="1"/>
  <c r="BG77" i="16" s="1"/>
  <c r="BH77" i="16" s="1"/>
  <c r="AW77" i="16" s="1"/>
  <c r="BK52" i="38"/>
  <c r="AW52" i="38"/>
  <c r="BL52" i="38" s="1"/>
  <c r="BH72" i="39"/>
  <c r="BG58" i="39"/>
  <c r="AW58" i="39" s="1"/>
  <c r="AX58" i="39"/>
  <c r="AW21" i="39"/>
  <c r="AY21" i="39" s="1"/>
  <c r="AW20" i="39"/>
  <c r="AY20" i="39" s="1"/>
  <c r="BP51" i="38"/>
  <c r="BQ51" i="38" s="1"/>
  <c r="BC24" i="39"/>
  <c r="BD24" i="39" s="1"/>
  <c r="E24" i="39"/>
  <c r="BK87" i="38"/>
  <c r="BG51" i="39"/>
  <c r="AW51" i="39" s="1"/>
  <c r="AX51" i="39"/>
  <c r="AY84" i="38"/>
  <c r="AZ84" i="38"/>
  <c r="BH85" i="38"/>
  <c r="AU88" i="38"/>
  <c r="Z88" i="38"/>
  <c r="AD89" i="38"/>
  <c r="AP88" i="38"/>
  <c r="AG88" i="38"/>
  <c r="AK88" i="38"/>
  <c r="E36" i="37"/>
  <c r="BA36" i="37"/>
  <c r="BB31" i="37"/>
  <c r="AG99" i="37"/>
  <c r="AU54" i="39"/>
  <c r="BK54" i="39"/>
  <c r="BB30" i="37"/>
  <c r="BE44" i="38"/>
  <c r="BF44" i="38" s="1"/>
  <c r="G44" i="38"/>
  <c r="E37" i="37"/>
  <c r="BA37" i="37"/>
  <c r="BN62" i="16"/>
  <c r="AV62" i="16"/>
  <c r="BE80" i="38"/>
  <c r="BF80" i="38" s="1"/>
  <c r="BH80" i="38" s="1"/>
  <c r="BI80" i="38" s="1"/>
  <c r="AY80" i="38" s="1"/>
  <c r="AS32" i="33"/>
  <c r="AT32" i="33"/>
  <c r="BD44" i="39"/>
  <c r="BF44" i="39" s="1"/>
  <c r="BH66" i="16"/>
  <c r="AW66" i="16" s="1"/>
  <c r="AX66" i="16"/>
  <c r="BE61" i="37"/>
  <c r="AU61" i="37" s="1"/>
  <c r="AV61" i="37"/>
  <c r="AX64" i="16"/>
  <c r="BH64" i="16"/>
  <c r="AW64" i="16" s="1"/>
  <c r="BD31" i="39"/>
  <c r="BP50" i="38"/>
  <c r="BQ50" i="38" s="1"/>
  <c r="BN71" i="39"/>
  <c r="BO71" i="39" s="1"/>
  <c r="AY71" i="39"/>
  <c r="BG28" i="16"/>
  <c r="BH28" i="16"/>
  <c r="BC37" i="39"/>
  <c r="E37" i="39"/>
  <c r="E76" i="39"/>
  <c r="BC76" i="39" s="1"/>
  <c r="BD76" i="39" s="1"/>
  <c r="BF76" i="39" s="1"/>
  <c r="BG76" i="39" s="1"/>
  <c r="AW76" i="39" s="1"/>
  <c r="A77" i="39"/>
  <c r="AU57" i="39"/>
  <c r="BK57" i="39"/>
  <c r="BE56" i="37"/>
  <c r="AU56" i="37" s="1"/>
  <c r="AV56" i="37"/>
  <c r="AW69" i="37"/>
  <c r="Z5" i="37"/>
  <c r="C76" i="38"/>
  <c r="C77" i="38" s="1"/>
  <c r="C78" i="38" s="1"/>
  <c r="C79" i="38" s="1"/>
  <c r="G75" i="38"/>
  <c r="BE75" i="38" s="1"/>
  <c r="BF75" i="38" s="1"/>
  <c r="BH75" i="38" s="1"/>
  <c r="BI75" i="38" s="1"/>
  <c r="AY75" i="38" s="1"/>
  <c r="BF29" i="38"/>
  <c r="AF133" i="38"/>
  <c r="AG133" i="38" s="1"/>
  <c r="BF56" i="37"/>
  <c r="BB34" i="37"/>
  <c r="BN61" i="16"/>
  <c r="AV61" i="16"/>
  <c r="BE58" i="37"/>
  <c r="AU58" i="37" s="1"/>
  <c r="AV58" i="37"/>
  <c r="BH59" i="16"/>
  <c r="AW59" i="16" s="1"/>
  <c r="AX59" i="16"/>
  <c r="BE28" i="37"/>
  <c r="BD28" i="37"/>
  <c r="AV28" i="37" s="1"/>
  <c r="AX60" i="39"/>
  <c r="BG60" i="39"/>
  <c r="AW60" i="39" s="1"/>
  <c r="BJ52" i="38"/>
  <c r="BP67" i="38"/>
  <c r="BM64" i="38"/>
  <c r="AW64" i="38"/>
  <c r="BG27" i="39"/>
  <c r="BF27" i="39"/>
  <c r="AX27" i="39" s="1"/>
  <c r="AH122" i="38"/>
  <c r="BI52" i="38"/>
  <c r="AY52" i="38" s="1"/>
  <c r="AZ52" i="38"/>
  <c r="AX44" i="16"/>
  <c r="BH44" i="16"/>
  <c r="AW44" i="16" s="1"/>
  <c r="BM53" i="38"/>
  <c r="Z53" i="38"/>
  <c r="AG53" i="38" s="1"/>
  <c r="AD54" i="38"/>
  <c r="AN53" i="38"/>
  <c r="F53" i="38" s="1"/>
  <c r="G53" i="38" s="1"/>
  <c r="BE53" i="38" s="1"/>
  <c r="BF53" i="38" s="1"/>
  <c r="BH53" i="38" s="1"/>
  <c r="AK53" i="38"/>
  <c r="AH81" i="37"/>
  <c r="X81" i="37"/>
  <c r="AE81" i="37" s="1"/>
  <c r="AJ81" i="37"/>
  <c r="D81" i="37" s="1"/>
  <c r="E42" i="39"/>
  <c r="BC42" i="39"/>
  <c r="F107" i="12" l="1"/>
  <c r="Z68" i="33"/>
  <c r="Z70" i="33" s="1"/>
  <c r="AY25" i="39"/>
  <c r="BK56" i="39"/>
  <c r="AW38" i="39"/>
  <c r="AZ61" i="16"/>
  <c r="AG62" i="37"/>
  <c r="AI62" i="37" s="1"/>
  <c r="AS62" i="37" s="1"/>
  <c r="AT62" i="37" s="1"/>
  <c r="BG40" i="16"/>
  <c r="AY40" i="16" s="1"/>
  <c r="AW43" i="16"/>
  <c r="AX43" i="16"/>
  <c r="AZ52" i="16"/>
  <c r="Y106" i="16" s="1"/>
  <c r="AW24" i="16"/>
  <c r="AZ24" i="16" s="1"/>
  <c r="BI29" i="38"/>
  <c r="AY29" i="38" s="1"/>
  <c r="AH133" i="38"/>
  <c r="AZ63" i="16"/>
  <c r="Y116" i="16" s="1"/>
  <c r="AU52" i="39"/>
  <c r="AV52" i="39" s="1"/>
  <c r="AX41" i="16"/>
  <c r="AY41" i="16"/>
  <c r="AX42" i="16"/>
  <c r="AY42" i="16"/>
  <c r="AW52" i="37"/>
  <c r="Y106" i="37" s="1"/>
  <c r="AW41" i="16"/>
  <c r="AX56" i="16"/>
  <c r="AY56" i="16"/>
  <c r="AX62" i="16"/>
  <c r="AY62" i="16"/>
  <c r="AW25" i="16"/>
  <c r="AZ25" i="16" s="1"/>
  <c r="AX47" i="16"/>
  <c r="AY47" i="16"/>
  <c r="AZ59" i="16"/>
  <c r="AZ64" i="16"/>
  <c r="AZ55" i="16"/>
  <c r="Y109" i="16" s="1"/>
  <c r="AZ54" i="16"/>
  <c r="Y108" i="16" s="1"/>
  <c r="AZ60" i="16"/>
  <c r="Y114" i="16" s="1"/>
  <c r="AZ53" i="16"/>
  <c r="Y107" i="16" s="1"/>
  <c r="AW47" i="16"/>
  <c r="BN64" i="16"/>
  <c r="AW30" i="16"/>
  <c r="BG36" i="16"/>
  <c r="AY36" i="16" s="1"/>
  <c r="BH56" i="16"/>
  <c r="AW56" i="16" s="1"/>
  <c r="AB83" i="16"/>
  <c r="X82" i="16"/>
  <c r="AE82" i="16" s="1"/>
  <c r="AL82" i="16"/>
  <c r="D82" i="16" s="1"/>
  <c r="AI82" i="16"/>
  <c r="BP29" i="16"/>
  <c r="BQ29" i="16" s="1"/>
  <c r="AS66" i="16"/>
  <c r="AU66" i="16" s="1"/>
  <c r="AU65" i="16"/>
  <c r="D35" i="16"/>
  <c r="E35" i="16" s="1"/>
  <c r="BD35" i="16" s="1"/>
  <c r="BE35" i="16" s="1"/>
  <c r="BG35" i="16" s="1"/>
  <c r="BD29" i="16"/>
  <c r="BE29" i="16" s="1"/>
  <c r="BG29" i="16" s="1"/>
  <c r="E29" i="16"/>
  <c r="D31" i="16"/>
  <c r="BL31" i="16"/>
  <c r="BP31" i="16" s="1"/>
  <c r="BQ31" i="16" s="1"/>
  <c r="BL57" i="16"/>
  <c r="D57" i="16"/>
  <c r="E57" i="16" s="1"/>
  <c r="BD57" i="16" s="1"/>
  <c r="BE57" i="16" s="1"/>
  <c r="BG57" i="16" s="1"/>
  <c r="AY57" i="16" s="1"/>
  <c r="BI57" i="16"/>
  <c r="BK57" i="16"/>
  <c r="AU57" i="16"/>
  <c r="BN57" i="16" s="1"/>
  <c r="AI58" i="16"/>
  <c r="AL58" i="16"/>
  <c r="X58" i="16"/>
  <c r="AE58" i="16" s="1"/>
  <c r="BM58" i="16"/>
  <c r="BN56" i="16"/>
  <c r="AV56" i="16"/>
  <c r="BK67" i="39"/>
  <c r="BO67" i="39" s="1"/>
  <c r="BG35" i="39"/>
  <c r="BF35" i="39"/>
  <c r="BK70" i="39"/>
  <c r="BK72" i="39" s="1"/>
  <c r="BM69" i="16"/>
  <c r="AU51" i="39"/>
  <c r="BJ51" i="39" s="1"/>
  <c r="AU72" i="16"/>
  <c r="BL72" i="16" s="1"/>
  <c r="BL74" i="16" s="1"/>
  <c r="AW27" i="16"/>
  <c r="AW42" i="16"/>
  <c r="BA25" i="38"/>
  <c r="BQ64" i="38"/>
  <c r="BF33" i="38"/>
  <c r="BH33" i="38" s="1"/>
  <c r="AH134" i="38" s="1"/>
  <c r="AW64" i="37"/>
  <c r="Y117" i="37" s="1"/>
  <c r="BF63" i="37"/>
  <c r="AW53" i="37"/>
  <c r="Y107" i="37" s="1"/>
  <c r="AG66" i="16"/>
  <c r="AG64" i="39"/>
  <c r="AJ64" i="39" s="1"/>
  <c r="AG63" i="39"/>
  <c r="AJ63" i="39" s="1"/>
  <c r="AI60" i="38"/>
  <c r="AI61" i="38"/>
  <c r="AG65" i="16"/>
  <c r="AI93" i="38"/>
  <c r="AI94" i="38"/>
  <c r="AG57" i="37"/>
  <c r="AI57" i="37" s="1"/>
  <c r="AS57" i="37" s="1"/>
  <c r="AT57" i="37" s="1"/>
  <c r="AG59" i="37"/>
  <c r="AI59" i="37" s="1"/>
  <c r="AS59" i="37" s="1"/>
  <c r="AT59" i="37" s="1"/>
  <c r="BD10" i="12"/>
  <c r="BD12" i="12" s="1"/>
  <c r="BF12" i="12" s="1"/>
  <c r="AY10" i="12"/>
  <c r="AG57" i="16"/>
  <c r="AG61" i="16"/>
  <c r="AG55" i="16"/>
  <c r="AG53" i="39"/>
  <c r="AJ53" i="39" s="1"/>
  <c r="A79" i="16"/>
  <c r="A80" i="16" s="1"/>
  <c r="AW51" i="37"/>
  <c r="Y105" i="37" s="1"/>
  <c r="BI24" i="38"/>
  <c r="AY24" i="38" s="1"/>
  <c r="BH24" i="38"/>
  <c r="AZ24" i="38" s="1"/>
  <c r="AD77" i="38"/>
  <c r="Z76" i="38"/>
  <c r="AG76" i="38" s="1"/>
  <c r="AN76" i="38"/>
  <c r="F76" i="38" s="1"/>
  <c r="AK76" i="38"/>
  <c r="AW76" i="38" s="1"/>
  <c r="AX76" i="38" s="1"/>
  <c r="BP86" i="38"/>
  <c r="BQ86" i="38" s="1"/>
  <c r="BH31" i="38"/>
  <c r="BI31" i="38"/>
  <c r="Z35" i="38"/>
  <c r="AP35" i="38"/>
  <c r="AN35" i="38" s="1"/>
  <c r="F35" i="38" s="1"/>
  <c r="AK35" i="38"/>
  <c r="AU35" i="38"/>
  <c r="AF87" i="38"/>
  <c r="AG87" i="38" s="1"/>
  <c r="BJ87" i="38" s="1"/>
  <c r="BP87" i="38" s="1"/>
  <c r="BQ87" i="38" s="1"/>
  <c r="AG35" i="38"/>
  <c r="B87" i="38"/>
  <c r="C86" i="38"/>
  <c r="G86" i="38" s="1"/>
  <c r="BE86" i="38"/>
  <c r="BF86" i="38" s="1"/>
  <c r="BI86" i="38" s="1"/>
  <c r="AZ3" i="12"/>
  <c r="BB3" i="12" s="1"/>
  <c r="BC3" i="12" s="1"/>
  <c r="AZ5" i="12"/>
  <c r="BB5" i="12" s="1"/>
  <c r="BC5" i="12" s="1"/>
  <c r="AZ9" i="12"/>
  <c r="BB9" i="12" s="1"/>
  <c r="BC9" i="12" s="1"/>
  <c r="AZ10" i="12"/>
  <c r="BB10" i="12" s="1"/>
  <c r="BC10" i="12" s="1"/>
  <c r="AZ4" i="12"/>
  <c r="BB4" i="12" s="1"/>
  <c r="BC4" i="12" s="1"/>
  <c r="AX39" i="12"/>
  <c r="AI42" i="38"/>
  <c r="AI28" i="38" s="1"/>
  <c r="AG43" i="16"/>
  <c r="AG28" i="16" s="1"/>
  <c r="AG34" i="16" s="1"/>
  <c r="AG40" i="16"/>
  <c r="AG27" i="16" s="1"/>
  <c r="AG33" i="16" s="1"/>
  <c r="AG38" i="16" s="1"/>
  <c r="AJ38" i="16" s="1"/>
  <c r="AX40" i="12"/>
  <c r="AG41" i="16"/>
  <c r="AX42" i="12"/>
  <c r="AG43" i="39"/>
  <c r="AG42" i="16"/>
  <c r="AX41" i="12"/>
  <c r="AX37" i="12"/>
  <c r="AK138" i="38"/>
  <c r="AG31" i="38"/>
  <c r="BJ31" i="38" s="1"/>
  <c r="BP31" i="38" s="1"/>
  <c r="BQ31" i="38" s="1"/>
  <c r="AX52" i="38"/>
  <c r="BP52" i="38" s="1"/>
  <c r="BQ52" i="38" s="1"/>
  <c r="AW33" i="39"/>
  <c r="AW34" i="39"/>
  <c r="AW28" i="39"/>
  <c r="AW36" i="39"/>
  <c r="AW30" i="39"/>
  <c r="AY95" i="38"/>
  <c r="C97" i="38"/>
  <c r="G97" i="38" s="1"/>
  <c r="B98" i="38"/>
  <c r="BE97" i="38"/>
  <c r="BF97" i="38" s="1"/>
  <c r="BI97" i="38" s="1"/>
  <c r="BF96" i="38"/>
  <c r="AF138" i="38"/>
  <c r="AG138" i="38" s="1"/>
  <c r="BH96" i="38"/>
  <c r="AH138" i="38" s="1"/>
  <c r="AZ95" i="38"/>
  <c r="A98" i="38"/>
  <c r="AU32" i="33"/>
  <c r="AW56" i="37"/>
  <c r="Y110" i="37" s="1"/>
  <c r="AW27" i="39"/>
  <c r="A80" i="37"/>
  <c r="B78" i="37"/>
  <c r="E77" i="37"/>
  <c r="BA77" i="37" s="1"/>
  <c r="BB77" i="37" s="1"/>
  <c r="BD77" i="37" s="1"/>
  <c r="BE77" i="37" s="1"/>
  <c r="AU77" i="37" s="1"/>
  <c r="AU62" i="39"/>
  <c r="BK62" i="39"/>
  <c r="AW55" i="37"/>
  <c r="Y109" i="37" s="1"/>
  <c r="BF55" i="37"/>
  <c r="BK55" i="39"/>
  <c r="AU55" i="39"/>
  <c r="AU58" i="39"/>
  <c r="BK58" i="39"/>
  <c r="AG21" i="16"/>
  <c r="AG22" i="16" s="1"/>
  <c r="AJ22" i="16" s="1"/>
  <c r="AU22" i="16" s="1"/>
  <c r="AV22" i="16" s="1"/>
  <c r="AZ22" i="16" s="1"/>
  <c r="AG50" i="16"/>
  <c r="AG51" i="16" s="1"/>
  <c r="AJ51" i="16" s="1"/>
  <c r="AU59" i="39"/>
  <c r="BK59" i="39"/>
  <c r="AV50" i="16"/>
  <c r="AZ50" i="16" s="1"/>
  <c r="BN50" i="16"/>
  <c r="AW60" i="37"/>
  <c r="Y114" i="37" s="1"/>
  <c r="BF60" i="37"/>
  <c r="AU50" i="39"/>
  <c r="BK50" i="39"/>
  <c r="BK61" i="39"/>
  <c r="AU61" i="39"/>
  <c r="BF54" i="37"/>
  <c r="AW54" i="37"/>
  <c r="Y108" i="37" s="1"/>
  <c r="AW62" i="37"/>
  <c r="BF62" i="37"/>
  <c r="AW50" i="37"/>
  <c r="Y104" i="37" s="1"/>
  <c r="BF50" i="37"/>
  <c r="AW61" i="37"/>
  <c r="Y115" i="37" s="1"/>
  <c r="AI73" i="37"/>
  <c r="AS73" i="37" s="1"/>
  <c r="AT73" i="37" s="1"/>
  <c r="AW73" i="37" s="1"/>
  <c r="AG76" i="37"/>
  <c r="AI76" i="37" s="1"/>
  <c r="AS76" i="37" s="1"/>
  <c r="AT76" i="37" s="1"/>
  <c r="AG80" i="37"/>
  <c r="AI80" i="37" s="1"/>
  <c r="AS80" i="37" s="1"/>
  <c r="AT80" i="37" s="1"/>
  <c r="AG82" i="37"/>
  <c r="AI82" i="37" s="1"/>
  <c r="AS82" i="37" s="1"/>
  <c r="AT82" i="37" s="1"/>
  <c r="AG81" i="37"/>
  <c r="AI81" i="37" s="1"/>
  <c r="AS81" i="37" s="1"/>
  <c r="AT81" i="37" s="1"/>
  <c r="AG83" i="37"/>
  <c r="AI83" i="37" s="1"/>
  <c r="AS83" i="37" s="1"/>
  <c r="AT83" i="37" s="1"/>
  <c r="AG78" i="37"/>
  <c r="AI78" i="37" s="1"/>
  <c r="AS78" i="37" s="1"/>
  <c r="AT78" i="37" s="1"/>
  <c r="AG77" i="37"/>
  <c r="AI77" i="37" s="1"/>
  <c r="AS77" i="37" s="1"/>
  <c r="AT77" i="37" s="1"/>
  <c r="BJ56" i="39"/>
  <c r="AV56" i="39"/>
  <c r="AL70" i="38"/>
  <c r="AW70" i="38" s="1"/>
  <c r="AX70" i="38" s="1"/>
  <c r="BA70" i="38" s="1"/>
  <c r="AI75" i="38"/>
  <c r="AL75" i="38" s="1"/>
  <c r="AW75" i="38" s="1"/>
  <c r="AX75" i="38" s="1"/>
  <c r="AI74" i="38"/>
  <c r="AL74" i="38" s="1"/>
  <c r="AW74" i="38" s="1"/>
  <c r="AX74" i="38" s="1"/>
  <c r="AI79" i="38"/>
  <c r="AL79" i="38" s="1"/>
  <c r="AW79" i="38" s="1"/>
  <c r="AX79" i="38" s="1"/>
  <c r="AI73" i="38"/>
  <c r="AL73" i="38" s="1"/>
  <c r="AW73" i="38" s="1"/>
  <c r="AX73" i="38" s="1"/>
  <c r="AI78" i="38"/>
  <c r="AL78" i="38" s="1"/>
  <c r="AI77" i="38"/>
  <c r="AL77" i="38" s="1"/>
  <c r="AI80" i="38"/>
  <c r="AL80" i="38" s="1"/>
  <c r="AW80" i="38" s="1"/>
  <c r="AX80" i="38" s="1"/>
  <c r="AG75" i="37"/>
  <c r="AI75" i="37" s="1"/>
  <c r="AS75" i="37" s="1"/>
  <c r="AT75" i="37" s="1"/>
  <c r="AI72" i="38"/>
  <c r="AL72" i="38" s="1"/>
  <c r="AW72" i="38" s="1"/>
  <c r="AX72" i="38" s="1"/>
  <c r="AG75" i="39"/>
  <c r="AJ75" i="39" s="1"/>
  <c r="AU75" i="39" s="1"/>
  <c r="AV75" i="39" s="1"/>
  <c r="AG76" i="39"/>
  <c r="AJ76" i="39" s="1"/>
  <c r="AU76" i="39" s="1"/>
  <c r="AV76" i="39" s="1"/>
  <c r="AG83" i="39"/>
  <c r="AJ83" i="39" s="1"/>
  <c r="AU83" i="39" s="1"/>
  <c r="AV83" i="39" s="1"/>
  <c r="AG79" i="39"/>
  <c r="AJ79" i="39" s="1"/>
  <c r="AU79" i="39" s="1"/>
  <c r="AV79" i="39" s="1"/>
  <c r="AJ73" i="39"/>
  <c r="AU73" i="39" s="1"/>
  <c r="AV73" i="39" s="1"/>
  <c r="AY73" i="39" s="1"/>
  <c r="AG78" i="39"/>
  <c r="AJ78" i="39" s="1"/>
  <c r="AU78" i="39" s="1"/>
  <c r="AV78" i="39" s="1"/>
  <c r="AG81" i="39"/>
  <c r="AJ81" i="39" s="1"/>
  <c r="AU81" i="39" s="1"/>
  <c r="AV81" i="39" s="1"/>
  <c r="AG82" i="39"/>
  <c r="AJ82" i="39" s="1"/>
  <c r="AU82" i="39" s="1"/>
  <c r="AV82" i="39" s="1"/>
  <c r="AG80" i="39"/>
  <c r="AJ80" i="39" s="1"/>
  <c r="AU80" i="39" s="1"/>
  <c r="AV80" i="39" s="1"/>
  <c r="AG77" i="39"/>
  <c r="AJ77" i="39" s="1"/>
  <c r="AU77" i="39" s="1"/>
  <c r="AV77" i="39" s="1"/>
  <c r="AG78" i="16"/>
  <c r="AJ78" i="16" s="1"/>
  <c r="AU78" i="16" s="1"/>
  <c r="AV78" i="16" s="1"/>
  <c r="AZ78" i="16" s="1"/>
  <c r="AG85" i="16"/>
  <c r="AJ85" i="16" s="1"/>
  <c r="AU85" i="16" s="1"/>
  <c r="AV85" i="16" s="1"/>
  <c r="AG79" i="16"/>
  <c r="AJ79" i="16" s="1"/>
  <c r="AU79" i="16" s="1"/>
  <c r="AV79" i="16" s="1"/>
  <c r="AG83" i="16"/>
  <c r="AJ83" i="16" s="1"/>
  <c r="AG82" i="16"/>
  <c r="AJ82" i="16" s="1"/>
  <c r="AG84" i="16"/>
  <c r="AJ84" i="16" s="1"/>
  <c r="AU84" i="16" s="1"/>
  <c r="AV84" i="16" s="1"/>
  <c r="AG80" i="16"/>
  <c r="AJ80" i="16" s="1"/>
  <c r="AU80" i="16" s="1"/>
  <c r="AV80" i="16" s="1"/>
  <c r="AG77" i="16"/>
  <c r="AJ77" i="16" s="1"/>
  <c r="AU77" i="16" s="1"/>
  <c r="AV77" i="16" s="1"/>
  <c r="AZ77" i="16" s="1"/>
  <c r="AU60" i="39"/>
  <c r="BK60" i="39"/>
  <c r="BD30" i="37"/>
  <c r="AV30" i="37" s="1"/>
  <c r="BE30" i="37"/>
  <c r="C80" i="38"/>
  <c r="G80" i="38" s="1"/>
  <c r="G79" i="38"/>
  <c r="BE79" i="38" s="1"/>
  <c r="BF79" i="38" s="1"/>
  <c r="BH79" i="38" s="1"/>
  <c r="BI79" i="38" s="1"/>
  <c r="AY79" i="38" s="1"/>
  <c r="A78" i="39"/>
  <c r="E77" i="39"/>
  <c r="BC77" i="39" s="1"/>
  <c r="BD77" i="39" s="1"/>
  <c r="BF77" i="39" s="1"/>
  <c r="BG77" i="39" s="1"/>
  <c r="AW77" i="39" s="1"/>
  <c r="AV54" i="39"/>
  <c r="BJ54" i="39"/>
  <c r="AW28" i="16"/>
  <c r="AX28" i="16"/>
  <c r="BG44" i="39"/>
  <c r="AW44" i="39" s="1"/>
  <c r="AX44" i="39"/>
  <c r="BG24" i="39"/>
  <c r="BF24" i="39"/>
  <c r="AX24" i="39" s="1"/>
  <c r="BL69" i="16"/>
  <c r="AV69" i="16"/>
  <c r="AZ69" i="16" s="1"/>
  <c r="BD31" i="37"/>
  <c r="AV31" i="37" s="1"/>
  <c r="AA92" i="37" s="1"/>
  <c r="BE31" i="37"/>
  <c r="BF31" i="39"/>
  <c r="BG31" i="39"/>
  <c r="BB36" i="37"/>
  <c r="G76" i="38"/>
  <c r="BE76" i="38" s="1"/>
  <c r="BF76" i="38" s="1"/>
  <c r="BH76" i="38" s="1"/>
  <c r="BI76" i="38" s="1"/>
  <c r="AY76" i="38" s="1"/>
  <c r="BD37" i="39"/>
  <c r="BD42" i="39"/>
  <c r="AU89" i="38"/>
  <c r="AD91" i="38"/>
  <c r="AK89" i="38"/>
  <c r="AP89" i="38"/>
  <c r="AN89" i="38" s="1"/>
  <c r="Z89" i="38"/>
  <c r="AG89" i="38"/>
  <c r="BD34" i="37"/>
  <c r="BE34" i="37"/>
  <c r="BB37" i="37"/>
  <c r="BI85" i="38"/>
  <c r="AY85" i="38" s="1"/>
  <c r="AZ85" i="38"/>
  <c r="BL64" i="38"/>
  <c r="AX64" i="38"/>
  <c r="BA64" i="38" s="1"/>
  <c r="AX40" i="16"/>
  <c r="BH40" i="16"/>
  <c r="AW40" i="16" s="1"/>
  <c r="BJ57" i="39"/>
  <c r="AV57" i="39"/>
  <c r="BK53" i="38"/>
  <c r="AW53" i="38"/>
  <c r="BL53" i="38" s="1"/>
  <c r="BA66" i="38"/>
  <c r="AB5" i="38"/>
  <c r="AU28" i="37"/>
  <c r="BI44" i="38"/>
  <c r="BH44" i="38"/>
  <c r="AZ44" i="38" s="1"/>
  <c r="AW58" i="37"/>
  <c r="Y112" i="37" s="1"/>
  <c r="AZ53" i="38"/>
  <c r="AH123" i="38"/>
  <c r="BI53" i="38"/>
  <c r="AY53" i="38" s="1"/>
  <c r="BQ67" i="38"/>
  <c r="BP69" i="38"/>
  <c r="BQ69" i="38" s="1"/>
  <c r="BJ67" i="39"/>
  <c r="AV67" i="39"/>
  <c r="AY67" i="39" s="1"/>
  <c r="Z54" i="38"/>
  <c r="AG54" i="38" s="1"/>
  <c r="AD55" i="38"/>
  <c r="AN54" i="38"/>
  <c r="F54" i="38" s="1"/>
  <c r="G54" i="38" s="1"/>
  <c r="BE54" i="38" s="1"/>
  <c r="BF54" i="38" s="1"/>
  <c r="BH54" i="38" s="1"/>
  <c r="AK54" i="38"/>
  <c r="BM54" i="38"/>
  <c r="BJ53" i="38"/>
  <c r="BJ70" i="39"/>
  <c r="BJ72" i="39" s="1"/>
  <c r="AV70" i="39"/>
  <c r="AW24" i="39" l="1"/>
  <c r="BJ52" i="39"/>
  <c r="BD67" i="16"/>
  <c r="BE67" i="16" s="1"/>
  <c r="BG67" i="16" s="1"/>
  <c r="BH67" i="16" s="1"/>
  <c r="AX36" i="16"/>
  <c r="AW36" i="16"/>
  <c r="AZ56" i="16"/>
  <c r="Y110" i="16" s="1"/>
  <c r="AV72" i="16"/>
  <c r="AZ72" i="16" s="1"/>
  <c r="AZ71" i="16" s="1"/>
  <c r="AZ62" i="16"/>
  <c r="Y118" i="16" s="1"/>
  <c r="AV51" i="39"/>
  <c r="AY51" i="39" s="1"/>
  <c r="Y105" i="39" s="1"/>
  <c r="AX35" i="16"/>
  <c r="AY35" i="16"/>
  <c r="AU82" i="16"/>
  <c r="AV82" i="16" s="1"/>
  <c r="AI83" i="16"/>
  <c r="AL83" i="16"/>
  <c r="D83" i="16" s="1"/>
  <c r="X83" i="16"/>
  <c r="AE83" i="16" s="1"/>
  <c r="BI58" i="16"/>
  <c r="D58" i="16"/>
  <c r="E58" i="16" s="1"/>
  <c r="BD58" i="16" s="1"/>
  <c r="BE58" i="16" s="1"/>
  <c r="BG58" i="16" s="1"/>
  <c r="AY58" i="16" s="1"/>
  <c r="BL58" i="16"/>
  <c r="BK58" i="16"/>
  <c r="AU58" i="16"/>
  <c r="BN58" i="16" s="1"/>
  <c r="AV57" i="16"/>
  <c r="AX57" i="16"/>
  <c r="BH57" i="16"/>
  <c r="AW57" i="16" s="1"/>
  <c r="D37" i="16"/>
  <c r="E37" i="16" s="1"/>
  <c r="BD37" i="16" s="1"/>
  <c r="BE37" i="16" s="1"/>
  <c r="BD31" i="16"/>
  <c r="BE31" i="16" s="1"/>
  <c r="E31" i="16"/>
  <c r="AX29" i="16"/>
  <c r="BH29" i="16"/>
  <c r="AW29" i="16" s="1"/>
  <c r="AD93" i="16" s="1"/>
  <c r="BH35" i="16"/>
  <c r="AW35" i="16" s="1"/>
  <c r="BN65" i="16"/>
  <c r="AV65" i="16"/>
  <c r="BN66" i="16"/>
  <c r="AV66" i="16"/>
  <c r="AZ66" i="16" s="1"/>
  <c r="AW35" i="39"/>
  <c r="AX35" i="39"/>
  <c r="BA24" i="38"/>
  <c r="BH32" i="38"/>
  <c r="AZ32" i="38" s="1"/>
  <c r="BI33" i="38"/>
  <c r="AY33" i="38" s="1"/>
  <c r="AZ33" i="38"/>
  <c r="AY31" i="38"/>
  <c r="BK53" i="39"/>
  <c r="AU53" i="39"/>
  <c r="E79" i="16"/>
  <c r="BD79" i="16" s="1"/>
  <c r="BE79" i="16" s="1"/>
  <c r="BG79" i="16" s="1"/>
  <c r="BH79" i="16" s="1"/>
  <c r="AW79" i="16" s="1"/>
  <c r="AZ79" i="16" s="1"/>
  <c r="AW59" i="37"/>
  <c r="BF59" i="37"/>
  <c r="AW57" i="37"/>
  <c r="Y111" i="37" s="1"/>
  <c r="BF57" i="37"/>
  <c r="AU63" i="39"/>
  <c r="BK63" i="39"/>
  <c r="BK64" i="39"/>
  <c r="AU64" i="39"/>
  <c r="Z77" i="38"/>
  <c r="AG77" i="38" s="1"/>
  <c r="AD78" i="38"/>
  <c r="AK77" i="38"/>
  <c r="AW77" i="38" s="1"/>
  <c r="AN77" i="38"/>
  <c r="F77" i="38" s="1"/>
  <c r="G77" i="38" s="1"/>
  <c r="BE77" i="38" s="1"/>
  <c r="BF77" i="38" s="1"/>
  <c r="BH77" i="38" s="1"/>
  <c r="BI77" i="38" s="1"/>
  <c r="AY77" i="38" s="1"/>
  <c r="BE35" i="38"/>
  <c r="BF35" i="38" s="1"/>
  <c r="G35" i="38"/>
  <c r="BH30" i="38"/>
  <c r="AZ31" i="38"/>
  <c r="C87" i="38"/>
  <c r="G87" i="38" s="1"/>
  <c r="B88" i="38"/>
  <c r="BE87" i="38"/>
  <c r="BF87" i="38" s="1"/>
  <c r="AG40" i="39"/>
  <c r="AI39" i="38"/>
  <c r="AI27" i="38" s="1"/>
  <c r="AI40" i="38"/>
  <c r="AG44" i="39"/>
  <c r="AI44" i="38"/>
  <c r="AI30" i="38" s="1"/>
  <c r="AI43" i="38"/>
  <c r="AI29" i="38" s="1"/>
  <c r="AG45" i="16"/>
  <c r="AG41" i="39"/>
  <c r="AJ41" i="39" s="1"/>
  <c r="BK41" i="39" s="1"/>
  <c r="BN41" i="39" s="1"/>
  <c r="BO41" i="39" s="1"/>
  <c r="AG45" i="39"/>
  <c r="AJ45" i="39" s="1"/>
  <c r="BK45" i="39" s="1"/>
  <c r="BN45" i="39" s="1"/>
  <c r="BO45" i="39" s="1"/>
  <c r="AG44" i="16"/>
  <c r="AG29" i="16" s="1"/>
  <c r="AG35" i="16" s="1"/>
  <c r="AG28" i="39"/>
  <c r="AJ43" i="39"/>
  <c r="BK43" i="39" s="1"/>
  <c r="BN43" i="39" s="1"/>
  <c r="BO43" i="39" s="1"/>
  <c r="AG47" i="39"/>
  <c r="AG47" i="16"/>
  <c r="AG31" i="16" s="1"/>
  <c r="AG37" i="16" s="1"/>
  <c r="AI46" i="38"/>
  <c r="AI32" i="38" s="1"/>
  <c r="AU38" i="16"/>
  <c r="AV38" i="16" s="1"/>
  <c r="AZ38" i="16" s="1"/>
  <c r="BM38" i="16"/>
  <c r="AI45" i="38"/>
  <c r="AI31" i="38" s="1"/>
  <c r="AG42" i="39"/>
  <c r="AJ42" i="39" s="1"/>
  <c r="BK42" i="39" s="1"/>
  <c r="BN42" i="39" s="1"/>
  <c r="BO42" i="39" s="1"/>
  <c r="AG46" i="16"/>
  <c r="AG30" i="16" s="1"/>
  <c r="AG36" i="16" s="1"/>
  <c r="AG46" i="39"/>
  <c r="AI41" i="38"/>
  <c r="BH4" i="12"/>
  <c r="BG4" i="12"/>
  <c r="BC12" i="12"/>
  <c r="BH10" i="12"/>
  <c r="BG10" i="12"/>
  <c r="BH9" i="12"/>
  <c r="BG9" i="12"/>
  <c r="BH5" i="12"/>
  <c r="BG5" i="12"/>
  <c r="AY75" i="39"/>
  <c r="BH3" i="12"/>
  <c r="BG3" i="12"/>
  <c r="BC6" i="12"/>
  <c r="AX53" i="38"/>
  <c r="BP53" i="38" s="1"/>
  <c r="BQ53" i="38" s="1"/>
  <c r="Y113" i="16"/>
  <c r="AW76" i="37"/>
  <c r="BA72" i="38"/>
  <c r="AZ96" i="38"/>
  <c r="BI96" i="38"/>
  <c r="AY96" i="38" s="1"/>
  <c r="C98" i="38"/>
  <c r="G98" i="38" s="1"/>
  <c r="B99" i="38"/>
  <c r="BE98" i="38"/>
  <c r="BF98" i="38" s="1"/>
  <c r="A99" i="38"/>
  <c r="AY24" i="39"/>
  <c r="AU30" i="37"/>
  <c r="B79" i="37"/>
  <c r="E78" i="37"/>
  <c r="BA78" i="37" s="1"/>
  <c r="BB78" i="37" s="1"/>
  <c r="BD78" i="37" s="1"/>
  <c r="BE78" i="37" s="1"/>
  <c r="AU78" i="37" s="1"/>
  <c r="AW78" i="37" s="1"/>
  <c r="A81" i="37"/>
  <c r="AW77" i="37"/>
  <c r="BJ50" i="39"/>
  <c r="AV50" i="39"/>
  <c r="BA73" i="38"/>
  <c r="BN56" i="39"/>
  <c r="BO56" i="39" s="1"/>
  <c r="AY56" i="39"/>
  <c r="Y110" i="39" s="1"/>
  <c r="AV59" i="39"/>
  <c r="BJ59" i="39"/>
  <c r="AU51" i="16"/>
  <c r="BM51" i="16"/>
  <c r="BJ58" i="39"/>
  <c r="AV58" i="39"/>
  <c r="BA79" i="38"/>
  <c r="BJ55" i="39"/>
  <c r="AV55" i="39"/>
  <c r="BA80" i="38"/>
  <c r="AW75" i="37"/>
  <c r="BJ60" i="39"/>
  <c r="AV60" i="39"/>
  <c r="BA74" i="38"/>
  <c r="BA75" i="38"/>
  <c r="BJ62" i="39"/>
  <c r="AV62" i="39"/>
  <c r="BA76" i="38"/>
  <c r="AY76" i="39"/>
  <c r="AY77" i="39"/>
  <c r="BJ61" i="39"/>
  <c r="AV61" i="39"/>
  <c r="BN57" i="39"/>
  <c r="BO57" i="39" s="1"/>
  <c r="AY57" i="39"/>
  <c r="AV34" i="37"/>
  <c r="AU31" i="37"/>
  <c r="AA91" i="37" s="1"/>
  <c r="BM91" i="38"/>
  <c r="AD92" i="38"/>
  <c r="AN91" i="38"/>
  <c r="F91" i="38" s="1"/>
  <c r="G91" i="38" s="1"/>
  <c r="BE91" i="38" s="1"/>
  <c r="BF91" i="38" s="1"/>
  <c r="Z91" i="38"/>
  <c r="AK91" i="38"/>
  <c r="AU91" i="38"/>
  <c r="AG91" i="38"/>
  <c r="BN54" i="39"/>
  <c r="BO54" i="39" s="1"/>
  <c r="AY54" i="39"/>
  <c r="Y108" i="39" s="1"/>
  <c r="BN52" i="39"/>
  <c r="BO52" i="39" s="1"/>
  <c r="AY52" i="39"/>
  <c r="Y106" i="39" s="1"/>
  <c r="A79" i="39"/>
  <c r="E78" i="39"/>
  <c r="BC78" i="39" s="1"/>
  <c r="BD78" i="39" s="1"/>
  <c r="BF78" i="39" s="1"/>
  <c r="BG78" i="39" s="1"/>
  <c r="AW78" i="39" s="1"/>
  <c r="AY78" i="39" s="1"/>
  <c r="BN70" i="39"/>
  <c r="AY70" i="39"/>
  <c r="BF42" i="39"/>
  <c r="BG42" i="39"/>
  <c r="AW42" i="39" s="1"/>
  <c r="BG37" i="39"/>
  <c r="BF37" i="39"/>
  <c r="BE37" i="37"/>
  <c r="BD37" i="37"/>
  <c r="BI54" i="38"/>
  <c r="AY54" i="38" s="1"/>
  <c r="AH124" i="38"/>
  <c r="AZ54" i="38"/>
  <c r="BK54" i="38"/>
  <c r="AW54" i="38"/>
  <c r="BL54" i="38" s="1"/>
  <c r="AY44" i="38"/>
  <c r="AN55" i="38"/>
  <c r="F55" i="38" s="1"/>
  <c r="G55" i="38" s="1"/>
  <c r="BE55" i="38" s="1"/>
  <c r="BF55" i="38" s="1"/>
  <c r="BH55" i="38" s="1"/>
  <c r="AD56" i="38"/>
  <c r="BM55" i="38"/>
  <c r="Z55" i="38"/>
  <c r="AG55" i="38" s="1"/>
  <c r="AK55" i="38"/>
  <c r="BE36" i="37"/>
  <c r="BD36" i="37"/>
  <c r="BJ54" i="38"/>
  <c r="A81" i="16"/>
  <c r="E80" i="16"/>
  <c r="BD80" i="16" s="1"/>
  <c r="BE80" i="16" s="1"/>
  <c r="BG80" i="16" s="1"/>
  <c r="BH80" i="16" s="1"/>
  <c r="AW80" i="16" s="1"/>
  <c r="AZ80" i="16" s="1"/>
  <c r="AW31" i="39"/>
  <c r="AA91" i="39" s="1"/>
  <c r="AU34" i="37"/>
  <c r="AX31" i="39"/>
  <c r="AA92" i="39" s="1"/>
  <c r="BN51" i="39" l="1"/>
  <c r="BO51" i="39" s="1"/>
  <c r="AZ65" i="16"/>
  <c r="Y117" i="16" s="1"/>
  <c r="AZ57" i="16"/>
  <c r="Y111" i="16" s="1"/>
  <c r="AU83" i="16"/>
  <c r="AV83" i="16" s="1"/>
  <c r="AY32" i="38"/>
  <c r="F124" i="12"/>
  <c r="BH31" i="16"/>
  <c r="BG31" i="16"/>
  <c r="AX31" i="16" s="1"/>
  <c r="AA94" i="16" s="1"/>
  <c r="BH37" i="16"/>
  <c r="BG37" i="16"/>
  <c r="AX58" i="16"/>
  <c r="BH58" i="16"/>
  <c r="AW58" i="16" s="1"/>
  <c r="AV58" i="16"/>
  <c r="BH12" i="12"/>
  <c r="AX77" i="38"/>
  <c r="BA65" i="37"/>
  <c r="BB65" i="37" s="1"/>
  <c r="BD65" i="37" s="1"/>
  <c r="BE65" i="37" s="1"/>
  <c r="AV64" i="39"/>
  <c r="BJ64" i="39"/>
  <c r="AV63" i="39"/>
  <c r="BJ63" i="39"/>
  <c r="BJ53" i="39"/>
  <c r="AV53" i="39"/>
  <c r="AZ30" i="38"/>
  <c r="AY30" i="38"/>
  <c r="BA77" i="38"/>
  <c r="Z78" i="38"/>
  <c r="AG78" i="38" s="1"/>
  <c r="AN78" i="38"/>
  <c r="F78" i="38" s="1"/>
  <c r="G78" i="38" s="1"/>
  <c r="BE78" i="38" s="1"/>
  <c r="BF78" i="38" s="1"/>
  <c r="BH78" i="38" s="1"/>
  <c r="BI78" i="38" s="1"/>
  <c r="AY78" i="38" s="1"/>
  <c r="AK78" i="38"/>
  <c r="AW78" i="38" s="1"/>
  <c r="BI35" i="38"/>
  <c r="BH35" i="38"/>
  <c r="BH87" i="38"/>
  <c r="BI87" i="38"/>
  <c r="C88" i="38"/>
  <c r="B89" i="38"/>
  <c r="G88" i="38"/>
  <c r="BE88" i="38"/>
  <c r="BF88" i="38" s="1"/>
  <c r="BI88" i="38" s="1"/>
  <c r="AG30" i="39"/>
  <c r="AJ46" i="39"/>
  <c r="BK46" i="39" s="1"/>
  <c r="BN46" i="39" s="1"/>
  <c r="BO46" i="39" s="1"/>
  <c r="AJ28" i="39"/>
  <c r="BK28" i="39" s="1"/>
  <c r="BN28" i="39" s="1"/>
  <c r="BO28" i="39" s="1"/>
  <c r="BP28" i="39" s="1"/>
  <c r="AG34" i="39"/>
  <c r="AJ34" i="39" s="1"/>
  <c r="BK34" i="39" s="1"/>
  <c r="BN34" i="39" s="1"/>
  <c r="BO34" i="39" s="1"/>
  <c r="AJ47" i="39"/>
  <c r="BK47" i="39" s="1"/>
  <c r="BN47" i="39" s="1"/>
  <c r="BO47" i="39" s="1"/>
  <c r="AG31" i="39"/>
  <c r="AJ44" i="39"/>
  <c r="BK44" i="39" s="1"/>
  <c r="BN44" i="39" s="1"/>
  <c r="BO44" i="39" s="1"/>
  <c r="AG29" i="39"/>
  <c r="BH6" i="12"/>
  <c r="BG6" i="12"/>
  <c r="AT24" i="12" s="1"/>
  <c r="BG12" i="12"/>
  <c r="AG27" i="39"/>
  <c r="AJ40" i="39"/>
  <c r="BK40" i="39" s="1"/>
  <c r="BN40" i="39" s="1"/>
  <c r="BO40" i="39" s="1"/>
  <c r="BH98" i="38"/>
  <c r="BI98" i="38"/>
  <c r="BE99" i="38"/>
  <c r="BF99" i="38" s="1"/>
  <c r="BI99" i="38" s="1"/>
  <c r="B100" i="38"/>
  <c r="C99" i="38"/>
  <c r="G99" i="38" s="1"/>
  <c r="A100" i="38"/>
  <c r="B80" i="37"/>
  <c r="E79" i="37"/>
  <c r="BA79" i="37" s="1"/>
  <c r="BB79" i="37" s="1"/>
  <c r="BD79" i="37" s="1"/>
  <c r="BE79" i="37" s="1"/>
  <c r="AU79" i="37" s="1"/>
  <c r="AW79" i="37" s="1"/>
  <c r="A82" i="37"/>
  <c r="BN62" i="39"/>
  <c r="BO62" i="39" s="1"/>
  <c r="AY62" i="39"/>
  <c r="BN58" i="39"/>
  <c r="BO58" i="39" s="1"/>
  <c r="AY58" i="39"/>
  <c r="AY60" i="39"/>
  <c r="BN60" i="39"/>
  <c r="BO60" i="39" s="1"/>
  <c r="AY55" i="39"/>
  <c r="Y109" i="39" s="1"/>
  <c r="BN55" i="39"/>
  <c r="BO55" i="39" s="1"/>
  <c r="AY59" i="39"/>
  <c r="BN59" i="39"/>
  <c r="BO59" i="39" s="1"/>
  <c r="BN61" i="39"/>
  <c r="BO61" i="39" s="1"/>
  <c r="AY61" i="39"/>
  <c r="AV51" i="16"/>
  <c r="AZ51" i="16" s="1"/>
  <c r="BN51" i="16"/>
  <c r="BN50" i="39"/>
  <c r="BO50" i="39" s="1"/>
  <c r="AY50" i="39"/>
  <c r="Y104" i="39" s="1"/>
  <c r="E79" i="39"/>
  <c r="BC79" i="39" s="1"/>
  <c r="BD79" i="39" s="1"/>
  <c r="BF79" i="39" s="1"/>
  <c r="BG79" i="39" s="1"/>
  <c r="AW79" i="39" s="1"/>
  <c r="AY79" i="39" s="1"/>
  <c r="A80" i="39"/>
  <c r="AX37" i="39"/>
  <c r="AV37" i="37"/>
  <c r="AX54" i="38"/>
  <c r="A82" i="16"/>
  <c r="E81" i="16"/>
  <c r="BD81" i="16" s="1"/>
  <c r="BE81" i="16" s="1"/>
  <c r="BG81" i="16" s="1"/>
  <c r="BH81" i="16" s="1"/>
  <c r="AW81" i="16" s="1"/>
  <c r="AZ81" i="16" s="1"/>
  <c r="AU37" i="37"/>
  <c r="BK91" i="38"/>
  <c r="AW91" i="38"/>
  <c r="BL91" i="38" s="1"/>
  <c r="AV36" i="37"/>
  <c r="AW37" i="39"/>
  <c r="AU36" i="37"/>
  <c r="BM92" i="38"/>
  <c r="AN92" i="38"/>
  <c r="F92" i="38" s="1"/>
  <c r="Z92" i="38"/>
  <c r="AD93" i="38"/>
  <c r="AG92" i="38"/>
  <c r="AK92" i="38"/>
  <c r="AU92" i="38"/>
  <c r="AW55" i="38"/>
  <c r="BL55" i="38" s="1"/>
  <c r="BK55" i="38"/>
  <c r="AX42" i="39"/>
  <c r="AD57" i="38"/>
  <c r="AK56" i="38"/>
  <c r="BM56" i="38"/>
  <c r="AN56" i="38"/>
  <c r="F56" i="38" s="1"/>
  <c r="G56" i="38" s="1"/>
  <c r="BE56" i="38" s="1"/>
  <c r="BF56" i="38" s="1"/>
  <c r="BH56" i="38" s="1"/>
  <c r="Z56" i="38"/>
  <c r="AG56" i="38" s="1"/>
  <c r="AH125" i="38"/>
  <c r="BI55" i="38"/>
  <c r="AY55" i="38" s="1"/>
  <c r="AZ55" i="38"/>
  <c r="BJ55" i="38"/>
  <c r="AY69" i="39"/>
  <c r="Z5" i="39"/>
  <c r="Y111" i="39"/>
  <c r="BJ91" i="38"/>
  <c r="BN72" i="39"/>
  <c r="BO72" i="39" s="1"/>
  <c r="BO70" i="39"/>
  <c r="Y119" i="16" l="1"/>
  <c r="AX37" i="16"/>
  <c r="AY37" i="16"/>
  <c r="AZ58" i="16"/>
  <c r="F112" i="12"/>
  <c r="F114" i="12"/>
  <c r="Y112" i="16"/>
  <c r="AW31" i="16"/>
  <c r="AA93" i="16" s="1"/>
  <c r="AW37" i="16"/>
  <c r="AY87" i="38"/>
  <c r="AX78" i="38"/>
  <c r="BA78" i="38" s="1"/>
  <c r="BN53" i="39"/>
  <c r="BO53" i="39" s="1"/>
  <c r="AY53" i="39"/>
  <c r="Y107" i="39" s="1"/>
  <c r="BN63" i="39"/>
  <c r="BO63" i="39" s="1"/>
  <c r="AY63" i="39"/>
  <c r="AY64" i="39"/>
  <c r="BN64" i="39"/>
  <c r="BO64" i="39" s="1"/>
  <c r="AY98" i="38"/>
  <c r="AX91" i="38"/>
  <c r="BP91" i="38" s="1"/>
  <c r="BQ91" i="38" s="1"/>
  <c r="AZ35" i="38"/>
  <c r="BH34" i="38"/>
  <c r="AH139" i="38"/>
  <c r="AY35" i="38"/>
  <c r="C89" i="38"/>
  <c r="G89" i="38" s="1"/>
  <c r="BE89" i="38"/>
  <c r="BF89" i="38" s="1"/>
  <c r="BH89" i="38" s="1"/>
  <c r="BH86" i="38"/>
  <c r="AZ87" i="38"/>
  <c r="AU38" i="12"/>
  <c r="AT23" i="12"/>
  <c r="AT28" i="12"/>
  <c r="AU42" i="12" s="1"/>
  <c r="AT27" i="12"/>
  <c r="AJ29" i="39"/>
  <c r="BK29" i="39" s="1"/>
  <c r="BN29" i="39" s="1"/>
  <c r="BO29" i="39" s="1"/>
  <c r="AG35" i="39"/>
  <c r="AJ35" i="39" s="1"/>
  <c r="BK35" i="39" s="1"/>
  <c r="BN35" i="39" s="1"/>
  <c r="BO35" i="39" s="1"/>
  <c r="AG33" i="39"/>
  <c r="AG38" i="39" s="1"/>
  <c r="AJ38" i="39" s="1"/>
  <c r="AJ27" i="39"/>
  <c r="BK27" i="39" s="1"/>
  <c r="BN27" i="39" s="1"/>
  <c r="BO27" i="39" s="1"/>
  <c r="AJ31" i="39"/>
  <c r="AG37" i="39"/>
  <c r="AJ37" i="39" s="1"/>
  <c r="AG36" i="39"/>
  <c r="AJ36" i="39" s="1"/>
  <c r="BK36" i="39" s="1"/>
  <c r="BN36" i="39" s="1"/>
  <c r="BO36" i="39" s="1"/>
  <c r="AJ30" i="39"/>
  <c r="BK30" i="39" s="1"/>
  <c r="BN30" i="39" s="1"/>
  <c r="BO30" i="39" s="1"/>
  <c r="C100" i="38"/>
  <c r="G100" i="38" s="1"/>
  <c r="BE100" i="38"/>
  <c r="AZ98" i="38"/>
  <c r="BH97" i="38"/>
  <c r="A83" i="37"/>
  <c r="B81" i="37"/>
  <c r="E80" i="37"/>
  <c r="BA80" i="37" s="1"/>
  <c r="BB80" i="37" s="1"/>
  <c r="BD80" i="37" s="1"/>
  <c r="BE80" i="37" s="1"/>
  <c r="AU80" i="37" s="1"/>
  <c r="AW80" i="37" s="1"/>
  <c r="BC65" i="39"/>
  <c r="BD65" i="39" s="1"/>
  <c r="BF65" i="39" s="1"/>
  <c r="BG65" i="39" s="1"/>
  <c r="Y116" i="39"/>
  <c r="Y114" i="39"/>
  <c r="BI56" i="38"/>
  <c r="AY56" i="38" s="1"/>
  <c r="AH126" i="38"/>
  <c r="AZ56" i="38"/>
  <c r="A83" i="16"/>
  <c r="E82" i="16"/>
  <c r="BD82" i="16" s="1"/>
  <c r="BE82" i="16" s="1"/>
  <c r="BG82" i="16" s="1"/>
  <c r="BH82" i="16" s="1"/>
  <c r="AW82" i="16" s="1"/>
  <c r="AZ82" i="16" s="1"/>
  <c r="Z57" i="38"/>
  <c r="AG57" i="38" s="1"/>
  <c r="AN57" i="38"/>
  <c r="F57" i="38" s="1"/>
  <c r="G57" i="38" s="1"/>
  <c r="BE57" i="38" s="1"/>
  <c r="BF57" i="38" s="1"/>
  <c r="BH57" i="38" s="1"/>
  <c r="AH127" i="38" s="1"/>
  <c r="BM57" i="38"/>
  <c r="AK57" i="38"/>
  <c r="A81" i="39"/>
  <c r="E80" i="39"/>
  <c r="BC80" i="39" s="1"/>
  <c r="BD80" i="39" s="1"/>
  <c r="BF80" i="39" s="1"/>
  <c r="BG80" i="39" s="1"/>
  <c r="AW80" i="39" s="1"/>
  <c r="AY80" i="39" s="1"/>
  <c r="BK56" i="38"/>
  <c r="AW56" i="38"/>
  <c r="BL56" i="38" s="1"/>
  <c r="BP54" i="38"/>
  <c r="BQ54" i="38" s="1"/>
  <c r="BJ56" i="38"/>
  <c r="G92" i="38"/>
  <c r="BE92" i="38"/>
  <c r="BM93" i="38"/>
  <c r="AU93" i="38"/>
  <c r="AK93" i="38"/>
  <c r="AD94" i="38"/>
  <c r="AG93" i="38"/>
  <c r="AN93" i="38"/>
  <c r="F93" i="38" s="1"/>
  <c r="Z93" i="38"/>
  <c r="BK92" i="38"/>
  <c r="AW92" i="38"/>
  <c r="BL92" i="38" s="1"/>
  <c r="BJ92" i="38"/>
  <c r="AX55" i="38"/>
  <c r="AX92" i="38" l="1"/>
  <c r="BP92" i="38" s="1"/>
  <c r="BQ92" i="38" s="1"/>
  <c r="Y117" i="39"/>
  <c r="Y115" i="39"/>
  <c r="AZ34" i="38"/>
  <c r="AY34" i="38"/>
  <c r="AX56" i="38"/>
  <c r="BP56" i="38" s="1"/>
  <c r="BQ56" i="38" s="1"/>
  <c r="AZ86" i="38"/>
  <c r="AY86" i="38"/>
  <c r="AZ89" i="38"/>
  <c r="BH88" i="38"/>
  <c r="BI89" i="38"/>
  <c r="AY89" i="38" s="1"/>
  <c r="BK37" i="39"/>
  <c r="BN37" i="39" s="1"/>
  <c r="BO37" i="39" s="1"/>
  <c r="AU41" i="12"/>
  <c r="AT25" i="12"/>
  <c r="AU39" i="12" s="1"/>
  <c r="AV42" i="12"/>
  <c r="AY42" i="12"/>
  <c r="BK31" i="39"/>
  <c r="BN31" i="39" s="1"/>
  <c r="BO31" i="39" s="1"/>
  <c r="BK38" i="39"/>
  <c r="BN38" i="39" s="1"/>
  <c r="BO38" i="39" s="1"/>
  <c r="AU38" i="39"/>
  <c r="AT26" i="12"/>
  <c r="AU40" i="12" s="1"/>
  <c r="AU37" i="12"/>
  <c r="AY38" i="12"/>
  <c r="AV38" i="12"/>
  <c r="AZ97" i="38"/>
  <c r="AY97" i="38"/>
  <c r="AF139" i="38"/>
  <c r="AG139" i="38" s="1"/>
  <c r="BF100" i="38"/>
  <c r="BH100" i="38" s="1"/>
  <c r="B82" i="37"/>
  <c r="E81" i="37"/>
  <c r="BA81" i="37" s="1"/>
  <c r="BB81" i="37" s="1"/>
  <c r="BD81" i="37" s="1"/>
  <c r="BE81" i="37" s="1"/>
  <c r="AU81" i="37" s="1"/>
  <c r="AW81" i="37" s="1"/>
  <c r="BA83" i="37"/>
  <c r="BB83" i="37" s="1"/>
  <c r="BD83" i="37" s="1"/>
  <c r="BE83" i="37" s="1"/>
  <c r="AU83" i="37" s="1"/>
  <c r="AW83" i="37" s="1"/>
  <c r="A84" i="16"/>
  <c r="E83" i="16"/>
  <c r="BD83" i="16" s="1"/>
  <c r="BE83" i="16" s="1"/>
  <c r="BG83" i="16" s="1"/>
  <c r="BH83" i="16" s="1"/>
  <c r="AW83" i="16" s="1"/>
  <c r="AZ83" i="16" s="1"/>
  <c r="BF92" i="38"/>
  <c r="BH92" i="38" s="1"/>
  <c r="AF136" i="38"/>
  <c r="BJ57" i="38"/>
  <c r="A82" i="39"/>
  <c r="E81" i="39"/>
  <c r="BC81" i="39" s="1"/>
  <c r="BD81" i="39" s="1"/>
  <c r="BF81" i="39" s="1"/>
  <c r="BG81" i="39" s="1"/>
  <c r="AW81" i="39" s="1"/>
  <c r="AY81" i="39" s="1"/>
  <c r="BI57" i="38"/>
  <c r="AY57" i="38" s="1"/>
  <c r="AZ57" i="38"/>
  <c r="BE93" i="38"/>
  <c r="BF93" i="38" s="1"/>
  <c r="G93" i="38"/>
  <c r="BP55" i="38"/>
  <c r="BQ55" i="38" s="1"/>
  <c r="BJ93" i="38"/>
  <c r="AD95" i="38"/>
  <c r="AK94" i="38"/>
  <c r="AU94" i="38"/>
  <c r="Z94" i="38"/>
  <c r="BM94" i="38"/>
  <c r="AN94" i="38"/>
  <c r="F94" i="38" s="1"/>
  <c r="AG94" i="38"/>
  <c r="BK57" i="38"/>
  <c r="AW57" i="38"/>
  <c r="BL57" i="38" s="1"/>
  <c r="BK93" i="38"/>
  <c r="AW93" i="38"/>
  <c r="AZ88" i="38" l="1"/>
  <c r="AY88" i="38"/>
  <c r="AG42" i="37"/>
  <c r="AI42" i="37" s="1"/>
  <c r="AS42" i="37" s="1"/>
  <c r="AT42" i="37" s="1"/>
  <c r="AG28" i="37"/>
  <c r="AH34" i="16"/>
  <c r="AH41" i="16"/>
  <c r="AK41" i="16" s="1"/>
  <c r="AH28" i="39"/>
  <c r="AK28" i="39" s="1"/>
  <c r="AJ42" i="38"/>
  <c r="AM42" i="38" s="1"/>
  <c r="AJ31" i="38"/>
  <c r="AM31" i="38" s="1"/>
  <c r="AH40" i="16"/>
  <c r="AK40" i="16" s="1"/>
  <c r="AJ85" i="38"/>
  <c r="AM85" i="38" s="1"/>
  <c r="AJ30" i="38"/>
  <c r="AM30" i="38" s="1"/>
  <c r="AJ29" i="38"/>
  <c r="AM29" i="38" s="1"/>
  <c r="AJ28" i="38"/>
  <c r="AM28" i="38" s="1"/>
  <c r="AH34" i="39"/>
  <c r="AK34" i="39" s="1"/>
  <c r="AJ84" i="38"/>
  <c r="AM84" i="38" s="1"/>
  <c r="AJ96" i="38"/>
  <c r="AM96" i="38" s="1"/>
  <c r="AH43" i="39"/>
  <c r="AK43" i="39" s="1"/>
  <c r="AH28" i="16"/>
  <c r="AK28" i="16" s="1"/>
  <c r="AH42" i="16"/>
  <c r="AK42" i="16" s="1"/>
  <c r="AJ95" i="38"/>
  <c r="AM95" i="38" s="1"/>
  <c r="BN95" i="38" s="1"/>
  <c r="AH43" i="16"/>
  <c r="AK43" i="16" s="1"/>
  <c r="AV38" i="39"/>
  <c r="AY38" i="39" s="1"/>
  <c r="BM38" i="39"/>
  <c r="AH31" i="39"/>
  <c r="AK31" i="39" s="1"/>
  <c r="AH47" i="16"/>
  <c r="AK47" i="16" s="1"/>
  <c r="AH31" i="16"/>
  <c r="AK31" i="16" s="1"/>
  <c r="AH47" i="39"/>
  <c r="AK47" i="39" s="1"/>
  <c r="AJ46" i="38"/>
  <c r="AM46" i="38" s="1"/>
  <c r="AH37" i="39"/>
  <c r="AK37" i="39" s="1"/>
  <c r="AH37" i="16"/>
  <c r="AK37" i="16" s="1"/>
  <c r="AY39" i="12"/>
  <c r="AV39" i="12"/>
  <c r="AV37" i="12"/>
  <c r="AY37" i="12"/>
  <c r="AY40" i="12"/>
  <c r="AV40" i="12"/>
  <c r="AG31" i="37"/>
  <c r="AG47" i="37"/>
  <c r="AI47" i="37" s="1"/>
  <c r="AS47" i="37" s="1"/>
  <c r="AT47" i="37" s="1"/>
  <c r="AV41" i="12"/>
  <c r="AY41" i="12"/>
  <c r="BL93" i="38"/>
  <c r="AX93" i="38"/>
  <c r="BP93" i="38" s="1"/>
  <c r="BQ93" i="38" s="1"/>
  <c r="BI100" i="38"/>
  <c r="AY100" i="38" s="1"/>
  <c r="AZ100" i="38"/>
  <c r="BH99" i="38"/>
  <c r="B83" i="37"/>
  <c r="E83" i="37" s="1"/>
  <c r="E82" i="37"/>
  <c r="BA82" i="37" s="1"/>
  <c r="BB82" i="37" s="1"/>
  <c r="BD82" i="37" s="1"/>
  <c r="BE82" i="37" s="1"/>
  <c r="AU82" i="37" s="1"/>
  <c r="AW82" i="37" s="1"/>
  <c r="AX57" i="38"/>
  <c r="G94" i="38"/>
  <c r="BE94" i="38"/>
  <c r="BK94" i="38"/>
  <c r="AW94" i="38"/>
  <c r="BL94" i="38" s="1"/>
  <c r="A83" i="39"/>
  <c r="E82" i="39"/>
  <c r="BC82" i="39" s="1"/>
  <c r="BD82" i="39" s="1"/>
  <c r="BF82" i="39" s="1"/>
  <c r="BG82" i="39" s="1"/>
  <c r="AW82" i="39" s="1"/>
  <c r="AY82" i="39" s="1"/>
  <c r="BJ94" i="38"/>
  <c r="BI92" i="38"/>
  <c r="AZ92" i="38"/>
  <c r="BH91" i="38"/>
  <c r="AZ91" i="38" s="1"/>
  <c r="E84" i="16"/>
  <c r="BD84" i="16" s="1"/>
  <c r="BE84" i="16" s="1"/>
  <c r="BG84" i="16" s="1"/>
  <c r="BH84" i="16" s="1"/>
  <c r="AW84" i="16" s="1"/>
  <c r="AZ84" i="16" s="1"/>
  <c r="A85" i="16"/>
  <c r="AK95" i="38"/>
  <c r="Z95" i="38"/>
  <c r="BL95" i="38"/>
  <c r="AD96" i="38"/>
  <c r="AG95" i="38"/>
  <c r="AP95" i="38"/>
  <c r="AU95" i="38"/>
  <c r="BM95" i="38"/>
  <c r="AG136" i="38"/>
  <c r="AF137" i="38"/>
  <c r="AG137" i="38" s="1"/>
  <c r="AK34" i="16" l="1"/>
  <c r="BM34" i="16" s="1"/>
  <c r="AH33" i="16"/>
  <c r="AK33" i="16" s="1"/>
  <c r="BL37" i="39"/>
  <c r="AU37" i="39"/>
  <c r="AW46" i="38"/>
  <c r="BN46" i="38"/>
  <c r="BL31" i="39"/>
  <c r="AU31" i="39"/>
  <c r="BN28" i="16"/>
  <c r="AU28" i="16"/>
  <c r="BN84" i="38"/>
  <c r="AW84" i="38"/>
  <c r="AW29" i="38"/>
  <c r="BN29" i="38"/>
  <c r="AU40" i="16"/>
  <c r="BM40" i="16"/>
  <c r="AJ40" i="38"/>
  <c r="AM40" i="38" s="1"/>
  <c r="AH45" i="16"/>
  <c r="AK45" i="16" s="1"/>
  <c r="AJ86" i="38"/>
  <c r="AM86" i="38" s="1"/>
  <c r="AJ44" i="38"/>
  <c r="AM44" i="38" s="1"/>
  <c r="AH45" i="39"/>
  <c r="AK45" i="39" s="1"/>
  <c r="AJ87" i="38"/>
  <c r="AM87" i="38" s="1"/>
  <c r="AH44" i="39"/>
  <c r="AK44" i="39" s="1"/>
  <c r="AH29" i="39"/>
  <c r="AK29" i="39" s="1"/>
  <c r="AJ43" i="38"/>
  <c r="AM43" i="38" s="1"/>
  <c r="AH41" i="39"/>
  <c r="AK41" i="39" s="1"/>
  <c r="AJ98" i="38"/>
  <c r="AM98" i="38" s="1"/>
  <c r="AH35" i="39"/>
  <c r="AK35" i="39" s="1"/>
  <c r="AH29" i="16"/>
  <c r="AK29" i="16" s="1"/>
  <c r="AH44" i="16"/>
  <c r="AK44" i="16" s="1"/>
  <c r="AH35" i="16"/>
  <c r="AK35" i="16" s="1"/>
  <c r="AJ97" i="38"/>
  <c r="AM97" i="38" s="1"/>
  <c r="AU31" i="16"/>
  <c r="BN31" i="16"/>
  <c r="BF47" i="37"/>
  <c r="AW47" i="37"/>
  <c r="Y102" i="37" s="1"/>
  <c r="BN28" i="38"/>
  <c r="AW28" i="38"/>
  <c r="AU43" i="39"/>
  <c r="BL43" i="39"/>
  <c r="AG41" i="37"/>
  <c r="AI41" i="37" s="1"/>
  <c r="AS41" i="37" s="1"/>
  <c r="AT41" i="37" s="1"/>
  <c r="AG29" i="37"/>
  <c r="AG44" i="37"/>
  <c r="AI44" i="37" s="1"/>
  <c r="AS44" i="37" s="1"/>
  <c r="AT44" i="37" s="1"/>
  <c r="AG45" i="37"/>
  <c r="AI45" i="37" s="1"/>
  <c r="AS45" i="37" s="1"/>
  <c r="AT45" i="37" s="1"/>
  <c r="AX94" i="38"/>
  <c r="BP94" i="38" s="1"/>
  <c r="BQ94" i="38" s="1"/>
  <c r="AU41" i="16"/>
  <c r="BM41" i="16"/>
  <c r="BL34" i="39"/>
  <c r="AU34" i="39"/>
  <c r="BN30" i="38"/>
  <c r="AW30" i="38"/>
  <c r="AW85" i="38"/>
  <c r="BN85" i="38"/>
  <c r="AG37" i="37"/>
  <c r="AI37" i="37" s="1"/>
  <c r="AS37" i="37" s="1"/>
  <c r="AT37" i="37" s="1"/>
  <c r="AI31" i="37"/>
  <c r="AS31" i="37" s="1"/>
  <c r="BN31" i="38"/>
  <c r="AW31" i="38"/>
  <c r="AW42" i="38"/>
  <c r="BN42" i="38"/>
  <c r="AU28" i="39"/>
  <c r="BL28" i="39"/>
  <c r="AG43" i="37"/>
  <c r="AI43" i="37" s="1"/>
  <c r="AS43" i="37" s="1"/>
  <c r="AT43" i="37" s="1"/>
  <c r="AG46" i="37"/>
  <c r="AI46" i="37" s="1"/>
  <c r="AS46" i="37" s="1"/>
  <c r="AT46" i="37" s="1"/>
  <c r="AG30" i="37"/>
  <c r="AU47" i="39"/>
  <c r="BL47" i="39"/>
  <c r="BM42" i="16"/>
  <c r="AU42" i="16"/>
  <c r="AJ45" i="38"/>
  <c r="AM45" i="38" s="1"/>
  <c r="AJ35" i="38"/>
  <c r="AM35" i="38" s="1"/>
  <c r="AW35" i="38" s="1"/>
  <c r="AX35" i="38" s="1"/>
  <c r="AJ41" i="38"/>
  <c r="AM41" i="38" s="1"/>
  <c r="AH42" i="39"/>
  <c r="AK42" i="39" s="1"/>
  <c r="AJ34" i="38"/>
  <c r="AM34" i="38" s="1"/>
  <c r="AW34" i="38" s="1"/>
  <c r="AX34" i="38" s="1"/>
  <c r="AJ33" i="38"/>
  <c r="AM33" i="38" s="1"/>
  <c r="AW33" i="38" s="1"/>
  <c r="AX33" i="38" s="1"/>
  <c r="AJ99" i="38"/>
  <c r="AM99" i="38" s="1"/>
  <c r="AH46" i="16"/>
  <c r="AK46" i="16" s="1"/>
  <c r="AJ32" i="38"/>
  <c r="AM32" i="38" s="1"/>
  <c r="AW32" i="38" s="1"/>
  <c r="AX32" i="38" s="1"/>
  <c r="AH46" i="39"/>
  <c r="AK46" i="39" s="1"/>
  <c r="AH30" i="16"/>
  <c r="AK30" i="16" s="1"/>
  <c r="AH30" i="39"/>
  <c r="AK30" i="39" s="1"/>
  <c r="AH36" i="39"/>
  <c r="AK36" i="39" s="1"/>
  <c r="AJ100" i="38"/>
  <c r="AM100" i="38" s="1"/>
  <c r="AH36" i="16"/>
  <c r="AK36" i="16" s="1"/>
  <c r="AJ89" i="38"/>
  <c r="AM89" i="38" s="1"/>
  <c r="AW89" i="38" s="1"/>
  <c r="AX89" i="38" s="1"/>
  <c r="AJ88" i="38"/>
  <c r="AM88" i="38" s="1"/>
  <c r="AW88" i="38" s="1"/>
  <c r="AX88" i="38" s="1"/>
  <c r="AI28" i="37"/>
  <c r="AS28" i="37" s="1"/>
  <c r="AT28" i="37" s="1"/>
  <c r="AG34" i="37"/>
  <c r="AI34" i="37" s="1"/>
  <c r="AS34" i="37" s="1"/>
  <c r="AT34" i="37" s="1"/>
  <c r="BM47" i="16"/>
  <c r="AU47" i="16"/>
  <c r="AU43" i="16"/>
  <c r="BM43" i="16"/>
  <c r="AJ27" i="38"/>
  <c r="AM27" i="38" s="1"/>
  <c r="AH33" i="39"/>
  <c r="AK33" i="39" s="1"/>
  <c r="AH27" i="16"/>
  <c r="AK27" i="16" s="1"/>
  <c r="AH27" i="39"/>
  <c r="AK27" i="39" s="1"/>
  <c r="AH40" i="39"/>
  <c r="AK40" i="39" s="1"/>
  <c r="AJ39" i="38"/>
  <c r="AM39" i="38" s="1"/>
  <c r="AG40" i="37"/>
  <c r="AI40" i="37" s="1"/>
  <c r="AS40" i="37" s="1"/>
  <c r="AT40" i="37" s="1"/>
  <c r="AG27" i="37"/>
  <c r="BM37" i="16"/>
  <c r="AU37" i="16"/>
  <c r="AW42" i="37"/>
  <c r="Y99" i="37" s="1"/>
  <c r="BF42" i="37"/>
  <c r="BP57" i="38"/>
  <c r="BQ57" i="38" s="1"/>
  <c r="AZ99" i="38"/>
  <c r="AY99" i="38"/>
  <c r="BI91" i="38"/>
  <c r="AY91" i="38" s="1"/>
  <c r="AY92" i="38"/>
  <c r="BJ95" i="38"/>
  <c r="BK95" i="38"/>
  <c r="AW95" i="38"/>
  <c r="BO95" i="38" s="1"/>
  <c r="Z96" i="38"/>
  <c r="AG96" i="38"/>
  <c r="AK96" i="38"/>
  <c r="AP96" i="38"/>
  <c r="AN96" i="38" s="1"/>
  <c r="BL96" i="38" s="1"/>
  <c r="AU96" i="38"/>
  <c r="AD97" i="38"/>
  <c r="BM96" i="38"/>
  <c r="BN96" i="38"/>
  <c r="BC83" i="39"/>
  <c r="BD83" i="39" s="1"/>
  <c r="BF83" i="39" s="1"/>
  <c r="BG83" i="39" s="1"/>
  <c r="AW83" i="39" s="1"/>
  <c r="AY83" i="39" s="1"/>
  <c r="E83" i="39"/>
  <c r="BF94" i="38"/>
  <c r="BH94" i="38" s="1"/>
  <c r="E85" i="16"/>
  <c r="BD85" i="16"/>
  <c r="BE85" i="16" s="1"/>
  <c r="BG85" i="16" s="1"/>
  <c r="BH85" i="16" s="1"/>
  <c r="AW85" i="16" s="1"/>
  <c r="AZ85" i="16" s="1"/>
  <c r="AU34" i="16" l="1"/>
  <c r="AU35" i="39"/>
  <c r="BL35" i="39"/>
  <c r="BN29" i="16"/>
  <c r="AU29" i="16"/>
  <c r="AX85" i="38"/>
  <c r="BO85" i="38"/>
  <c r="BL30" i="39"/>
  <c r="AU30" i="39"/>
  <c r="BL29" i="39"/>
  <c r="AU29" i="39"/>
  <c r="BM44" i="16"/>
  <c r="AU44" i="16"/>
  <c r="AW37" i="37"/>
  <c r="AD102" i="37" s="1"/>
  <c r="BF37" i="37"/>
  <c r="AU46" i="16"/>
  <c r="BM46" i="16"/>
  <c r="AW44" i="38"/>
  <c r="BN44" i="38"/>
  <c r="BL44" i="39"/>
  <c r="AU44" i="39"/>
  <c r="AV42" i="16"/>
  <c r="BN42" i="16"/>
  <c r="BO29" i="38"/>
  <c r="AX29" i="38"/>
  <c r="AV37" i="16"/>
  <c r="AZ37" i="16" s="1"/>
  <c r="BN37" i="16"/>
  <c r="AW40" i="37"/>
  <c r="BF40" i="37"/>
  <c r="AU40" i="39"/>
  <c r="BL40" i="39"/>
  <c r="AU30" i="16"/>
  <c r="BN30" i="16"/>
  <c r="BL42" i="39"/>
  <c r="AU42" i="39"/>
  <c r="BN41" i="16"/>
  <c r="AV41" i="16"/>
  <c r="AZ41" i="16" s="1"/>
  <c r="AV40" i="16"/>
  <c r="AZ40" i="16" s="1"/>
  <c r="BN40" i="16"/>
  <c r="BO42" i="38"/>
  <c r="AX42" i="38"/>
  <c r="BA42" i="38" s="1"/>
  <c r="BL41" i="39"/>
  <c r="AU41" i="39"/>
  <c r="BO30" i="38"/>
  <c r="AX30" i="38"/>
  <c r="AW86" i="38"/>
  <c r="BN86" i="38"/>
  <c r="BN39" i="38"/>
  <c r="AW39" i="38"/>
  <c r="BF41" i="37"/>
  <c r="AW41" i="37"/>
  <c r="BO84" i="38"/>
  <c r="AX84" i="38"/>
  <c r="BM47" i="39"/>
  <c r="AV47" i="39"/>
  <c r="AY47" i="39" s="1"/>
  <c r="Y102" i="39" s="1"/>
  <c r="BO28" i="38"/>
  <c r="AX28" i="38"/>
  <c r="AV28" i="16"/>
  <c r="AZ28" i="16" s="1"/>
  <c r="AU95" i="16" s="1"/>
  <c r="BO28" i="16"/>
  <c r="AV34" i="39"/>
  <c r="AY34" i="39" s="1"/>
  <c r="BM34" i="39"/>
  <c r="BM45" i="16"/>
  <c r="AU45" i="16"/>
  <c r="BM33" i="16"/>
  <c r="AU33" i="16"/>
  <c r="AV33" i="16" s="1"/>
  <c r="AZ33" i="16" s="1"/>
  <c r="AU27" i="39"/>
  <c r="BL27" i="39"/>
  <c r="AW87" i="38"/>
  <c r="BN87" i="38"/>
  <c r="AW45" i="38"/>
  <c r="BN45" i="38"/>
  <c r="BN43" i="38"/>
  <c r="AW43" i="38"/>
  <c r="AG35" i="37"/>
  <c r="AI35" i="37" s="1"/>
  <c r="AS35" i="37" s="1"/>
  <c r="AT35" i="37" s="1"/>
  <c r="AI29" i="37"/>
  <c r="AS29" i="37" s="1"/>
  <c r="BN27" i="38"/>
  <c r="AW27" i="38"/>
  <c r="AW43" i="37"/>
  <c r="BF43" i="37"/>
  <c r="BO31" i="38"/>
  <c r="AX31" i="38"/>
  <c r="AU36" i="39"/>
  <c r="BL36" i="39"/>
  <c r="BL45" i="39"/>
  <c r="AU45" i="39"/>
  <c r="AG33" i="37"/>
  <c r="AI27" i="37"/>
  <c r="AS27" i="37" s="1"/>
  <c r="AT27" i="37" s="1"/>
  <c r="AW27" i="37" s="1"/>
  <c r="BN40" i="38"/>
  <c r="AW40" i="38"/>
  <c r="AV47" i="16"/>
  <c r="BN47" i="16"/>
  <c r="AW46" i="37"/>
  <c r="Y101" i="37" s="1"/>
  <c r="BF46" i="37"/>
  <c r="AW34" i="37"/>
  <c r="AD99" i="37" s="1"/>
  <c r="BF34" i="37"/>
  <c r="AA96" i="16"/>
  <c r="AA97" i="16" s="1"/>
  <c r="AV31" i="16"/>
  <c r="BO31" i="16"/>
  <c r="AX46" i="38"/>
  <c r="BA46" i="38" s="1"/>
  <c r="BO46" i="38"/>
  <c r="BM36" i="16"/>
  <c r="AU36" i="16"/>
  <c r="AW44" i="37"/>
  <c r="Y100" i="37" s="1"/>
  <c r="BF44" i="37"/>
  <c r="AU27" i="16"/>
  <c r="BN27" i="16"/>
  <c r="AV43" i="39"/>
  <c r="AY43" i="39" s="1"/>
  <c r="Y99" i="39" s="1"/>
  <c r="BM43" i="39"/>
  <c r="BM37" i="39"/>
  <c r="AV37" i="39"/>
  <c r="AY37" i="39" s="1"/>
  <c r="AA94" i="37"/>
  <c r="AA95" i="37" s="1"/>
  <c r="AT31" i="37"/>
  <c r="AU46" i="39"/>
  <c r="BL46" i="39"/>
  <c r="AW41" i="38"/>
  <c r="BN41" i="38"/>
  <c r="AW45" i="37"/>
  <c r="BF45" i="37"/>
  <c r="BL33" i="39"/>
  <c r="AU33" i="39"/>
  <c r="BN34" i="16"/>
  <c r="AV34" i="16"/>
  <c r="AZ34" i="16" s="1"/>
  <c r="AV43" i="16"/>
  <c r="BN43" i="16"/>
  <c r="AI30" i="37"/>
  <c r="AS30" i="37" s="1"/>
  <c r="AT30" i="37" s="1"/>
  <c r="AG36" i="37"/>
  <c r="AI36" i="37" s="1"/>
  <c r="AS36" i="37" s="1"/>
  <c r="AT36" i="37" s="1"/>
  <c r="AA94" i="39"/>
  <c r="AA95" i="39" s="1"/>
  <c r="AV31" i="39"/>
  <c r="AY31" i="39" s="1"/>
  <c r="AU96" i="39" s="1"/>
  <c r="BM31" i="39"/>
  <c r="AW28" i="37"/>
  <c r="BF28" i="37"/>
  <c r="AV28" i="39"/>
  <c r="AY28" i="39" s="1"/>
  <c r="AU93" i="39" s="1"/>
  <c r="BM28" i="39"/>
  <c r="BM35" i="16"/>
  <c r="AU35" i="16"/>
  <c r="AD98" i="38"/>
  <c r="BM97" i="38"/>
  <c r="AP97" i="38"/>
  <c r="BL97" i="38"/>
  <c r="AG97" i="38"/>
  <c r="Z97" i="38"/>
  <c r="AK97" i="38"/>
  <c r="AU97" i="38"/>
  <c r="BN97" i="38"/>
  <c r="BJ96" i="38"/>
  <c r="BP95" i="38"/>
  <c r="BQ95" i="38" s="1"/>
  <c r="BR95" i="38" s="1"/>
  <c r="AX95" i="38"/>
  <c r="BI94" i="38"/>
  <c r="AY94" i="38" s="1"/>
  <c r="AH137" i="38"/>
  <c r="BH93" i="38"/>
  <c r="AZ94" i="38"/>
  <c r="BK96" i="38"/>
  <c r="AW96" i="38"/>
  <c r="BO96" i="38" s="1"/>
  <c r="AZ42" i="16" l="1"/>
  <c r="AD106" i="16" s="1"/>
  <c r="AZ47" i="16"/>
  <c r="Y104" i="16" s="1"/>
  <c r="AZ43" i="16"/>
  <c r="AE101" i="16" s="1"/>
  <c r="AV46" i="39"/>
  <c r="AY46" i="39" s="1"/>
  <c r="Y101" i="39" s="1"/>
  <c r="BM46" i="39"/>
  <c r="AV45" i="39"/>
  <c r="AY45" i="39" s="1"/>
  <c r="BM45" i="39"/>
  <c r="BF31" i="37"/>
  <c r="AW31" i="37"/>
  <c r="BM36" i="39"/>
  <c r="AV36" i="39"/>
  <c r="AY36" i="39" s="1"/>
  <c r="AE102" i="39"/>
  <c r="AU102" i="39"/>
  <c r="BO39" i="38"/>
  <c r="AX39" i="38"/>
  <c r="BA39" i="38" s="1"/>
  <c r="BM44" i="39"/>
  <c r="AV44" i="39"/>
  <c r="AY44" i="39" s="1"/>
  <c r="Y100" i="39" s="1"/>
  <c r="AD94" i="37"/>
  <c r="AD95" i="37" s="1"/>
  <c r="AT29" i="37"/>
  <c r="BM41" i="39"/>
  <c r="AV41" i="39"/>
  <c r="AY41" i="39" s="1"/>
  <c r="AV36" i="16"/>
  <c r="AZ36" i="16" s="1"/>
  <c r="BN36" i="16"/>
  <c r="BN44" i="16"/>
  <c r="AV44" i="16"/>
  <c r="AZ44" i="16" s="1"/>
  <c r="AU104" i="16"/>
  <c r="AX87" i="38"/>
  <c r="BO87" i="38"/>
  <c r="AX45" i="38"/>
  <c r="BA45" i="38" s="1"/>
  <c r="BO45" i="38"/>
  <c r="BM29" i="39"/>
  <c r="AD94" i="39"/>
  <c r="AD95" i="39" s="1"/>
  <c r="AV29" i="39"/>
  <c r="AY29" i="39" s="1"/>
  <c r="AU94" i="39" s="1"/>
  <c r="BO27" i="16"/>
  <c r="AV27" i="16"/>
  <c r="AZ27" i="16" s="1"/>
  <c r="BO27" i="38"/>
  <c r="AX27" i="38"/>
  <c r="BA27" i="38" s="1"/>
  <c r="BN46" i="16"/>
  <c r="AV46" i="16"/>
  <c r="G107" i="12"/>
  <c r="AZ31" i="16"/>
  <c r="AU98" i="16" s="1"/>
  <c r="AV27" i="39"/>
  <c r="AY27" i="39" s="1"/>
  <c r="BM27" i="39"/>
  <c r="AV30" i="39"/>
  <c r="AY30" i="39" s="1"/>
  <c r="AU95" i="39" s="1"/>
  <c r="BM30" i="39"/>
  <c r="BO86" i="38"/>
  <c r="AX86" i="38"/>
  <c r="AW36" i="37"/>
  <c r="AD101" i="37" s="1"/>
  <c r="BF36" i="37"/>
  <c r="AU101" i="16"/>
  <c r="AV42" i="39"/>
  <c r="AY42" i="39" s="1"/>
  <c r="AD104" i="39" s="1"/>
  <c r="BM42" i="39"/>
  <c r="AW35" i="37"/>
  <c r="AD100" i="37" s="1"/>
  <c r="BF35" i="37"/>
  <c r="AW30" i="37"/>
  <c r="BF30" i="37"/>
  <c r="AV33" i="39"/>
  <c r="AY33" i="39" s="1"/>
  <c r="BM33" i="39"/>
  <c r="AV35" i="16"/>
  <c r="AZ35" i="16" s="1"/>
  <c r="BN35" i="16"/>
  <c r="AV45" i="16"/>
  <c r="AZ45" i="16" s="1"/>
  <c r="BN45" i="16"/>
  <c r="AX40" i="38"/>
  <c r="BA40" i="38" s="1"/>
  <c r="BO40" i="38"/>
  <c r="AD96" i="16"/>
  <c r="AD97" i="16" s="1"/>
  <c r="AV29" i="16"/>
  <c r="BO29" i="16"/>
  <c r="BO44" i="38"/>
  <c r="AX44" i="38"/>
  <c r="BA44" i="38" s="1"/>
  <c r="AX43" i="38"/>
  <c r="BA43" i="38" s="1"/>
  <c r="BO43" i="38"/>
  <c r="AE99" i="39"/>
  <c r="AU99" i="39"/>
  <c r="BO30" i="16"/>
  <c r="AV30" i="16"/>
  <c r="AZ30" i="16" s="1"/>
  <c r="AU97" i="16" s="1"/>
  <c r="BN33" i="16"/>
  <c r="AX41" i="38"/>
  <c r="BA41" i="38" s="1"/>
  <c r="BO41" i="38"/>
  <c r="AI33" i="37"/>
  <c r="AS33" i="37" s="1"/>
  <c r="AT33" i="37" s="1"/>
  <c r="AG38" i="37"/>
  <c r="AI38" i="37" s="1"/>
  <c r="AS38" i="37" s="1"/>
  <c r="AT38" i="37" s="1"/>
  <c r="BM40" i="39"/>
  <c r="AV40" i="39"/>
  <c r="AY40" i="39" s="1"/>
  <c r="BM35" i="39"/>
  <c r="AV35" i="39"/>
  <c r="AY35" i="39" s="1"/>
  <c r="BI93" i="38"/>
  <c r="AY93" i="38" s="1"/>
  <c r="AZ93" i="38"/>
  <c r="AH136" i="38"/>
  <c r="BP96" i="38"/>
  <c r="BQ96" i="38" s="1"/>
  <c r="BJ97" i="38"/>
  <c r="BK97" i="38"/>
  <c r="AW97" i="38"/>
  <c r="BO97" i="38" s="1"/>
  <c r="AX96" i="38"/>
  <c r="AK98" i="38"/>
  <c r="AD99" i="38"/>
  <c r="AP98" i="38"/>
  <c r="AN98" i="38" s="1"/>
  <c r="BL98" i="38" s="1"/>
  <c r="Z98" i="38"/>
  <c r="AG98" i="38"/>
  <c r="AU98" i="38"/>
  <c r="BM98" i="38"/>
  <c r="BN98" i="38"/>
  <c r="Y101" i="16" l="1"/>
  <c r="AE104" i="16"/>
  <c r="AZ46" i="16"/>
  <c r="Y103" i="16" s="1"/>
  <c r="AW38" i="37"/>
  <c r="BF38" i="37"/>
  <c r="AW33" i="37"/>
  <c r="BF33" i="37"/>
  <c r="G114" i="12"/>
  <c r="Y102" i="16"/>
  <c r="G124" i="12"/>
  <c r="AE100" i="39"/>
  <c r="AU100" i="39"/>
  <c r="AW29" i="37"/>
  <c r="BF29" i="37"/>
  <c r="AU101" i="39"/>
  <c r="AE101" i="39"/>
  <c r="AZ29" i="16"/>
  <c r="AU96" i="16" s="1"/>
  <c r="G112" i="12"/>
  <c r="AU103" i="16"/>
  <c r="AU102" i="16"/>
  <c r="BJ98" i="38"/>
  <c r="BP97" i="38"/>
  <c r="BQ97" i="38" s="1"/>
  <c r="BK98" i="38"/>
  <c r="AW98" i="38"/>
  <c r="BO98" i="38" s="1"/>
  <c r="AU99" i="38"/>
  <c r="AD100" i="38"/>
  <c r="AP99" i="38"/>
  <c r="Z99" i="38"/>
  <c r="AG99" i="38"/>
  <c r="AK99" i="38"/>
  <c r="AW99" i="38" s="1"/>
  <c r="AX97" i="38"/>
  <c r="AE103" i="16" l="1"/>
  <c r="AE102" i="16"/>
  <c r="AX99" i="38"/>
  <c r="AX98" i="38"/>
  <c r="AU100" i="38"/>
  <c r="AK100" i="38"/>
  <c r="Z100" i="38"/>
  <c r="AP100" i="38"/>
  <c r="AN100" i="38" s="1"/>
  <c r="AG100" i="38"/>
  <c r="BP98" i="38"/>
  <c r="BQ98" i="38" s="1"/>
  <c r="AW100" i="38" l="1"/>
  <c r="AX100" i="38" s="1"/>
  <c r="E61" i="38" l="1"/>
  <c r="BA61" i="38" s="1"/>
  <c r="E49" i="38"/>
  <c r="BA49" i="38" s="1"/>
  <c r="E87" i="38"/>
  <c r="BA87" i="38" s="1"/>
  <c r="E54" i="38"/>
  <c r="BA54" i="38" s="1"/>
  <c r="AI124" i="38" s="1"/>
  <c r="E96" i="38" l="1"/>
  <c r="BA96" i="38" s="1"/>
  <c r="E85" i="38"/>
  <c r="BA85" i="38" s="1"/>
  <c r="E93" i="38"/>
  <c r="E97" i="38"/>
  <c r="BA97" i="38" s="1"/>
  <c r="E100" i="38"/>
  <c r="BA100" i="38" s="1"/>
  <c r="E84" i="38"/>
  <c r="BA84" i="38" s="1"/>
  <c r="E57" i="38"/>
  <c r="BA57" i="38" s="1"/>
  <c r="AI127" i="38" s="1"/>
  <c r="E50" i="38"/>
  <c r="BA50" i="38" s="1"/>
  <c r="E56" i="38"/>
  <c r="BA56" i="38" s="1"/>
  <c r="AI126" i="38" s="1"/>
  <c r="AA102" i="38"/>
  <c r="AI119" i="38"/>
  <c r="AI100" i="38" s="1"/>
  <c r="E86" i="38"/>
  <c r="BA86" i="38" s="1"/>
  <c r="E52" i="38"/>
  <c r="BA52" i="38" s="1"/>
  <c r="E89" i="38"/>
  <c r="BA89" i="38" s="1"/>
  <c r="E91" i="38"/>
  <c r="E99" i="38"/>
  <c r="BA99" i="38" s="1"/>
  <c r="E51" i="38"/>
  <c r="BA51" i="38" s="1"/>
  <c r="E53" i="38"/>
  <c r="BA53" i="38" s="1"/>
  <c r="E88" i="38"/>
  <c r="BA88" i="38" s="1"/>
  <c r="E92" i="38"/>
  <c r="BA92" i="38" s="1"/>
  <c r="AA112" i="38" s="1"/>
  <c r="E95" i="38"/>
  <c r="BA95" i="38" s="1"/>
  <c r="E59" i="38"/>
  <c r="BA29" i="38" l="1"/>
  <c r="BA33" i="38"/>
  <c r="BA59" i="38"/>
  <c r="BA91" i="38"/>
  <c r="AM136" i="38" s="1"/>
  <c r="AI136" i="38" s="1"/>
  <c r="BA30" i="38"/>
  <c r="BA31" i="38"/>
  <c r="AM134" i="38"/>
  <c r="AI134" i="38" s="1"/>
  <c r="AA104" i="38"/>
  <c r="AI121" i="38"/>
  <c r="AI122" i="38"/>
  <c r="AA105" i="38"/>
  <c r="AA106" i="38"/>
  <c r="AI123" i="38"/>
  <c r="AI120" i="38"/>
  <c r="AA103" i="38"/>
  <c r="AM139" i="38"/>
  <c r="AI139" i="38" s="1"/>
  <c r="BA93" i="38"/>
  <c r="BA34" i="38"/>
  <c r="AM133" i="38"/>
  <c r="AI133" i="38" s="1"/>
  <c r="AM138" i="38"/>
  <c r="AI138" i="38" s="1"/>
  <c r="E94" i="38" l="1"/>
  <c r="E98" i="38"/>
  <c r="BA98" i="38" s="1"/>
  <c r="E60" i="38"/>
  <c r="BA60" i="38" s="1"/>
  <c r="E55" i="38"/>
  <c r="BA55" i="38" s="1"/>
  <c r="AI125" i="38" s="1"/>
  <c r="E58" i="38"/>
  <c r="BA28" i="38" l="1"/>
  <c r="BA32" i="38"/>
  <c r="BA58" i="38"/>
  <c r="AA110" i="38"/>
  <c r="AM132" i="38"/>
  <c r="BA35" i="38"/>
  <c r="BA94" i="38"/>
  <c r="AI132" i="38" l="1"/>
  <c r="AA109" i="38"/>
  <c r="BE62" i="38"/>
  <c r="BF62" i="38" s="1"/>
  <c r="BH62" i="38" s="1"/>
  <c r="BI62" i="38" s="1"/>
  <c r="AM131" i="38"/>
  <c r="AI131" i="38" s="1"/>
  <c r="AA113" i="38"/>
  <c r="AM137" i="38"/>
  <c r="AI137" i="38" l="1"/>
  <c r="AX136" i="38"/>
  <c r="AX131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CANTAFIO Alberto</author>
  </authors>
  <commentList>
    <comment ref="AG6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CANTAFIO Alberto:</t>
        </r>
        <r>
          <rPr>
            <sz val="9"/>
            <color indexed="81"/>
            <rFont val="Tahoma"/>
            <family val="2"/>
          </rPr>
          <t xml:space="preserve">
Missing Flat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<sst xmlns="http://schemas.openxmlformats.org/spreadsheetml/2006/main" count="5435" uniqueCount="367">
  <si>
    <t>Port/Zone Locator</t>
  </si>
  <si>
    <t>CANAL OPTIONS</t>
  </si>
  <si>
    <t>Overages</t>
  </si>
  <si>
    <t>Port Info</t>
  </si>
  <si>
    <t>Lightering/Reverse Lightering</t>
  </si>
  <si>
    <t>Load</t>
  </si>
  <si>
    <t>STS+Load</t>
  </si>
  <si>
    <t>Sail</t>
  </si>
  <si>
    <t>Transit</t>
  </si>
  <si>
    <t>Arrive</t>
  </si>
  <si>
    <t>NOR+xx</t>
  </si>
  <si>
    <t>BL+30 Pay Out</t>
  </si>
  <si>
    <t>Domestic</t>
  </si>
  <si>
    <t>Saint John</t>
  </si>
  <si>
    <t>ECC</t>
  </si>
  <si>
    <t>NEW</t>
  </si>
  <si>
    <t>Port</t>
  </si>
  <si>
    <t>Outturn Losses</t>
  </si>
  <si>
    <t>EU TAX</t>
  </si>
  <si>
    <t>Payment</t>
  </si>
  <si>
    <t>Type</t>
  </si>
  <si>
    <t>Location</t>
  </si>
  <si>
    <t>Panamax</t>
  </si>
  <si>
    <t>Aframax</t>
  </si>
  <si>
    <t>Suezmax</t>
  </si>
  <si>
    <t>VLCC</t>
  </si>
  <si>
    <t>VLCC-MODA</t>
  </si>
  <si>
    <t>VLCC-STG</t>
  </si>
  <si>
    <t>Suezmax-MODA</t>
  </si>
  <si>
    <t>Augusta</t>
  </si>
  <si>
    <t>Med</t>
  </si>
  <si>
    <t>OLD</t>
  </si>
  <si>
    <t>BL</t>
  </si>
  <si>
    <t>US</t>
  </si>
  <si>
    <t>Liza FPSO</t>
  </si>
  <si>
    <t>Sao Sebastiao</t>
  </si>
  <si>
    <t>BAYOVAR+T</t>
  </si>
  <si>
    <t>Vessel List</t>
  </si>
  <si>
    <t>Corpus Christi - MODA</t>
  </si>
  <si>
    <t>Pembroke</t>
  </si>
  <si>
    <t>USGC</t>
  </si>
  <si>
    <t>Corpus Christi - STG</t>
  </si>
  <si>
    <t>Rotterdam</t>
  </si>
  <si>
    <t>Taiwan</t>
  </si>
  <si>
    <t>TAIWAN</t>
  </si>
  <si>
    <t>Corpus Christi</t>
  </si>
  <si>
    <t>Beaumont</t>
  </si>
  <si>
    <t>Tranmere</t>
  </si>
  <si>
    <t>El Segundo</t>
  </si>
  <si>
    <t>NOR</t>
  </si>
  <si>
    <t>Trieste</t>
  </si>
  <si>
    <t>Chiba</t>
  </si>
  <si>
    <t>JAPAN</t>
  </si>
  <si>
    <t>Canaport SPM</t>
  </si>
  <si>
    <t>Antwerp</t>
  </si>
  <si>
    <t>Chiriqui Grande</t>
  </si>
  <si>
    <t>CARIBS</t>
  </si>
  <si>
    <t>Houston</t>
  </si>
  <si>
    <t>Finnart</t>
  </si>
  <si>
    <t>Conchan/Talara</t>
  </si>
  <si>
    <t>CONCHAN+T</t>
  </si>
  <si>
    <t>Vessel Minimum MT</t>
  </si>
  <si>
    <t>Covenas</t>
  </si>
  <si>
    <t>Puerto Armuelles</t>
  </si>
  <si>
    <t>Rotterdam-STS</t>
  </si>
  <si>
    <t>La Paloma (Alpha Ligh. Zone)</t>
  </si>
  <si>
    <t>Loop</t>
  </si>
  <si>
    <t>Nederland</t>
  </si>
  <si>
    <t>LA+SF</t>
  </si>
  <si>
    <t>Whitegate</t>
  </si>
  <si>
    <t>Gdansk</t>
  </si>
  <si>
    <t>Los Angeles</t>
  </si>
  <si>
    <t>Lagos</t>
  </si>
  <si>
    <t>USWC</t>
  </si>
  <si>
    <t>Paulsboro</t>
  </si>
  <si>
    <t>Sines</t>
  </si>
  <si>
    <t>Quebec</t>
  </si>
  <si>
    <t>ES+Richmond</t>
  </si>
  <si>
    <t>Milazzo</t>
  </si>
  <si>
    <t>Nsea</t>
  </si>
  <si>
    <t>Pascagoula</t>
  </si>
  <si>
    <t>Esmeraldas</t>
  </si>
  <si>
    <t>Butinge</t>
  </si>
  <si>
    <t>Omisalj</t>
  </si>
  <si>
    <t>South America</t>
  </si>
  <si>
    <t>Porvoo</t>
  </si>
  <si>
    <t>Jamnagar</t>
  </si>
  <si>
    <t>INDIA</t>
  </si>
  <si>
    <t>La Coruña</t>
  </si>
  <si>
    <t>Kingston</t>
  </si>
  <si>
    <t>Algericas</t>
  </si>
  <si>
    <t>LATAM EAST</t>
  </si>
  <si>
    <t>Wilhelmshaven</t>
  </si>
  <si>
    <t>xxx</t>
  </si>
  <si>
    <t>La Pampilla</t>
  </si>
  <si>
    <t>PAMPILLA</t>
  </si>
  <si>
    <t>Kalundborg</t>
  </si>
  <si>
    <t>Aliaga</t>
  </si>
  <si>
    <t>STS</t>
  </si>
  <si>
    <t>Botas Ceyhan</t>
  </si>
  <si>
    <t>Ningbo</t>
  </si>
  <si>
    <t>KOREA</t>
  </si>
  <si>
    <t>Max Load</t>
  </si>
  <si>
    <t>Corpu Christi</t>
  </si>
  <si>
    <t>LOOP</t>
  </si>
  <si>
    <t>Agioi Theodori</t>
  </si>
  <si>
    <t>Daesan</t>
  </si>
  <si>
    <t>Thessalonski</t>
  </si>
  <si>
    <t>Panama WC</t>
  </si>
  <si>
    <t>Odessa</t>
  </si>
  <si>
    <t>Quintero (MB)</t>
  </si>
  <si>
    <t>LATAM WEST</t>
  </si>
  <si>
    <t>Mamonal</t>
  </si>
  <si>
    <t>Savona</t>
  </si>
  <si>
    <t>Singapore</t>
  </si>
  <si>
    <t>Quintero (Port)</t>
  </si>
  <si>
    <t>Midla</t>
  </si>
  <si>
    <t>STS Size</t>
  </si>
  <si>
    <t>Richmond</t>
  </si>
  <si>
    <t>Rotterdam-CASH</t>
  </si>
  <si>
    <t>San Vicente</t>
  </si>
  <si>
    <t>Europe</t>
  </si>
  <si>
    <t>San Francisco</t>
  </si>
  <si>
    <t>Asia</t>
  </si>
  <si>
    <t>TVM Calcs</t>
  </si>
  <si>
    <t>ATA Sourced</t>
  </si>
  <si>
    <t>BL+30</t>
  </si>
  <si>
    <t>ATA TVM</t>
  </si>
  <si>
    <t>Ext. TVM</t>
  </si>
  <si>
    <t>BL Date</t>
  </si>
  <si>
    <t>Caliari/Sarroch</t>
  </si>
  <si>
    <t>Cartagena</t>
  </si>
  <si>
    <t>Pachi</t>
  </si>
  <si>
    <t>Port Neches</t>
  </si>
  <si>
    <t>Trinidad</t>
  </si>
  <si>
    <t>Secondary Costs Breakdown</t>
  </si>
  <si>
    <t>API</t>
  </si>
  <si>
    <t>Demurrage</t>
  </si>
  <si>
    <t>Caribs</t>
  </si>
  <si>
    <t>USG Oil Spill Tax</t>
  </si>
  <si>
    <t>TVOM</t>
  </si>
  <si>
    <t>Insurance</t>
  </si>
  <si>
    <t>Inspection+Port+Superintendent</t>
  </si>
  <si>
    <t>Corpus Dock Fee</t>
  </si>
  <si>
    <t>CONVERSION FACTOR</t>
  </si>
  <si>
    <t>Afra STS</t>
  </si>
  <si>
    <t>Suez STS</t>
  </si>
  <si>
    <t>Forties STS</t>
  </si>
  <si>
    <t>Financing</t>
  </si>
  <si>
    <t>Reverse Lightering</t>
  </si>
  <si>
    <t>SOFR</t>
  </si>
  <si>
    <t>Premium</t>
  </si>
  <si>
    <t>Pipeline Fee</t>
  </si>
  <si>
    <t>WTI MIDLAND</t>
  </si>
  <si>
    <t>FOB Corpus Christi</t>
  </si>
  <si>
    <t>ICE Brent</t>
  </si>
  <si>
    <t>Dubai</t>
  </si>
  <si>
    <t>Dated</t>
  </si>
  <si>
    <t>MEH/Brent</t>
  </si>
  <si>
    <t xml:space="preserve"> </t>
  </si>
  <si>
    <t>Leave</t>
  </si>
  <si>
    <t>Payment Terms</t>
  </si>
  <si>
    <t>Payment Date</t>
  </si>
  <si>
    <t>&lt;-----</t>
  </si>
  <si>
    <t>Spreads</t>
  </si>
  <si>
    <t>EFP</t>
  </si>
  <si>
    <t>EXTAP Toggle</t>
  </si>
  <si>
    <t>Load Window</t>
  </si>
  <si>
    <t>CORPUS-ASIA</t>
  </si>
  <si>
    <t>--&gt; 1, Natural Arrival ; 0 M-1</t>
  </si>
  <si>
    <t>STS Time</t>
  </si>
  <si>
    <t>Depart</t>
  </si>
  <si>
    <t>Flat</t>
  </si>
  <si>
    <t>Loadport</t>
  </si>
  <si>
    <t>Vessel MT</t>
  </si>
  <si>
    <t>Actual MT</t>
  </si>
  <si>
    <t>Vessel</t>
  </si>
  <si>
    <t>Destination</t>
  </si>
  <si>
    <t>Route</t>
  </si>
  <si>
    <t xml:space="preserve">Volume </t>
  </si>
  <si>
    <t xml:space="preserve">Current WS Rate </t>
  </si>
  <si>
    <t xml:space="preserve">WS Rate Call </t>
  </si>
  <si>
    <t>Destination Freight</t>
  </si>
  <si>
    <t xml:space="preserve">Demurrage </t>
  </si>
  <si>
    <t>Demurrage $</t>
  </si>
  <si>
    <t>TVM</t>
  </si>
  <si>
    <t>Wharfage</t>
  </si>
  <si>
    <t>Panama Canal</t>
  </si>
  <si>
    <t>Inspection</t>
  </si>
  <si>
    <t>Other costs</t>
  </si>
  <si>
    <t xml:space="preserve">Total Secondary Costs </t>
  </si>
  <si>
    <t xml:space="preserve">All In Cost </t>
  </si>
  <si>
    <t xml:space="preserve">Structure </t>
  </si>
  <si>
    <t>Basis</t>
  </si>
  <si>
    <t xml:space="preserve">DES Price </t>
  </si>
  <si>
    <t>Transit Time</t>
  </si>
  <si>
    <t>Arrival Window</t>
  </si>
  <si>
    <t>Pricing Month</t>
  </si>
  <si>
    <t>Delivery Month</t>
  </si>
  <si>
    <t>Bayovar/Talara</t>
  </si>
  <si>
    <t>Volume</t>
  </si>
  <si>
    <t>Current WS Rate</t>
  </si>
  <si>
    <t>WS Rate Call</t>
  </si>
  <si>
    <t>Freight</t>
  </si>
  <si>
    <t>Demm.</t>
  </si>
  <si>
    <t>ATA tvm</t>
  </si>
  <si>
    <t>Demm. $</t>
  </si>
  <si>
    <t>ECA costs</t>
  </si>
  <si>
    <t>Total Secondary Costs</t>
  </si>
  <si>
    <t>All In Cost</t>
  </si>
  <si>
    <t>Structure</t>
  </si>
  <si>
    <t>DES Price</t>
  </si>
  <si>
    <t>with</t>
  </si>
  <si>
    <t>without</t>
  </si>
  <si>
    <t>MODA EIEC</t>
  </si>
  <si>
    <t>Other</t>
  </si>
  <si>
    <t>V DOCK</t>
  </si>
  <si>
    <t>Freight (TD7)</t>
  </si>
  <si>
    <t>3X STS</t>
  </si>
  <si>
    <t>CORPUS-EUROPE</t>
  </si>
  <si>
    <t>USGC/Nsea</t>
  </si>
  <si>
    <t>Corpus- CASH BFOETM</t>
  </si>
  <si>
    <t>MEH Arb Open?</t>
  </si>
  <si>
    <t>RDAM STS-EUROPE</t>
  </si>
  <si>
    <t>FOB vs ICE Brent</t>
  </si>
  <si>
    <t>Nov ICE Brent</t>
  </si>
  <si>
    <t>Brent Sprds</t>
  </si>
  <si>
    <t>B/D</t>
  </si>
  <si>
    <t>DFLs</t>
  </si>
  <si>
    <t>DFL</t>
  </si>
  <si>
    <t>JUST V DOCK MODA</t>
  </si>
  <si>
    <t>Costs</t>
  </si>
  <si>
    <t>Landed vs DUB</t>
  </si>
  <si>
    <t>Landed vs Dtd</t>
  </si>
  <si>
    <t>3x STS</t>
  </si>
  <si>
    <t>Indications:</t>
  </si>
  <si>
    <t>Blend</t>
  </si>
  <si>
    <t>Midland Asia Indications:</t>
  </si>
  <si>
    <t>JUST V DOCK STGT</t>
  </si>
  <si>
    <t>WTI Afra Indics:</t>
  </si>
  <si>
    <t>1. 2,000kb WTI +/- 10% s.o. DAP 1sp KOREA Jun-12 - Jun-17; May Dubai +3.60</t>
  </si>
  <si>
    <t xml:space="preserve"> (1 sweet, 2 sours)</t>
  </si>
  <si>
    <t>Sour</t>
  </si>
  <si>
    <t>WTI VLCC Indics</t>
  </si>
  <si>
    <t>MTD</t>
  </si>
  <si>
    <t>Today</t>
  </si>
  <si>
    <t>Mid</t>
  </si>
  <si>
    <t>CMA</t>
  </si>
  <si>
    <t>Cash Roll</t>
  </si>
  <si>
    <t>Total</t>
  </si>
  <si>
    <t>Physical</t>
  </si>
  <si>
    <t>Hedges</t>
  </si>
  <si>
    <t>Exposure</t>
  </si>
  <si>
    <t>Net</t>
  </si>
  <si>
    <t>DUB</t>
  </si>
  <si>
    <t>Corpus-Canada/LATAM</t>
  </si>
  <si>
    <t>STGT</t>
  </si>
  <si>
    <t>Corpus</t>
  </si>
  <si>
    <t>WTI VLCC Indics:</t>
  </si>
  <si>
    <t>AFRAMAX</t>
  </si>
  <si>
    <t>Pricing</t>
  </si>
  <si>
    <t>Level</t>
  </si>
  <si>
    <t>MEH Premium</t>
  </si>
  <si>
    <t>Houston (EHSC)</t>
  </si>
  <si>
    <t>VLCCs</t>
  </si>
  <si>
    <t>MODA</t>
  </si>
  <si>
    <t>Korea</t>
  </si>
  <si>
    <t>India</t>
  </si>
  <si>
    <t>Total Available</t>
  </si>
  <si>
    <t>Must export</t>
  </si>
  <si>
    <t>Early</t>
  </si>
  <si>
    <t>Late</t>
  </si>
  <si>
    <t>May BD</t>
  </si>
  <si>
    <t>5c Interco</t>
  </si>
  <si>
    <t>38c TVM Cost</t>
  </si>
  <si>
    <t>May Brt Swap</t>
  </si>
  <si>
    <t>Canal?</t>
  </si>
  <si>
    <t>WS Rate</t>
  </si>
  <si>
    <t>Corpus Christi-PTP Cost</t>
  </si>
  <si>
    <t xml:space="preserve">TVOM Days </t>
  </si>
  <si>
    <t>PTP-ASIA</t>
  </si>
  <si>
    <t>TVOM Days</t>
  </si>
  <si>
    <t>Other Costs</t>
  </si>
  <si>
    <t>TVOM Calculation</t>
  </si>
  <si>
    <t>PTP-EUROPE</t>
  </si>
  <si>
    <t>BAKKEN BMT</t>
  </si>
  <si>
    <t>FOB Beaumont</t>
  </si>
  <si>
    <t>PTP-Ecuador-Quintero</t>
  </si>
  <si>
    <t>**WS Rate Call has to be 0 when unsued</t>
  </si>
  <si>
    <t>BMT-PTP</t>
  </si>
  <si>
    <t>PTP-CENTRAL &amp; SOUTH AMERICA</t>
  </si>
  <si>
    <t>Beaumont-PTP Cost</t>
  </si>
  <si>
    <t>USG Whafage</t>
  </si>
  <si>
    <t>DIRECT via CANAL</t>
  </si>
  <si>
    <t>BMT-CENTRAL &amp; SOUTH AMERICA</t>
  </si>
  <si>
    <t>BMT-ASIA</t>
  </si>
  <si>
    <t>BMT-EUROPE</t>
  </si>
  <si>
    <t>FOB</t>
  </si>
  <si>
    <t>VAN-PAL</t>
  </si>
  <si>
    <t>VANCOUVER</t>
  </si>
  <si>
    <t>Vancouver</t>
  </si>
  <si>
    <t>LULA/SAPINHOA</t>
  </si>
  <si>
    <t>USWC/China</t>
  </si>
  <si>
    <t>FOB LA PALOMA</t>
  </si>
  <si>
    <t>USWCvsChina</t>
  </si>
  <si>
    <t>Chile/USWC</t>
  </si>
  <si>
    <t>La Paloma (Alpha Ligh. Zone)-PTP</t>
  </si>
  <si>
    <t>PTP-USWC</t>
  </si>
  <si>
    <t>Discharge Window</t>
  </si>
  <si>
    <t>La Paloma (Alpha Ligh. Zone)-PTP Cost</t>
  </si>
  <si>
    <t>Ecuador Port Charges</t>
  </si>
  <si>
    <t>Lightering/Reverse Lightering/Extra Port Cost</t>
  </si>
  <si>
    <t>el segundo</t>
  </si>
  <si>
    <t>La Paloma (Alpha Ligh. Zone)-USWC</t>
  </si>
  <si>
    <t>La Paloma (Alpha Ligh. Zone)-CENTRAL &amp; SOUTH AMERICA</t>
  </si>
  <si>
    <t>aframax</t>
  </si>
  <si>
    <t>IF(AK7=0,AJ7,AK7)</t>
  </si>
  <si>
    <t>La Paloma (Alpha Ligh. Zone)-ASIA</t>
  </si>
  <si>
    <t>La Paloma (Alpha Ligh. Zone)-CARIBS</t>
  </si>
  <si>
    <t>La Paloma (Alpha Ligh. Zone)-USGC</t>
  </si>
  <si>
    <t>La Paloma (Alpha Ligh. Zone)-EUROPE</t>
  </si>
  <si>
    <t>MARS</t>
  </si>
  <si>
    <t>Murban</t>
  </si>
  <si>
    <t>WTIM</t>
  </si>
  <si>
    <t>0 = Brent</t>
  </si>
  <si>
    <t xml:space="preserve"> 1 = DUB,</t>
  </si>
  <si>
    <t>2 = Dtd</t>
  </si>
  <si>
    <t>CORPUS-PTP</t>
  </si>
  <si>
    <t>Insurance+LC</t>
  </si>
  <si>
    <t>CORPUS- SA/CANADA</t>
  </si>
  <si>
    <t>LIZA</t>
  </si>
  <si>
    <t>FOB DTD</t>
  </si>
  <si>
    <t>0 = Dtd</t>
  </si>
  <si>
    <t>2 = ICE</t>
  </si>
  <si>
    <t>LIZA FPSO-PTP</t>
  </si>
  <si>
    <t>LIZA FPSO-PTP Cost</t>
  </si>
  <si>
    <t>LIZA FPSO</t>
  </si>
  <si>
    <t>LIZA FPSO- SA/CANADA</t>
  </si>
  <si>
    <t>LIZA FPSO-ASIA</t>
  </si>
  <si>
    <t>LIZA FPSO-EUROPE</t>
  </si>
  <si>
    <t>-1.35 meh+40</t>
  </si>
  <si>
    <t xml:space="preserve">--&gt; TVM Benefit </t>
  </si>
  <si>
    <t>MEH</t>
  </si>
  <si>
    <t>MEH Equivalent</t>
  </si>
  <si>
    <t>MEH/Dated Risk</t>
  </si>
  <si>
    <t>Secondary</t>
  </si>
  <si>
    <t>Hound</t>
  </si>
  <si>
    <t>Tsport</t>
  </si>
  <si>
    <t>Mongstad</t>
  </si>
  <si>
    <t>Sture</t>
  </si>
  <si>
    <t>SV</t>
  </si>
  <si>
    <t>CASTILLA</t>
  </si>
  <si>
    <t>FOB PA - Afra</t>
  </si>
  <si>
    <t>FOB Chiriqui</t>
  </si>
  <si>
    <t>COVENAS-PTP</t>
  </si>
  <si>
    <t>COVENAS-SA/USGC</t>
  </si>
  <si>
    <t>COVENAS-ASIA</t>
  </si>
  <si>
    <t>COVENAS-EUROPE</t>
  </si>
  <si>
    <t>MOLO</t>
  </si>
  <si>
    <t>TRINIDAD- SA/CANADA/USG</t>
  </si>
  <si>
    <t>Brt Swap</t>
  </si>
  <si>
    <t>2024 Bonus</t>
  </si>
  <si>
    <t>2025 Bonus</t>
  </si>
  <si>
    <t>Paid in 2026</t>
  </si>
  <si>
    <t>Paid in 2027</t>
  </si>
  <si>
    <t xml:space="preserve"> Paid in 2028</t>
  </si>
  <si>
    <t>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</si>
</sst>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_);_(&quot;$&quot;* \(#,##0.000\);_(&quot;$&quot;* &quot;-&quot;??_);_(@_)"/>
    <numFmt numFmtId="166" formatCode="&quot;$&quot;#.##"/>
    <numFmt numFmtId="167" formatCode="&quot;$&quot;##.##"/>
    <numFmt numFmtId="168" formatCode="##\ &quot;days&quot;"/>
    <numFmt numFmtId="169" formatCode="0.0"/>
    <numFmt numFmtId="170" formatCode="mmm\ dd"/>
    <numFmt numFmtId="171" formatCode="&quot;$&quot;#,##0.00"/>
    <numFmt numFmtId="172" formatCode="_(* #,##0.000_);_(* \(#,##0.000\);_(* &quot;-&quot;??_);_(@_)"/>
    <numFmt numFmtId="173" formatCode="_(* #,##0.0000_);_(* \(#,##0.0000\);_(* &quot;-&quot;??_);_(@_)"/>
    <numFmt numFmtId="174" formatCode="_(&quot;$&quot;* #,##0_);_(&quot;$&quot;* \(#,##0\);_(&quot;$&quot;* &quot;-&quot;??_);_(@_)"/>
    <numFmt numFmtId="175" formatCode="mmm"/>
    <numFmt numFmtId="176" formatCode="mmm\-dd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22"/>
      <color rgb="FFF8F8F8"/>
      <name val="Calibri"/>
      <family val="2"/>
      <scheme val="minor"/>
    </font>
    <font>
      <b/>
      <sz val="14"/>
      <color rgb="FFF8F8F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4"/>
      <color theme="0" tint="-0.249977111117893"/>
      <name val="Calibri"/>
      <family val="2"/>
      <scheme val="minor"/>
    </font>
    <font>
      <u/>
      <sz val="12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8"/>
      <color rgb="FFF8F8F8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rgb="FF333333"/>
      <name val="Verdana"/>
      <family val="2"/>
    </font>
    <font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</fills>
  <borders count="15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otted">
        <color indexed="64"/>
      </bottom>
      <diagonal/>
    </border>
    <border>
      <left/>
      <right/>
      <top style="dashDotDot">
        <color indexed="64"/>
      </top>
      <bottom style="dotted">
        <color indexed="64"/>
      </bottom>
      <diagonal/>
    </border>
    <border>
      <left/>
      <right/>
      <top style="dashDotDot">
        <color indexed="64"/>
      </top>
      <bottom/>
      <diagonal/>
    </border>
    <border>
      <left/>
      <right style="dotted">
        <color indexed="64"/>
      </right>
      <top style="dashDotDot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/>
      <top style="dotted">
        <color indexed="64"/>
      </top>
      <bottom style="dashDotDot">
        <color indexed="64"/>
      </bottom>
      <diagonal/>
    </border>
    <border>
      <left/>
      <right/>
      <top style="dotted">
        <color indexed="64"/>
      </top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dotted">
        <color indexed="64"/>
      </right>
      <top style="dotted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dotted">
        <color indexed="64"/>
      </top>
      <bottom style="dashDotDot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DotDot">
        <color indexed="64"/>
      </top>
      <bottom style="medium">
        <color indexed="64"/>
      </bottom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/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mediumDash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Dashed">
        <color indexed="64"/>
      </right>
      <top style="hair">
        <color indexed="64"/>
      </top>
      <bottom style="hair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Dashed">
        <color indexed="64"/>
      </right>
      <top style="dotted">
        <color indexed="64"/>
      </top>
      <bottom style="dotted">
        <color indexed="64"/>
      </bottom>
      <diagonal/>
    </border>
    <border>
      <left style="mediumDashed">
        <color indexed="64"/>
      </left>
      <right/>
      <top style="dott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dotted">
        <color indexed="64"/>
      </top>
      <bottom style="mediumDashed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Dashed">
        <color indexed="64"/>
      </left>
      <right/>
      <top style="hair">
        <color indexed="64"/>
      </top>
      <bottom/>
      <diagonal/>
    </border>
    <border>
      <left style="mediumDashed">
        <color indexed="64"/>
      </left>
      <right/>
      <top/>
      <bottom style="dotted">
        <color indexed="64"/>
      </bottom>
      <diagonal/>
    </border>
    <border>
      <left/>
      <right style="mediumDashed">
        <color indexed="64"/>
      </right>
      <top/>
      <bottom style="dotted">
        <color indexed="64"/>
      </bottom>
      <diagonal/>
    </border>
    <border>
      <left style="mediumDashed">
        <color indexed="64"/>
      </left>
      <right/>
      <top/>
      <bottom style="hair">
        <color indexed="64"/>
      </bottom>
      <diagonal/>
    </border>
    <border>
      <left/>
      <right style="mediumDashed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Fill="0" applyBorder="0" applyAlignment="0" applyProtection="0"/>
    <xf numFmtId="0" fontId="32" fillId="0" borderId="0"/>
  </cellStyleXfs>
  <cellXfs count="1072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43" fontId="6" fillId="0" borderId="0" xfId="1" applyFont="1" applyAlignment="1">
      <alignment horizontal="center"/>
    </xf>
    <xf numFmtId="44" fontId="6" fillId="0" borderId="0" xfId="0" applyNumberFormat="1" applyFont="1" applyAlignment="1">
      <alignment horizontal="center"/>
    </xf>
    <xf numFmtId="0" fontId="2" fillId="0" borderId="0" xfId="0" applyFont="1"/>
    <xf numFmtId="0" fontId="9" fillId="0" borderId="0" xfId="0" applyFont="1" applyAlignment="1">
      <alignment horizontal="center"/>
    </xf>
    <xf numFmtId="0" fontId="4" fillId="0" borderId="0" xfId="0" applyFont="1"/>
    <xf numFmtId="0" fontId="6" fillId="6" borderId="10" xfId="0" applyFont="1" applyFill="1" applyBorder="1" applyAlignment="1">
      <alignment horizontal="center"/>
    </xf>
    <xf numFmtId="0" fontId="3" fillId="0" borderId="3" xfId="0" applyFont="1" applyBorder="1"/>
    <xf numFmtId="44" fontId="3" fillId="5" borderId="0" xfId="2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44" fontId="3" fillId="4" borderId="0" xfId="0" applyNumberFormat="1" applyFont="1" applyFill="1" applyAlignment="1">
      <alignment horizontal="center"/>
    </xf>
    <xf numFmtId="164" fontId="6" fillId="6" borderId="6" xfId="1" applyNumberFormat="1" applyFont="1" applyFill="1" applyBorder="1" applyAlignment="1">
      <alignment horizontal="left"/>
    </xf>
    <xf numFmtId="43" fontId="6" fillId="6" borderId="11" xfId="1" applyFont="1" applyFill="1" applyBorder="1" applyAlignment="1">
      <alignment horizontal="center"/>
    </xf>
    <xf numFmtId="164" fontId="6" fillId="6" borderId="9" xfId="1" applyNumberFormat="1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164" fontId="6" fillId="6" borderId="9" xfId="1" applyNumberFormat="1" applyFont="1" applyFill="1" applyBorder="1" applyAlignment="1">
      <alignment horizontal="left"/>
    </xf>
    <xf numFmtId="43" fontId="6" fillId="6" borderId="14" xfId="1" applyFont="1" applyFill="1" applyBorder="1" applyAlignment="1">
      <alignment horizontal="center"/>
    </xf>
    <xf numFmtId="16" fontId="6" fillId="6" borderId="6" xfId="0" applyNumberFormat="1" applyFont="1" applyFill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67" fontId="3" fillId="4" borderId="0" xfId="0" applyNumberFormat="1" applyFont="1" applyFill="1" applyAlignment="1">
      <alignment horizontal="center"/>
    </xf>
    <xf numFmtId="167" fontId="3" fillId="5" borderId="0" xfId="0" applyNumberFormat="1" applyFont="1" applyFill="1" applyAlignment="1">
      <alignment horizontal="left"/>
    </xf>
    <xf numFmtId="164" fontId="3" fillId="4" borderId="0" xfId="1" applyNumberFormat="1" applyFont="1" applyFill="1" applyBorder="1" applyAlignment="1">
      <alignment horizontal="center"/>
    </xf>
    <xf numFmtId="164" fontId="7" fillId="4" borderId="1" xfId="1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/>
    </xf>
    <xf numFmtId="16" fontId="6" fillId="6" borderId="9" xfId="0" applyNumberFormat="1" applyFont="1" applyFill="1" applyBorder="1" applyAlignment="1">
      <alignment horizontal="center"/>
    </xf>
    <xf numFmtId="43" fontId="6" fillId="6" borderId="9" xfId="1" applyFont="1" applyFill="1" applyBorder="1" applyAlignment="1">
      <alignment horizontal="center"/>
    </xf>
    <xf numFmtId="44" fontId="6" fillId="6" borderId="9" xfId="2" applyFont="1" applyFill="1" applyBorder="1" applyAlignment="1">
      <alignment horizontal="center"/>
    </xf>
    <xf numFmtId="44" fontId="9" fillId="6" borderId="13" xfId="2" applyFont="1" applyFill="1" applyBorder="1" applyAlignment="1">
      <alignment horizontal="center"/>
    </xf>
    <xf numFmtId="44" fontId="9" fillId="6" borderId="15" xfId="2" applyFont="1" applyFill="1" applyBorder="1" applyAlignment="1">
      <alignment horizontal="center"/>
    </xf>
    <xf numFmtId="44" fontId="9" fillId="6" borderId="16" xfId="2" applyFont="1" applyFill="1" applyBorder="1" applyAlignment="1">
      <alignment horizontal="center"/>
    </xf>
    <xf numFmtId="44" fontId="9" fillId="6" borderId="17" xfId="2" applyFont="1" applyFill="1" applyBorder="1" applyAlignment="1">
      <alignment horizontal="center"/>
    </xf>
    <xf numFmtId="43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44" fontId="3" fillId="4" borderId="0" xfId="0" applyNumberFormat="1" applyFont="1" applyFill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6" fontId="3" fillId="4" borderId="0" xfId="0" applyNumberFormat="1" applyFont="1" applyFill="1" applyAlignment="1">
      <alignment horizontal="left" vertical="center"/>
    </xf>
    <xf numFmtId="44" fontId="3" fillId="5" borderId="0" xfId="2" applyFont="1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left"/>
    </xf>
    <xf numFmtId="167" fontId="3" fillId="5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6" borderId="0" xfId="0" applyFont="1" applyFill="1" applyAlignment="1">
      <alignment horizontal="left"/>
    </xf>
    <xf numFmtId="164" fontId="6" fillId="6" borderId="19" xfId="1" applyNumberFormat="1" applyFont="1" applyFill="1" applyBorder="1" applyAlignment="1">
      <alignment horizontal="center"/>
    </xf>
    <xf numFmtId="167" fontId="6" fillId="6" borderId="9" xfId="2" applyNumberFormat="1" applyFont="1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13" fillId="0" borderId="20" xfId="0" applyFont="1" applyBorder="1" applyAlignment="1">
      <alignment wrapText="1"/>
    </xf>
    <xf numFmtId="0" fontId="6" fillId="6" borderId="21" xfId="0" applyFont="1" applyFill="1" applyBorder="1" applyAlignment="1">
      <alignment horizontal="center"/>
    </xf>
    <xf numFmtId="164" fontId="6" fillId="6" borderId="21" xfId="1" applyNumberFormat="1" applyFont="1" applyFill="1" applyBorder="1" applyAlignment="1">
      <alignment horizontal="center"/>
    </xf>
    <xf numFmtId="164" fontId="6" fillId="8" borderId="21" xfId="1" applyNumberFormat="1" applyFont="1" applyFill="1" applyBorder="1" applyAlignment="1">
      <alignment horizontal="center"/>
    </xf>
    <xf numFmtId="164" fontId="6" fillId="7" borderId="6" xfId="1" applyNumberFormat="1" applyFont="1" applyFill="1" applyBorder="1" applyAlignment="1">
      <alignment horizontal="center"/>
    </xf>
    <xf numFmtId="0" fontId="15" fillId="3" borderId="2" xfId="0" applyFont="1" applyFill="1" applyBorder="1"/>
    <xf numFmtId="0" fontId="15" fillId="3" borderId="3" xfId="0" applyFont="1" applyFill="1" applyBorder="1"/>
    <xf numFmtId="0" fontId="16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6" fillId="4" borderId="5" xfId="0" applyFont="1" applyFill="1" applyBorder="1" applyAlignment="1">
      <alignment horizontal="center" vertical="center"/>
    </xf>
    <xf numFmtId="166" fontId="16" fillId="4" borderId="0" xfId="0" applyNumberFormat="1" applyFont="1" applyFill="1" applyAlignment="1">
      <alignment horizontal="center" vertical="center" wrapText="1"/>
    </xf>
    <xf numFmtId="0" fontId="17" fillId="6" borderId="12" xfId="0" applyFont="1" applyFill="1" applyBorder="1" applyAlignment="1">
      <alignment horizontal="center"/>
    </xf>
    <xf numFmtId="0" fontId="17" fillId="6" borderId="0" xfId="0" applyFont="1" applyFill="1" applyAlignment="1">
      <alignment horizontal="center"/>
    </xf>
    <xf numFmtId="16" fontId="17" fillId="6" borderId="0" xfId="0" applyNumberFormat="1" applyFont="1" applyFill="1" applyAlignment="1">
      <alignment horizontal="center"/>
    </xf>
    <xf numFmtId="43" fontId="17" fillId="6" borderId="0" xfId="1" applyFont="1" applyFill="1" applyAlignment="1">
      <alignment horizontal="center"/>
    </xf>
    <xf numFmtId="164" fontId="17" fillId="6" borderId="9" xfId="1" applyNumberFormat="1" applyFont="1" applyFill="1" applyBorder="1" applyAlignment="1">
      <alignment horizontal="center"/>
    </xf>
    <xf numFmtId="164" fontId="17" fillId="6" borderId="9" xfId="1" applyNumberFormat="1" applyFont="1" applyFill="1" applyBorder="1" applyAlignment="1">
      <alignment horizontal="left"/>
    </xf>
    <xf numFmtId="43" fontId="17" fillId="6" borderId="14" xfId="1" applyFont="1" applyFill="1" applyBorder="1" applyAlignment="1">
      <alignment horizontal="center"/>
    </xf>
    <xf numFmtId="166" fontId="17" fillId="6" borderId="13" xfId="2" applyNumberFormat="1" applyFont="1" applyFill="1" applyBorder="1" applyAlignment="1">
      <alignment horizontal="center"/>
    </xf>
    <xf numFmtId="16" fontId="17" fillId="6" borderId="6" xfId="0" applyNumberFormat="1" applyFont="1" applyFill="1" applyBorder="1" applyAlignment="1">
      <alignment horizontal="center"/>
    </xf>
    <xf numFmtId="43" fontId="17" fillId="6" borderId="6" xfId="1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43" fontId="0" fillId="0" borderId="0" xfId="0" applyNumberFormat="1"/>
    <xf numFmtId="44" fontId="0" fillId="0" borderId="0" xfId="0" applyNumberFormat="1"/>
    <xf numFmtId="164" fontId="0" fillId="0" borderId="0" xfId="0" applyNumberFormat="1"/>
    <xf numFmtId="0" fontId="18" fillId="0" borderId="0" xfId="0" applyFont="1"/>
    <xf numFmtId="44" fontId="9" fillId="2" borderId="13" xfId="2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170" fontId="6" fillId="6" borderId="21" xfId="0" applyNumberFormat="1" applyFont="1" applyFill="1" applyBorder="1" applyAlignment="1">
      <alignment horizontal="center"/>
    </xf>
    <xf numFmtId="170" fontId="3" fillId="6" borderId="2" xfId="0" applyNumberFormat="1" applyFont="1" applyFill="1" applyBorder="1" applyAlignment="1">
      <alignment horizontal="center"/>
    </xf>
    <xf numFmtId="170" fontId="3" fillId="6" borderId="4" xfId="0" applyNumberFormat="1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6" fillId="9" borderId="10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16" fontId="6" fillId="9" borderId="6" xfId="0" applyNumberFormat="1" applyFont="1" applyFill="1" applyBorder="1" applyAlignment="1">
      <alignment horizontal="center"/>
    </xf>
    <xf numFmtId="43" fontId="6" fillId="9" borderId="6" xfId="1" applyFont="1" applyFill="1" applyBorder="1" applyAlignment="1">
      <alignment horizontal="center"/>
    </xf>
    <xf numFmtId="0" fontId="6" fillId="9" borderId="9" xfId="0" applyFont="1" applyFill="1" applyBorder="1" applyAlignment="1">
      <alignment horizontal="left"/>
    </xf>
    <xf numFmtId="164" fontId="6" fillId="9" borderId="6" xfId="1" applyNumberFormat="1" applyFont="1" applyFill="1" applyBorder="1" applyAlignment="1">
      <alignment horizontal="left"/>
    </xf>
    <xf numFmtId="166" fontId="6" fillId="9" borderId="13" xfId="2" applyNumberFormat="1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16" fontId="6" fillId="9" borderId="0" xfId="0" applyNumberFormat="1" applyFont="1" applyFill="1" applyAlignment="1">
      <alignment horizontal="center"/>
    </xf>
    <xf numFmtId="43" fontId="6" fillId="9" borderId="0" xfId="1" applyFont="1" applyFill="1" applyAlignment="1">
      <alignment horizontal="center"/>
    </xf>
    <xf numFmtId="164" fontId="6" fillId="9" borderId="6" xfId="1" applyNumberFormat="1" applyFont="1" applyFill="1" applyBorder="1" applyAlignment="1">
      <alignment horizontal="center"/>
    </xf>
    <xf numFmtId="164" fontId="6" fillId="9" borderId="7" xfId="1" applyNumberFormat="1" applyFont="1" applyFill="1" applyBorder="1" applyAlignment="1">
      <alignment horizontal="center"/>
    </xf>
    <xf numFmtId="167" fontId="6" fillId="9" borderId="6" xfId="2" applyNumberFormat="1" applyFont="1" applyFill="1" applyBorder="1" applyAlignment="1">
      <alignment horizontal="center"/>
    </xf>
    <xf numFmtId="44" fontId="6" fillId="9" borderId="6" xfId="2" applyFont="1" applyFill="1" applyBorder="1" applyAlignment="1">
      <alignment horizontal="center"/>
    </xf>
    <xf numFmtId="44" fontId="9" fillId="9" borderId="8" xfId="2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16" fontId="17" fillId="9" borderId="0" xfId="0" applyNumberFormat="1" applyFont="1" applyFill="1" applyAlignment="1">
      <alignment horizontal="center"/>
    </xf>
    <xf numFmtId="43" fontId="17" fillId="9" borderId="0" xfId="1" applyFont="1" applyFill="1" applyAlignment="1">
      <alignment horizontal="center"/>
    </xf>
    <xf numFmtId="0" fontId="17" fillId="9" borderId="9" xfId="0" applyFont="1" applyFill="1" applyBorder="1" applyAlignment="1">
      <alignment horizontal="left"/>
    </xf>
    <xf numFmtId="164" fontId="17" fillId="9" borderId="9" xfId="1" applyNumberFormat="1" applyFont="1" applyFill="1" applyBorder="1" applyAlignment="1">
      <alignment horizontal="center"/>
    </xf>
    <xf numFmtId="164" fontId="17" fillId="9" borderId="9" xfId="1" applyNumberFormat="1" applyFont="1" applyFill="1" applyBorder="1" applyAlignment="1">
      <alignment horizontal="left"/>
    </xf>
    <xf numFmtId="43" fontId="17" fillId="9" borderId="14" xfId="1" applyFont="1" applyFill="1" applyBorder="1" applyAlignment="1">
      <alignment horizontal="center"/>
    </xf>
    <xf numFmtId="166" fontId="17" fillId="9" borderId="13" xfId="2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44" fontId="9" fillId="0" borderId="8" xfId="2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10" fontId="6" fillId="0" borderId="0" xfId="3" applyNumberFormat="1" applyFont="1" applyAlignment="1">
      <alignment horizontal="center"/>
    </xf>
    <xf numFmtId="167" fontId="0" fillId="0" borderId="0" xfId="0" applyNumberFormat="1"/>
    <xf numFmtId="0" fontId="22" fillId="0" borderId="0" xfId="0" applyFont="1"/>
    <xf numFmtId="164" fontId="6" fillId="6" borderId="0" xfId="1" applyNumberFormat="1" applyFont="1" applyFill="1" applyAlignment="1">
      <alignment horizontal="center"/>
    </xf>
    <xf numFmtId="44" fontId="6" fillId="0" borderId="0" xfId="2" applyFont="1" applyAlignment="1">
      <alignment horizontal="center"/>
    </xf>
    <xf numFmtId="0" fontId="8" fillId="0" borderId="0" xfId="0" applyFont="1" applyAlignment="1">
      <alignment horizontal="left"/>
    </xf>
    <xf numFmtId="165" fontId="6" fillId="0" borderId="0" xfId="2" applyNumberFormat="1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166" fontId="7" fillId="4" borderId="0" xfId="0" applyNumberFormat="1" applyFont="1" applyFill="1" applyAlignment="1">
      <alignment horizontal="center" vertical="center" wrapText="1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9" fontId="6" fillId="0" borderId="0" xfId="0" applyNumberFormat="1" applyFont="1" applyAlignment="1">
      <alignment horizontal="center"/>
    </xf>
    <xf numFmtId="164" fontId="14" fillId="4" borderId="1" xfId="1" applyNumberFormat="1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/>
    </xf>
    <xf numFmtId="164" fontId="3" fillId="2" borderId="23" xfId="1" applyNumberFormat="1" applyFont="1" applyFill="1" applyBorder="1" applyAlignment="1">
      <alignment horizontal="center"/>
    </xf>
    <xf numFmtId="164" fontId="17" fillId="6" borderId="0" xfId="1" applyNumberFormat="1" applyFont="1" applyFill="1" applyAlignment="1">
      <alignment horizontal="center"/>
    </xf>
    <xf numFmtId="1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43" fontId="6" fillId="0" borderId="6" xfId="1" applyFont="1" applyBorder="1" applyAlignment="1">
      <alignment horizontal="center"/>
    </xf>
    <xf numFmtId="44" fontId="9" fillId="2" borderId="8" xfId="2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16" fontId="6" fillId="6" borderId="0" xfId="0" applyNumberFormat="1" applyFont="1" applyFill="1" applyAlignment="1">
      <alignment horizontal="center"/>
    </xf>
    <xf numFmtId="43" fontId="6" fillId="6" borderId="0" xfId="1" applyFont="1" applyFill="1" applyAlignment="1">
      <alignment horizontal="center"/>
    </xf>
    <xf numFmtId="164" fontId="6" fillId="6" borderId="6" xfId="1" applyNumberFormat="1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44" fontId="6" fillId="6" borderId="6" xfId="2" applyFont="1" applyFill="1" applyBorder="1" applyAlignment="1">
      <alignment horizontal="center"/>
    </xf>
    <xf numFmtId="43" fontId="6" fillId="6" borderId="6" xfId="1" applyFont="1" applyFill="1" applyBorder="1" applyAlignment="1">
      <alignment horizontal="center"/>
    </xf>
    <xf numFmtId="44" fontId="9" fillId="6" borderId="8" xfId="2" applyFont="1" applyFill="1" applyBorder="1" applyAlignment="1">
      <alignment horizontal="center"/>
    </xf>
    <xf numFmtId="164" fontId="7" fillId="4" borderId="0" xfId="1" applyNumberFormat="1" applyFont="1" applyFill="1" applyAlignment="1">
      <alignment horizontal="center" vertical="center" wrapText="1"/>
    </xf>
    <xf numFmtId="0" fontId="6" fillId="6" borderId="9" xfId="0" applyFont="1" applyFill="1" applyBorder="1" applyAlignment="1">
      <alignment horizontal="left"/>
    </xf>
    <xf numFmtId="166" fontId="6" fillId="6" borderId="13" xfId="2" applyNumberFormat="1" applyFont="1" applyFill="1" applyBorder="1" applyAlignment="1">
      <alignment horizontal="center"/>
    </xf>
    <xf numFmtId="167" fontId="6" fillId="6" borderId="6" xfId="2" applyNumberFormat="1" applyFont="1" applyFill="1" applyBorder="1" applyAlignment="1">
      <alignment horizontal="center"/>
    </xf>
    <xf numFmtId="167" fontId="7" fillId="4" borderId="0" xfId="0" applyNumberFormat="1" applyFont="1" applyFill="1" applyAlignment="1">
      <alignment horizontal="center" vertical="center" wrapText="1"/>
    </xf>
    <xf numFmtId="164" fontId="6" fillId="6" borderId="7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168" fontId="9" fillId="0" borderId="8" xfId="1" applyNumberFormat="1" applyFont="1" applyFill="1" applyBorder="1" applyAlignment="1">
      <alignment horizontal="center" wrapText="1"/>
    </xf>
    <xf numFmtId="164" fontId="6" fillId="0" borderId="0" xfId="1" applyNumberFormat="1" applyFont="1" applyAlignment="1">
      <alignment horizontal="left"/>
    </xf>
    <xf numFmtId="164" fontId="6" fillId="0" borderId="6" xfId="1" applyNumberFormat="1" applyFont="1" applyBorder="1" applyAlignment="1">
      <alignment horizontal="center"/>
    </xf>
    <xf numFmtId="0" fontId="17" fillId="6" borderId="9" xfId="0" applyFont="1" applyFill="1" applyBorder="1" applyAlignment="1">
      <alignment horizontal="left"/>
    </xf>
    <xf numFmtId="0" fontId="17" fillId="6" borderId="10" xfId="0" applyFont="1" applyFill="1" applyBorder="1" applyAlignment="1">
      <alignment horizontal="center"/>
    </xf>
    <xf numFmtId="0" fontId="17" fillId="6" borderId="6" xfId="0" applyFont="1" applyFill="1" applyBorder="1" applyAlignment="1">
      <alignment horizontal="center"/>
    </xf>
    <xf numFmtId="164" fontId="17" fillId="6" borderId="6" xfId="1" applyNumberFormat="1" applyFont="1" applyFill="1" applyBorder="1" applyAlignment="1">
      <alignment horizontal="center"/>
    </xf>
    <xf numFmtId="164" fontId="17" fillId="6" borderId="6" xfId="1" applyNumberFormat="1" applyFont="1" applyFill="1" applyBorder="1" applyAlignment="1">
      <alignment horizontal="left"/>
    </xf>
    <xf numFmtId="43" fontId="17" fillId="6" borderId="11" xfId="1" applyFont="1" applyFill="1" applyBorder="1" applyAlignment="1">
      <alignment horizontal="center"/>
    </xf>
    <xf numFmtId="166" fontId="17" fillId="6" borderId="8" xfId="2" applyNumberFormat="1" applyFont="1" applyFill="1" applyBorder="1" applyAlignment="1">
      <alignment horizontal="center"/>
    </xf>
    <xf numFmtId="170" fontId="6" fillId="6" borderId="6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16" fontId="6" fillId="12" borderId="0" xfId="0" applyNumberFormat="1" applyFont="1" applyFill="1" applyAlignment="1">
      <alignment horizontal="center"/>
    </xf>
    <xf numFmtId="0" fontId="27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164" fontId="24" fillId="0" borderId="0" xfId="1" applyNumberFormat="1" applyFont="1" applyAlignment="1">
      <alignment horizontal="left"/>
    </xf>
    <xf numFmtId="0" fontId="28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164" fontId="28" fillId="6" borderId="0" xfId="1" applyNumberFormat="1" applyFont="1" applyFill="1" applyAlignment="1">
      <alignment horizontal="center"/>
    </xf>
    <xf numFmtId="0" fontId="28" fillId="6" borderId="6" xfId="0" applyFont="1" applyFill="1" applyBorder="1" applyAlignment="1">
      <alignment horizontal="center"/>
    </xf>
    <xf numFmtId="0" fontId="28" fillId="6" borderId="9" xfId="0" applyFont="1" applyFill="1" applyBorder="1" applyAlignment="1">
      <alignment horizontal="left"/>
    </xf>
    <xf numFmtId="164" fontId="28" fillId="6" borderId="6" xfId="1" applyNumberFormat="1" applyFont="1" applyFill="1" applyBorder="1" applyAlignment="1">
      <alignment horizontal="center"/>
    </xf>
    <xf numFmtId="164" fontId="28" fillId="6" borderId="9" xfId="1" applyNumberFormat="1" applyFont="1" applyFill="1" applyBorder="1" applyAlignment="1">
      <alignment horizontal="left"/>
    </xf>
    <xf numFmtId="43" fontId="28" fillId="6" borderId="14" xfId="1" applyFont="1" applyFill="1" applyBorder="1" applyAlignment="1">
      <alignment horizontal="center"/>
    </xf>
    <xf numFmtId="166" fontId="28" fillId="6" borderId="13" xfId="2" applyNumberFormat="1" applyFont="1" applyFill="1" applyBorder="1" applyAlignment="1">
      <alignment horizontal="center"/>
    </xf>
    <xf numFmtId="164" fontId="28" fillId="6" borderId="6" xfId="1" applyNumberFormat="1" applyFont="1" applyFill="1" applyBorder="1" applyAlignment="1">
      <alignment horizontal="left"/>
    </xf>
    <xf numFmtId="43" fontId="28" fillId="6" borderId="11" xfId="1" applyFont="1" applyFill="1" applyBorder="1" applyAlignment="1">
      <alignment horizontal="center"/>
    </xf>
    <xf numFmtId="0" fontId="0" fillId="12" borderId="0" xfId="0" applyFill="1"/>
    <xf numFmtId="164" fontId="6" fillId="12" borderId="0" xfId="1" applyNumberFormat="1" applyFont="1" applyFill="1" applyAlignment="1">
      <alignment horizontal="center"/>
    </xf>
    <xf numFmtId="0" fontId="6" fillId="12" borderId="0" xfId="0" applyFont="1" applyFill="1" applyAlignment="1">
      <alignment horizontal="left"/>
    </xf>
    <xf numFmtId="44" fontId="6" fillId="12" borderId="0" xfId="2" applyFont="1" applyFill="1" applyAlignment="1">
      <alignment horizontal="center"/>
    </xf>
    <xf numFmtId="0" fontId="8" fillId="12" borderId="0" xfId="0" applyFont="1" applyFill="1" applyAlignment="1">
      <alignment horizontal="left"/>
    </xf>
    <xf numFmtId="164" fontId="8" fillId="12" borderId="0" xfId="1" applyNumberFormat="1" applyFont="1" applyFill="1" applyAlignment="1">
      <alignment horizontal="left"/>
    </xf>
    <xf numFmtId="43" fontId="6" fillId="12" borderId="0" xfId="0" applyNumberFormat="1" applyFont="1" applyFill="1" applyAlignment="1">
      <alignment horizontal="left"/>
    </xf>
    <xf numFmtId="164" fontId="6" fillId="12" borderId="0" xfId="0" applyNumberFormat="1" applyFont="1" applyFill="1" applyAlignment="1">
      <alignment horizontal="center"/>
    </xf>
    <xf numFmtId="14" fontId="6" fillId="12" borderId="0" xfId="0" applyNumberFormat="1" applyFont="1" applyFill="1" applyAlignment="1">
      <alignment horizontal="center"/>
    </xf>
    <xf numFmtId="10" fontId="6" fillId="12" borderId="0" xfId="3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3" fillId="0" borderId="20" xfId="0" applyFont="1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170" fontId="0" fillId="0" borderId="0" xfId="0" applyNumberFormat="1"/>
    <xf numFmtId="43" fontId="0" fillId="0" borderId="0" xfId="1" applyFont="1"/>
    <xf numFmtId="16" fontId="6" fillId="0" borderId="0" xfId="1" applyNumberFormat="1" applyFont="1" applyAlignment="1">
      <alignment horizontal="center"/>
    </xf>
    <xf numFmtId="164" fontId="6" fillId="2" borderId="7" xfId="1" applyNumberFormat="1" applyFont="1" applyFill="1" applyBorder="1" applyAlignment="1">
      <alignment horizontal="center"/>
    </xf>
    <xf numFmtId="170" fontId="0" fillId="0" borderId="0" xfId="1" applyNumberFormat="1" applyFont="1"/>
    <xf numFmtId="167" fontId="6" fillId="6" borderId="21" xfId="2" applyNumberFormat="1" applyFont="1" applyFill="1" applyBorder="1" applyAlignment="1">
      <alignment horizontal="center"/>
    </xf>
    <xf numFmtId="167" fontId="6" fillId="11" borderId="9" xfId="2" applyNumberFormat="1" applyFont="1" applyFill="1" applyBorder="1" applyAlignment="1">
      <alignment horizontal="center"/>
    </xf>
    <xf numFmtId="171" fontId="0" fillId="0" borderId="0" xfId="0" applyNumberFormat="1"/>
    <xf numFmtId="164" fontId="6" fillId="6" borderId="25" xfId="1" applyNumberFormat="1" applyFont="1" applyFill="1" applyBorder="1" applyAlignment="1">
      <alignment horizontal="center"/>
    </xf>
    <xf numFmtId="0" fontId="3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166" fontId="3" fillId="10" borderId="0" xfId="0" applyNumberFormat="1" applyFont="1" applyFill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164" fontId="3" fillId="10" borderId="0" xfId="1" applyNumberFormat="1" applyFont="1" applyFill="1" applyBorder="1" applyAlignment="1">
      <alignment horizontal="center" vertical="center"/>
    </xf>
    <xf numFmtId="44" fontId="3" fillId="10" borderId="0" xfId="2" applyFont="1" applyFill="1" applyBorder="1" applyAlignment="1">
      <alignment horizontal="center" vertical="center"/>
    </xf>
    <xf numFmtId="170" fontId="6" fillId="10" borderId="21" xfId="0" applyNumberFormat="1" applyFont="1" applyFill="1" applyBorder="1" applyAlignment="1">
      <alignment horizontal="center"/>
    </xf>
    <xf numFmtId="0" fontId="0" fillId="10" borderId="0" xfId="0" applyFill="1"/>
    <xf numFmtId="0" fontId="6" fillId="10" borderId="10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164" fontId="6" fillId="10" borderId="0" xfId="1" applyNumberFormat="1" applyFont="1" applyFill="1" applyAlignment="1">
      <alignment horizontal="center"/>
    </xf>
    <xf numFmtId="164" fontId="6" fillId="10" borderId="6" xfId="1" applyNumberFormat="1" applyFont="1" applyFill="1" applyBorder="1" applyAlignment="1">
      <alignment horizontal="center"/>
    </xf>
    <xf numFmtId="0" fontId="6" fillId="10" borderId="9" xfId="0" applyFont="1" applyFill="1" applyBorder="1" applyAlignment="1">
      <alignment horizontal="left"/>
    </xf>
    <xf numFmtId="164" fontId="6" fillId="10" borderId="9" xfId="1" applyNumberFormat="1" applyFont="1" applyFill="1" applyBorder="1" applyAlignment="1">
      <alignment horizontal="center"/>
    </xf>
    <xf numFmtId="164" fontId="6" fillId="10" borderId="6" xfId="1" applyNumberFormat="1" applyFont="1" applyFill="1" applyBorder="1" applyAlignment="1">
      <alignment horizontal="left"/>
    </xf>
    <xf numFmtId="43" fontId="6" fillId="10" borderId="11" xfId="1" applyFont="1" applyFill="1" applyBorder="1" applyAlignment="1">
      <alignment horizontal="center"/>
    </xf>
    <xf numFmtId="166" fontId="6" fillId="10" borderId="13" xfId="2" applyNumberFormat="1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16" fontId="6" fillId="10" borderId="0" xfId="0" applyNumberFormat="1" applyFont="1" applyFill="1" applyAlignment="1">
      <alignment horizontal="center"/>
    </xf>
    <xf numFmtId="43" fontId="6" fillId="10" borderId="0" xfId="1" applyFont="1" applyFill="1" applyAlignment="1">
      <alignment horizontal="center"/>
    </xf>
    <xf numFmtId="0" fontId="3" fillId="10" borderId="6" xfId="0" applyFont="1" applyFill="1" applyBorder="1" applyAlignment="1">
      <alignment horizontal="center"/>
    </xf>
    <xf numFmtId="164" fontId="6" fillId="10" borderId="7" xfId="1" applyNumberFormat="1" applyFont="1" applyFill="1" applyBorder="1" applyAlignment="1">
      <alignment horizontal="center"/>
    </xf>
    <xf numFmtId="167" fontId="6" fillId="10" borderId="6" xfId="2" applyNumberFormat="1" applyFont="1" applyFill="1" applyBorder="1" applyAlignment="1">
      <alignment horizontal="center"/>
    </xf>
    <xf numFmtId="43" fontId="6" fillId="10" borderId="6" xfId="1" applyFont="1" applyFill="1" applyBorder="1" applyAlignment="1">
      <alignment horizontal="center"/>
    </xf>
    <xf numFmtId="44" fontId="6" fillId="10" borderId="6" xfId="2" applyFont="1" applyFill="1" applyBorder="1" applyAlignment="1">
      <alignment horizontal="center"/>
    </xf>
    <xf numFmtId="44" fontId="9" fillId="10" borderId="8" xfId="2" applyFont="1" applyFill="1" applyBorder="1" applyAlignment="1">
      <alignment horizontal="center"/>
    </xf>
    <xf numFmtId="168" fontId="9" fillId="10" borderId="8" xfId="1" applyNumberFormat="1" applyFont="1" applyFill="1" applyBorder="1" applyAlignment="1">
      <alignment horizontal="center" wrapText="1"/>
    </xf>
    <xf numFmtId="170" fontId="6" fillId="10" borderId="6" xfId="0" applyNumberFormat="1" applyFont="1" applyFill="1" applyBorder="1" applyAlignment="1">
      <alignment horizontal="center"/>
    </xf>
    <xf numFmtId="167" fontId="6" fillId="10" borderId="23" xfId="2" applyNumberFormat="1" applyFont="1" applyFill="1" applyBorder="1" applyAlignment="1">
      <alignment horizontal="center"/>
    </xf>
    <xf numFmtId="0" fontId="28" fillId="10" borderId="10" xfId="0" applyFont="1" applyFill="1" applyBorder="1" applyAlignment="1">
      <alignment horizontal="center"/>
    </xf>
    <xf numFmtId="0" fontId="28" fillId="10" borderId="6" xfId="0" applyFont="1" applyFill="1" applyBorder="1" applyAlignment="1">
      <alignment horizontal="center"/>
    </xf>
    <xf numFmtId="164" fontId="28" fillId="10" borderId="0" xfId="1" applyNumberFormat="1" applyFont="1" applyFill="1" applyAlignment="1">
      <alignment horizontal="center"/>
    </xf>
    <xf numFmtId="164" fontId="28" fillId="10" borderId="6" xfId="1" applyNumberFormat="1" applyFont="1" applyFill="1" applyBorder="1" applyAlignment="1">
      <alignment horizontal="center"/>
    </xf>
    <xf numFmtId="0" fontId="28" fillId="10" borderId="9" xfId="0" applyFont="1" applyFill="1" applyBorder="1" applyAlignment="1">
      <alignment horizontal="left"/>
    </xf>
    <xf numFmtId="164" fontId="28" fillId="10" borderId="6" xfId="1" applyNumberFormat="1" applyFont="1" applyFill="1" applyBorder="1" applyAlignment="1">
      <alignment horizontal="left"/>
    </xf>
    <xf numFmtId="43" fontId="28" fillId="10" borderId="11" xfId="1" applyFont="1" applyFill="1" applyBorder="1" applyAlignment="1">
      <alignment horizontal="center"/>
    </xf>
    <xf numFmtId="166" fontId="28" fillId="10" borderId="13" xfId="2" applyNumberFormat="1" applyFont="1" applyFill="1" applyBorder="1" applyAlignment="1">
      <alignment horizontal="center"/>
    </xf>
    <xf numFmtId="0" fontId="28" fillId="10" borderId="9" xfId="0" applyFont="1" applyFill="1" applyBorder="1" applyAlignment="1">
      <alignment horizontal="center"/>
    </xf>
    <xf numFmtId="164" fontId="28" fillId="10" borderId="9" xfId="1" applyNumberFormat="1" applyFont="1" applyFill="1" applyBorder="1" applyAlignment="1">
      <alignment horizontal="center"/>
    </xf>
    <xf numFmtId="164" fontId="28" fillId="10" borderId="9" xfId="1" applyNumberFormat="1" applyFont="1" applyFill="1" applyBorder="1" applyAlignment="1">
      <alignment horizontal="left"/>
    </xf>
    <xf numFmtId="43" fontId="28" fillId="10" borderId="14" xfId="1" applyFont="1" applyFill="1" applyBorder="1" applyAlignment="1">
      <alignment horizontal="center"/>
    </xf>
    <xf numFmtId="0" fontId="17" fillId="10" borderId="10" xfId="0" applyFont="1" applyFill="1" applyBorder="1" applyAlignment="1">
      <alignment horizontal="center"/>
    </xf>
    <xf numFmtId="0" fontId="17" fillId="10" borderId="6" xfId="0" applyFont="1" applyFill="1" applyBorder="1" applyAlignment="1">
      <alignment horizontal="center"/>
    </xf>
    <xf numFmtId="164" fontId="17" fillId="10" borderId="6" xfId="1" applyNumberFormat="1" applyFont="1" applyFill="1" applyBorder="1" applyAlignment="1">
      <alignment horizontal="center"/>
    </xf>
    <xf numFmtId="0" fontId="17" fillId="10" borderId="9" xfId="0" applyFont="1" applyFill="1" applyBorder="1" applyAlignment="1">
      <alignment horizontal="left"/>
    </xf>
    <xf numFmtId="164" fontId="17" fillId="10" borderId="6" xfId="1" applyNumberFormat="1" applyFont="1" applyFill="1" applyBorder="1" applyAlignment="1">
      <alignment horizontal="left"/>
    </xf>
    <xf numFmtId="43" fontId="17" fillId="10" borderId="11" xfId="1" applyFont="1" applyFill="1" applyBorder="1" applyAlignment="1">
      <alignment horizontal="center"/>
    </xf>
    <xf numFmtId="166" fontId="17" fillId="10" borderId="8" xfId="2" applyNumberFormat="1" applyFont="1" applyFill="1" applyBorder="1" applyAlignment="1">
      <alignment horizontal="center"/>
    </xf>
    <xf numFmtId="0" fontId="17" fillId="10" borderId="12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164" fontId="17" fillId="10" borderId="0" xfId="1" applyNumberFormat="1" applyFont="1" applyFill="1" applyAlignment="1">
      <alignment horizontal="center"/>
    </xf>
    <xf numFmtId="164" fontId="17" fillId="10" borderId="9" xfId="1" applyNumberFormat="1" applyFont="1" applyFill="1" applyBorder="1" applyAlignment="1">
      <alignment horizontal="center"/>
    </xf>
    <xf numFmtId="164" fontId="17" fillId="10" borderId="9" xfId="1" applyNumberFormat="1" applyFont="1" applyFill="1" applyBorder="1" applyAlignment="1">
      <alignment horizontal="left"/>
    </xf>
    <xf numFmtId="43" fontId="17" fillId="10" borderId="14" xfId="1" applyFont="1" applyFill="1" applyBorder="1" applyAlignment="1">
      <alignment horizontal="center"/>
    </xf>
    <xf numFmtId="166" fontId="17" fillId="10" borderId="13" xfId="2" applyNumberFormat="1" applyFont="1" applyFill="1" applyBorder="1" applyAlignment="1">
      <alignment horizontal="center"/>
    </xf>
    <xf numFmtId="0" fontId="6" fillId="10" borderId="0" xfId="0" applyFont="1" applyFill="1" applyAlignment="1">
      <alignment horizontal="left"/>
    </xf>
    <xf numFmtId="166" fontId="6" fillId="0" borderId="13" xfId="2" applyNumberFormat="1" applyFont="1" applyFill="1" applyBorder="1" applyAlignment="1">
      <alignment horizontal="center"/>
    </xf>
    <xf numFmtId="44" fontId="9" fillId="2" borderId="16" xfId="2" applyFont="1" applyFill="1" applyBorder="1" applyAlignment="1">
      <alignment horizontal="center"/>
    </xf>
    <xf numFmtId="44" fontId="9" fillId="15" borderId="8" xfId="2" applyFont="1" applyFill="1" applyBorder="1" applyAlignment="1">
      <alignment horizontal="center"/>
    </xf>
    <xf numFmtId="164" fontId="6" fillId="10" borderId="25" xfId="1" applyNumberFormat="1" applyFont="1" applyFill="1" applyBorder="1" applyAlignment="1">
      <alignment horizontal="center"/>
    </xf>
    <xf numFmtId="164" fontId="6" fillId="6" borderId="23" xfId="1" applyNumberFormat="1" applyFont="1" applyFill="1" applyBorder="1" applyAlignment="1">
      <alignment horizontal="center"/>
    </xf>
    <xf numFmtId="164" fontId="6" fillId="10" borderId="19" xfId="1" applyNumberFormat="1" applyFont="1" applyFill="1" applyBorder="1" applyAlignment="1">
      <alignment horizontal="center"/>
    </xf>
    <xf numFmtId="164" fontId="6" fillId="6" borderId="26" xfId="1" applyNumberFormat="1" applyFont="1" applyFill="1" applyBorder="1" applyAlignment="1">
      <alignment horizontal="center"/>
    </xf>
    <xf numFmtId="164" fontId="6" fillId="10" borderId="27" xfId="1" applyNumberFormat="1" applyFont="1" applyFill="1" applyBorder="1" applyAlignment="1">
      <alignment horizontal="center"/>
    </xf>
    <xf numFmtId="164" fontId="0" fillId="0" borderId="0" xfId="1" applyNumberFormat="1" applyFont="1"/>
    <xf numFmtId="172" fontId="6" fillId="0" borderId="0" xfId="0" applyNumberFormat="1" applyFont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4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173" fontId="6" fillId="0" borderId="0" xfId="0" applyNumberFormat="1" applyFont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26" fillId="10" borderId="6" xfId="0" applyFont="1" applyFill="1" applyBorder="1" applyAlignment="1">
      <alignment horizontal="center"/>
    </xf>
    <xf numFmtId="164" fontId="26" fillId="10" borderId="0" xfId="1" applyNumberFormat="1" applyFont="1" applyFill="1" applyAlignment="1">
      <alignment horizontal="center"/>
    </xf>
    <xf numFmtId="164" fontId="26" fillId="10" borderId="6" xfId="1" applyNumberFormat="1" applyFont="1" applyFill="1" applyBorder="1" applyAlignment="1">
      <alignment horizontal="center"/>
    </xf>
    <xf numFmtId="0" fontId="26" fillId="10" borderId="9" xfId="0" applyFont="1" applyFill="1" applyBorder="1" applyAlignment="1">
      <alignment horizontal="left"/>
    </xf>
    <xf numFmtId="164" fontId="26" fillId="10" borderId="6" xfId="1" applyNumberFormat="1" applyFont="1" applyFill="1" applyBorder="1" applyAlignment="1">
      <alignment horizontal="left"/>
    </xf>
    <xf numFmtId="43" fontId="26" fillId="10" borderId="11" xfId="1" applyFont="1" applyFill="1" applyBorder="1" applyAlignment="1">
      <alignment horizontal="center"/>
    </xf>
    <xf numFmtId="166" fontId="26" fillId="10" borderId="8" xfId="2" applyNumberFormat="1" applyFont="1" applyFill="1" applyBorder="1" applyAlignment="1">
      <alignment horizontal="center"/>
    </xf>
    <xf numFmtId="166" fontId="26" fillId="6" borderId="13" xfId="2" applyNumberFormat="1" applyFont="1" applyFill="1" applyBorder="1" applyAlignment="1">
      <alignment horizontal="center"/>
    </xf>
    <xf numFmtId="0" fontId="31" fillId="6" borderId="12" xfId="0" applyFont="1" applyFill="1" applyBorder="1" applyAlignment="1">
      <alignment horizontal="center"/>
    </xf>
    <xf numFmtId="0" fontId="31" fillId="6" borderId="0" xfId="0" applyFont="1" applyFill="1" applyAlignment="1">
      <alignment horizontal="center"/>
    </xf>
    <xf numFmtId="164" fontId="31" fillId="6" borderId="0" xfId="1" applyNumberFormat="1" applyFont="1" applyFill="1" applyAlignment="1">
      <alignment horizontal="center"/>
    </xf>
    <xf numFmtId="0" fontId="31" fillId="6" borderId="9" xfId="0" applyFont="1" applyFill="1" applyBorder="1" applyAlignment="1">
      <alignment horizontal="left"/>
    </xf>
    <xf numFmtId="164" fontId="31" fillId="6" borderId="6" xfId="1" applyNumberFormat="1" applyFont="1" applyFill="1" applyBorder="1" applyAlignment="1">
      <alignment horizontal="center"/>
    </xf>
    <xf numFmtId="164" fontId="31" fillId="6" borderId="9" xfId="1" applyNumberFormat="1" applyFont="1" applyFill="1" applyBorder="1" applyAlignment="1">
      <alignment horizontal="left"/>
    </xf>
    <xf numFmtId="43" fontId="31" fillId="6" borderId="14" xfId="1" applyFont="1" applyFill="1" applyBorder="1" applyAlignment="1">
      <alignment horizontal="center"/>
    </xf>
    <xf numFmtId="170" fontId="3" fillId="2" borderId="6" xfId="0" applyNumberFormat="1" applyFont="1" applyFill="1" applyBorder="1" applyAlignment="1">
      <alignment horizontal="center"/>
    </xf>
    <xf numFmtId="43" fontId="3" fillId="2" borderId="6" xfId="1" applyFont="1" applyFill="1" applyBorder="1" applyAlignment="1">
      <alignment horizontal="center"/>
    </xf>
    <xf numFmtId="0" fontId="31" fillId="10" borderId="10" xfId="0" applyFont="1" applyFill="1" applyBorder="1" applyAlignment="1">
      <alignment horizontal="center"/>
    </xf>
    <xf numFmtId="0" fontId="31" fillId="10" borderId="6" xfId="0" applyFont="1" applyFill="1" applyBorder="1" applyAlignment="1">
      <alignment horizontal="center"/>
    </xf>
    <xf numFmtId="164" fontId="31" fillId="10" borderId="0" xfId="1" applyNumberFormat="1" applyFont="1" applyFill="1" applyAlignment="1">
      <alignment horizontal="center"/>
    </xf>
    <xf numFmtId="164" fontId="31" fillId="10" borderId="6" xfId="1" applyNumberFormat="1" applyFont="1" applyFill="1" applyBorder="1" applyAlignment="1">
      <alignment horizontal="center"/>
    </xf>
    <xf numFmtId="0" fontId="31" fillId="10" borderId="9" xfId="0" applyFont="1" applyFill="1" applyBorder="1" applyAlignment="1">
      <alignment horizontal="left"/>
    </xf>
    <xf numFmtId="164" fontId="31" fillId="10" borderId="6" xfId="1" applyNumberFormat="1" applyFont="1" applyFill="1" applyBorder="1" applyAlignment="1">
      <alignment horizontal="left"/>
    </xf>
    <xf numFmtId="43" fontId="31" fillId="10" borderId="11" xfId="1" applyFont="1" applyFill="1" applyBorder="1" applyAlignment="1">
      <alignment horizontal="center"/>
    </xf>
    <xf numFmtId="166" fontId="31" fillId="10" borderId="8" xfId="2" applyNumberFormat="1" applyFont="1" applyFill="1" applyBorder="1" applyAlignment="1">
      <alignment horizontal="center"/>
    </xf>
    <xf numFmtId="164" fontId="6" fillId="10" borderId="35" xfId="1" applyNumberFormat="1" applyFont="1" applyFill="1" applyBorder="1" applyAlignment="1">
      <alignment horizontal="center"/>
    </xf>
    <xf numFmtId="43" fontId="6" fillId="6" borderId="21" xfId="1" applyFont="1" applyFill="1" applyBorder="1" applyAlignment="1">
      <alignment horizontal="center"/>
    </xf>
    <xf numFmtId="43" fontId="6" fillId="10" borderId="35" xfId="1" applyFont="1" applyFill="1" applyBorder="1" applyAlignment="1">
      <alignment horizontal="center"/>
    </xf>
    <xf numFmtId="43" fontId="3" fillId="2" borderId="23" xfId="1" applyFont="1" applyFill="1" applyBorder="1" applyAlignment="1">
      <alignment horizontal="center"/>
    </xf>
    <xf numFmtId="16" fontId="0" fillId="0" borderId="0" xfId="0" applyNumberFormat="1"/>
    <xf numFmtId="170" fontId="3" fillId="6" borderId="2" xfId="0" applyNumberFormat="1" applyFont="1" applyFill="1" applyBorder="1" applyAlignment="1">
      <alignment horizontal="center" vertical="center"/>
    </xf>
    <xf numFmtId="170" fontId="3" fillId="6" borderId="4" xfId="0" applyNumberFormat="1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/>
    </xf>
    <xf numFmtId="164" fontId="6" fillId="10" borderId="21" xfId="1" applyNumberFormat="1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167" fontId="6" fillId="10" borderId="21" xfId="2" applyNumberFormat="1" applyFont="1" applyFill="1" applyBorder="1" applyAlignment="1">
      <alignment horizontal="center"/>
    </xf>
    <xf numFmtId="43" fontId="6" fillId="10" borderId="21" xfId="1" applyFont="1" applyFill="1" applyBorder="1" applyAlignment="1">
      <alignment horizontal="center"/>
    </xf>
    <xf numFmtId="44" fontId="6" fillId="10" borderId="21" xfId="2" applyFont="1" applyFill="1" applyBorder="1" applyAlignment="1">
      <alignment horizontal="center"/>
    </xf>
    <xf numFmtId="44" fontId="9" fillId="10" borderId="15" xfId="2" applyFont="1" applyFill="1" applyBorder="1" applyAlignment="1">
      <alignment horizontal="center"/>
    </xf>
    <xf numFmtId="168" fontId="9" fillId="10" borderId="15" xfId="1" applyNumberFormat="1" applyFont="1" applyFill="1" applyBorder="1" applyAlignment="1">
      <alignment horizontal="center" wrapText="1"/>
    </xf>
    <xf numFmtId="170" fontId="6" fillId="10" borderId="36" xfId="0" applyNumberFormat="1" applyFont="1" applyFill="1" applyBorder="1" applyAlignment="1">
      <alignment horizontal="center"/>
    </xf>
    <xf numFmtId="170" fontId="6" fillId="10" borderId="37" xfId="0" applyNumberFormat="1" applyFont="1" applyFill="1" applyBorder="1" applyAlignment="1">
      <alignment horizontal="center"/>
    </xf>
    <xf numFmtId="0" fontId="6" fillId="10" borderId="38" xfId="0" applyFont="1" applyFill="1" applyBorder="1" applyAlignment="1">
      <alignment horizontal="center"/>
    </xf>
    <xf numFmtId="0" fontId="6" fillId="10" borderId="37" xfId="0" applyFont="1" applyFill="1" applyBorder="1" applyAlignment="1">
      <alignment horizontal="center"/>
    </xf>
    <xf numFmtId="164" fontId="6" fillId="10" borderId="29" xfId="1" applyNumberFormat="1" applyFont="1" applyFill="1" applyBorder="1" applyAlignment="1">
      <alignment horizontal="center"/>
    </xf>
    <xf numFmtId="164" fontId="6" fillId="10" borderId="37" xfId="1" applyNumberFormat="1" applyFont="1" applyFill="1" applyBorder="1" applyAlignment="1">
      <alignment horizontal="center"/>
    </xf>
    <xf numFmtId="0" fontId="6" fillId="10" borderId="29" xfId="0" applyFont="1" applyFill="1" applyBorder="1" applyAlignment="1">
      <alignment horizontal="left"/>
    </xf>
    <xf numFmtId="164" fontId="6" fillId="10" borderId="37" xfId="1" applyNumberFormat="1" applyFont="1" applyFill="1" applyBorder="1" applyAlignment="1">
      <alignment horizontal="left"/>
    </xf>
    <xf numFmtId="43" fontId="6" fillId="10" borderId="16" xfId="1" applyFont="1" applyFill="1" applyBorder="1" applyAlignment="1">
      <alignment horizontal="center"/>
    </xf>
    <xf numFmtId="166" fontId="6" fillId="10" borderId="39" xfId="2" applyNumberFormat="1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10" borderId="29" xfId="0" applyFont="1" applyFill="1" applyBorder="1" applyAlignment="1">
      <alignment horizontal="center"/>
    </xf>
    <xf numFmtId="43" fontId="6" fillId="10" borderId="29" xfId="1" applyFont="1" applyFill="1" applyBorder="1" applyAlignment="1">
      <alignment horizontal="center"/>
    </xf>
    <xf numFmtId="0" fontId="3" fillId="10" borderId="37" xfId="0" applyFont="1" applyFill="1" applyBorder="1" applyAlignment="1">
      <alignment horizontal="center"/>
    </xf>
    <xf numFmtId="164" fontId="6" fillId="10" borderId="40" xfId="1" applyNumberFormat="1" applyFont="1" applyFill="1" applyBorder="1" applyAlignment="1">
      <alignment horizontal="center"/>
    </xf>
    <xf numFmtId="167" fontId="6" fillId="10" borderId="37" xfId="2" applyNumberFormat="1" applyFont="1" applyFill="1" applyBorder="1" applyAlignment="1">
      <alignment horizontal="center"/>
    </xf>
    <xf numFmtId="43" fontId="6" fillId="10" borderId="37" xfId="1" applyFont="1" applyFill="1" applyBorder="1" applyAlignment="1">
      <alignment horizontal="center"/>
    </xf>
    <xf numFmtId="44" fontId="6" fillId="10" borderId="37" xfId="2" applyFont="1" applyFill="1" applyBorder="1" applyAlignment="1">
      <alignment horizontal="center"/>
    </xf>
    <xf numFmtId="44" fontId="9" fillId="2" borderId="41" xfId="2" applyFont="1" applyFill="1" applyBorder="1" applyAlignment="1">
      <alignment horizontal="center"/>
    </xf>
    <xf numFmtId="168" fontId="9" fillId="10" borderId="41" xfId="1" applyNumberFormat="1" applyFont="1" applyFill="1" applyBorder="1" applyAlignment="1">
      <alignment horizontal="center" wrapText="1"/>
    </xf>
    <xf numFmtId="170" fontId="6" fillId="10" borderId="42" xfId="0" applyNumberFormat="1" applyFont="1" applyFill="1" applyBorder="1" applyAlignment="1">
      <alignment horizontal="center"/>
    </xf>
    <xf numFmtId="170" fontId="6" fillId="6" borderId="43" xfId="0" applyNumberFormat="1" applyFont="1" applyFill="1" applyBorder="1" applyAlignment="1">
      <alignment horizontal="center"/>
    </xf>
    <xf numFmtId="170" fontId="6" fillId="6" borderId="44" xfId="0" applyNumberFormat="1" applyFont="1" applyFill="1" applyBorder="1" applyAlignment="1">
      <alignment horizontal="center"/>
    </xf>
    <xf numFmtId="0" fontId="6" fillId="6" borderId="45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/>
    </xf>
    <xf numFmtId="164" fontId="6" fillId="6" borderId="33" xfId="1" applyNumberFormat="1" applyFont="1" applyFill="1" applyBorder="1" applyAlignment="1">
      <alignment horizontal="center"/>
    </xf>
    <xf numFmtId="164" fontId="6" fillId="6" borderId="44" xfId="1" applyNumberFormat="1" applyFont="1" applyFill="1" applyBorder="1" applyAlignment="1">
      <alignment horizontal="center"/>
    </xf>
    <xf numFmtId="0" fontId="6" fillId="6" borderId="44" xfId="0" applyFont="1" applyFill="1" applyBorder="1" applyAlignment="1">
      <alignment horizontal="left"/>
    </xf>
    <xf numFmtId="164" fontId="6" fillId="6" borderId="44" xfId="1" applyNumberFormat="1" applyFont="1" applyFill="1" applyBorder="1" applyAlignment="1">
      <alignment horizontal="left"/>
    </xf>
    <xf numFmtId="43" fontId="6" fillId="6" borderId="17" xfId="1" applyFont="1" applyFill="1" applyBorder="1" applyAlignment="1">
      <alignment horizontal="center"/>
    </xf>
    <xf numFmtId="166" fontId="6" fillId="6" borderId="46" xfId="2" applyNumberFormat="1" applyFont="1" applyFill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6" borderId="33" xfId="0" applyFont="1" applyFill="1" applyBorder="1" applyAlignment="1">
      <alignment horizontal="center"/>
    </xf>
    <xf numFmtId="43" fontId="6" fillId="6" borderId="33" xfId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64" fontId="6" fillId="6" borderId="47" xfId="1" applyNumberFormat="1" applyFont="1" applyFill="1" applyBorder="1" applyAlignment="1">
      <alignment horizontal="center"/>
    </xf>
    <xf numFmtId="167" fontId="6" fillId="6" borderId="44" xfId="2" applyNumberFormat="1" applyFont="1" applyFill="1" applyBorder="1" applyAlignment="1">
      <alignment horizontal="center"/>
    </xf>
    <xf numFmtId="43" fontId="6" fillId="6" borderId="44" xfId="1" applyFont="1" applyFill="1" applyBorder="1" applyAlignment="1">
      <alignment horizontal="center"/>
    </xf>
    <xf numFmtId="44" fontId="6" fillId="6" borderId="44" xfId="2" applyFont="1" applyFill="1" applyBorder="1" applyAlignment="1">
      <alignment horizontal="center"/>
    </xf>
    <xf numFmtId="44" fontId="9" fillId="2" borderId="46" xfId="2" applyFont="1" applyFill="1" applyBorder="1" applyAlignment="1">
      <alignment horizontal="center"/>
    </xf>
    <xf numFmtId="168" fontId="9" fillId="0" borderId="46" xfId="1" applyNumberFormat="1" applyFont="1" applyFill="1" applyBorder="1" applyAlignment="1">
      <alignment horizontal="center" wrapText="1"/>
    </xf>
    <xf numFmtId="170" fontId="6" fillId="6" borderId="48" xfId="0" applyNumberFormat="1" applyFont="1" applyFill="1" applyBorder="1" applyAlignment="1">
      <alignment horizontal="center"/>
    </xf>
    <xf numFmtId="174" fontId="6" fillId="0" borderId="0" xfId="2" applyNumberFormat="1" applyFont="1" applyAlignment="1">
      <alignment horizontal="center"/>
    </xf>
    <xf numFmtId="14" fontId="0" fillId="0" borderId="0" xfId="0" applyNumberFormat="1"/>
    <xf numFmtId="0" fontId="11" fillId="15" borderId="0" xfId="0" applyFont="1" applyFill="1" applyAlignment="1">
      <alignment horizontal="center"/>
    </xf>
    <xf numFmtId="0" fontId="0" fillId="15" borderId="0" xfId="0" applyFill="1"/>
    <xf numFmtId="0" fontId="6" fillId="15" borderId="0" xfId="0" applyFont="1" applyFill="1" applyAlignment="1">
      <alignment horizontal="center"/>
    </xf>
    <xf numFmtId="43" fontId="0" fillId="15" borderId="0" xfId="1" applyFont="1" applyFill="1"/>
    <xf numFmtId="171" fontId="0" fillId="15" borderId="0" xfId="0" applyNumberFormat="1" applyFill="1"/>
    <xf numFmtId="167" fontId="0" fillId="15" borderId="0" xfId="0" applyNumberFormat="1" applyFill="1"/>
    <xf numFmtId="0" fontId="6" fillId="15" borderId="0" xfId="0" applyFont="1" applyFill="1" applyAlignment="1">
      <alignment horizontal="left"/>
    </xf>
    <xf numFmtId="172" fontId="6" fillId="15" borderId="0" xfId="0" applyNumberFormat="1" applyFont="1" applyFill="1" applyAlignment="1">
      <alignment horizontal="center"/>
    </xf>
    <xf numFmtId="44" fontId="3" fillId="9" borderId="0" xfId="0" applyNumberFormat="1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17" fontId="6" fillId="9" borderId="0" xfId="1" applyNumberFormat="1" applyFont="1" applyFill="1" applyAlignment="1">
      <alignment horizontal="center"/>
    </xf>
    <xf numFmtId="17" fontId="6" fillId="9" borderId="0" xfId="0" applyNumberFormat="1" applyFont="1" applyFill="1" applyAlignment="1">
      <alignment horizontal="center"/>
    </xf>
    <xf numFmtId="170" fontId="6" fillId="0" borderId="0" xfId="0" applyNumberFormat="1" applyFont="1" applyAlignment="1">
      <alignment horizontal="center"/>
    </xf>
    <xf numFmtId="43" fontId="13" fillId="0" borderId="20" xfId="1" applyFont="1" applyBorder="1" applyAlignment="1">
      <alignment wrapText="1"/>
    </xf>
    <xf numFmtId="164" fontId="6" fillId="10" borderId="23" xfId="1" applyNumberFormat="1" applyFont="1" applyFill="1" applyBorder="1" applyAlignment="1">
      <alignment horizontal="center"/>
    </xf>
    <xf numFmtId="164" fontId="6" fillId="10" borderId="1" xfId="1" applyNumberFormat="1" applyFont="1" applyFill="1" applyBorder="1" applyAlignment="1">
      <alignment horizontal="center"/>
    </xf>
    <xf numFmtId="164" fontId="6" fillId="6" borderId="35" xfId="1" applyNumberFormat="1" applyFont="1" applyFill="1" applyBorder="1" applyAlignment="1">
      <alignment horizontal="center"/>
    </xf>
    <xf numFmtId="170" fontId="6" fillId="10" borderId="9" xfId="0" applyNumberFormat="1" applyFont="1" applyFill="1" applyBorder="1" applyAlignment="1">
      <alignment horizontal="center"/>
    </xf>
    <xf numFmtId="170" fontId="6" fillId="6" borderId="23" xfId="0" applyNumberFormat="1" applyFont="1" applyFill="1" applyBorder="1" applyAlignment="1">
      <alignment horizontal="center"/>
    </xf>
    <xf numFmtId="0" fontId="6" fillId="0" borderId="0" xfId="0" quotePrefix="1" applyFont="1" applyAlignment="1">
      <alignment horizontal="center"/>
    </xf>
    <xf numFmtId="43" fontId="6" fillId="0" borderId="0" xfId="1" quotePrefix="1" applyFont="1" applyAlignment="1">
      <alignment horizontal="right"/>
    </xf>
    <xf numFmtId="0" fontId="6" fillId="0" borderId="0" xfId="0" quotePrefix="1" applyFont="1" applyAlignment="1">
      <alignment horizontal="right"/>
    </xf>
    <xf numFmtId="14" fontId="0" fillId="0" borderId="0" xfId="1" applyNumberFormat="1" applyFont="1" applyAlignment="1">
      <alignment horizontal="left" wrapText="1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170" fontId="3" fillId="6" borderId="23" xfId="0" applyNumberFormat="1" applyFont="1" applyFill="1" applyBorder="1" applyAlignment="1">
      <alignment horizontal="center"/>
    </xf>
    <xf numFmtId="0" fontId="26" fillId="6" borderId="10" xfId="0" applyFont="1" applyFill="1" applyBorder="1" applyAlignment="1">
      <alignment horizontal="center"/>
    </xf>
    <xf numFmtId="0" fontId="26" fillId="6" borderId="0" xfId="0" applyFont="1" applyFill="1" applyAlignment="1">
      <alignment horizontal="center"/>
    </xf>
    <xf numFmtId="164" fontId="26" fillId="6" borderId="0" xfId="1" applyNumberFormat="1" applyFont="1" applyFill="1" applyAlignment="1">
      <alignment horizontal="center"/>
    </xf>
    <xf numFmtId="0" fontId="26" fillId="6" borderId="6" xfId="0" applyFont="1" applyFill="1" applyBorder="1" applyAlignment="1">
      <alignment horizontal="center"/>
    </xf>
    <xf numFmtId="0" fontId="26" fillId="6" borderId="9" xfId="0" applyFont="1" applyFill="1" applyBorder="1" applyAlignment="1">
      <alignment horizontal="left"/>
    </xf>
    <xf numFmtId="164" fontId="26" fillId="6" borderId="6" xfId="1" applyNumberFormat="1" applyFont="1" applyFill="1" applyBorder="1" applyAlignment="1">
      <alignment horizontal="center"/>
    </xf>
    <xf numFmtId="164" fontId="26" fillId="6" borderId="9" xfId="1" applyNumberFormat="1" applyFont="1" applyFill="1" applyBorder="1" applyAlignment="1">
      <alignment horizontal="left"/>
    </xf>
    <xf numFmtId="43" fontId="26" fillId="6" borderId="14" xfId="1" applyFont="1" applyFill="1" applyBorder="1" applyAlignment="1">
      <alignment horizontal="center"/>
    </xf>
    <xf numFmtId="166" fontId="26" fillId="10" borderId="13" xfId="2" applyNumberFormat="1" applyFont="1" applyFill="1" applyBorder="1" applyAlignment="1">
      <alignment horizontal="center"/>
    </xf>
    <xf numFmtId="164" fontId="26" fillId="6" borderId="6" xfId="1" applyNumberFormat="1" applyFont="1" applyFill="1" applyBorder="1" applyAlignment="1">
      <alignment horizontal="left"/>
    </xf>
    <xf numFmtId="43" fontId="26" fillId="6" borderId="11" xfId="1" applyFont="1" applyFill="1" applyBorder="1" applyAlignment="1">
      <alignment horizontal="center"/>
    </xf>
    <xf numFmtId="0" fontId="26" fillId="10" borderId="9" xfId="0" applyFont="1" applyFill="1" applyBorder="1" applyAlignment="1">
      <alignment horizontal="center"/>
    </xf>
    <xf numFmtId="164" fontId="26" fillId="10" borderId="9" xfId="1" applyNumberFormat="1" applyFont="1" applyFill="1" applyBorder="1" applyAlignment="1">
      <alignment horizontal="center"/>
    </xf>
    <xf numFmtId="164" fontId="26" fillId="10" borderId="9" xfId="1" applyNumberFormat="1" applyFont="1" applyFill="1" applyBorder="1" applyAlignment="1">
      <alignment horizontal="left"/>
    </xf>
    <xf numFmtId="43" fontId="26" fillId="10" borderId="14" xfId="1" applyFont="1" applyFill="1" applyBorder="1" applyAlignment="1">
      <alignment horizontal="center"/>
    </xf>
    <xf numFmtId="0" fontId="6" fillId="2" borderId="9" xfId="0" applyFont="1" applyFill="1" applyBorder="1" applyAlignment="1">
      <alignment horizontal="left"/>
    </xf>
    <xf numFmtId="171" fontId="6" fillId="0" borderId="0" xfId="0" applyNumberFormat="1" applyFont="1" applyAlignment="1">
      <alignment horizontal="center"/>
    </xf>
    <xf numFmtId="170" fontId="6" fillId="6" borderId="9" xfId="0" applyNumberFormat="1" applyFont="1" applyFill="1" applyBorder="1" applyAlignment="1">
      <alignment horizontal="center"/>
    </xf>
    <xf numFmtId="170" fontId="6" fillId="10" borderId="23" xfId="0" applyNumberFormat="1" applyFont="1" applyFill="1" applyBorder="1" applyAlignment="1">
      <alignment horizontal="center"/>
    </xf>
    <xf numFmtId="168" fontId="9" fillId="0" borderId="13" xfId="1" applyNumberFormat="1" applyFont="1" applyFill="1" applyBorder="1" applyAlignment="1">
      <alignment horizontal="center" wrapText="1"/>
    </xf>
    <xf numFmtId="0" fontId="3" fillId="0" borderId="20" xfId="0" applyFont="1" applyBorder="1"/>
    <xf numFmtId="170" fontId="6" fillId="10" borderId="51" xfId="0" applyNumberFormat="1" applyFont="1" applyFill="1" applyBorder="1" applyAlignment="1">
      <alignment horizontal="center"/>
    </xf>
    <xf numFmtId="170" fontId="6" fillId="10" borderId="18" xfId="0" applyNumberFormat="1" applyFont="1" applyFill="1" applyBorder="1" applyAlignment="1">
      <alignment horizontal="center"/>
    </xf>
    <xf numFmtId="0" fontId="0" fillId="0" borderId="22" xfId="0" applyBorder="1"/>
    <xf numFmtId="0" fontId="28" fillId="10" borderId="52" xfId="0" applyFont="1" applyFill="1" applyBorder="1" applyAlignment="1">
      <alignment horizontal="center"/>
    </xf>
    <xf numFmtId="0" fontId="28" fillId="10" borderId="18" xfId="0" applyFont="1" applyFill="1" applyBorder="1" applyAlignment="1">
      <alignment horizontal="center"/>
    </xf>
    <xf numFmtId="164" fontId="28" fillId="10" borderId="22" xfId="1" applyNumberFormat="1" applyFont="1" applyFill="1" applyBorder="1" applyAlignment="1">
      <alignment horizontal="center"/>
    </xf>
    <xf numFmtId="164" fontId="28" fillId="10" borderId="18" xfId="1" applyNumberFormat="1" applyFont="1" applyFill="1" applyBorder="1" applyAlignment="1">
      <alignment horizontal="center"/>
    </xf>
    <xf numFmtId="0" fontId="28" fillId="10" borderId="22" xfId="0" applyFont="1" applyFill="1" applyBorder="1" applyAlignment="1">
      <alignment horizontal="left"/>
    </xf>
    <xf numFmtId="164" fontId="28" fillId="10" borderId="18" xfId="1" applyNumberFormat="1" applyFont="1" applyFill="1" applyBorder="1" applyAlignment="1">
      <alignment horizontal="left"/>
    </xf>
    <xf numFmtId="43" fontId="28" fillId="10" borderId="53" xfId="1" applyFont="1" applyFill="1" applyBorder="1" applyAlignment="1">
      <alignment horizontal="center"/>
    </xf>
    <xf numFmtId="166" fontId="28" fillId="10" borderId="54" xfId="2" applyNumberFormat="1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10" borderId="22" xfId="0" applyFont="1" applyFill="1" applyBorder="1" applyAlignment="1">
      <alignment horizontal="center"/>
    </xf>
    <xf numFmtId="164" fontId="6" fillId="10" borderId="22" xfId="1" applyNumberFormat="1" applyFont="1" applyFill="1" applyBorder="1" applyAlignment="1">
      <alignment horizontal="center"/>
    </xf>
    <xf numFmtId="43" fontId="6" fillId="10" borderId="22" xfId="1" applyFont="1" applyFill="1" applyBorder="1" applyAlignment="1">
      <alignment horizontal="center"/>
    </xf>
    <xf numFmtId="0" fontId="6" fillId="10" borderId="22" xfId="0" applyFont="1" applyFill="1" applyBorder="1" applyAlignment="1">
      <alignment horizontal="left"/>
    </xf>
    <xf numFmtId="0" fontId="3" fillId="10" borderId="18" xfId="0" applyFont="1" applyFill="1" applyBorder="1" applyAlignment="1">
      <alignment horizontal="center"/>
    </xf>
    <xf numFmtId="0" fontId="6" fillId="10" borderId="18" xfId="0" applyFont="1" applyFill="1" applyBorder="1" applyAlignment="1">
      <alignment horizontal="center"/>
    </xf>
    <xf numFmtId="164" fontId="6" fillId="10" borderId="18" xfId="1" applyNumberFormat="1" applyFont="1" applyFill="1" applyBorder="1" applyAlignment="1">
      <alignment horizontal="center"/>
    </xf>
    <xf numFmtId="164" fontId="6" fillId="10" borderId="26" xfId="1" applyNumberFormat="1" applyFont="1" applyFill="1" applyBorder="1" applyAlignment="1">
      <alignment horizontal="center"/>
    </xf>
    <xf numFmtId="167" fontId="6" fillId="10" borderId="18" xfId="2" applyNumberFormat="1" applyFont="1" applyFill="1" applyBorder="1" applyAlignment="1">
      <alignment horizontal="center"/>
    </xf>
    <xf numFmtId="43" fontId="6" fillId="10" borderId="18" xfId="1" applyFont="1" applyFill="1" applyBorder="1" applyAlignment="1">
      <alignment horizontal="center"/>
    </xf>
    <xf numFmtId="44" fontId="6" fillId="10" borderId="18" xfId="2" applyFont="1" applyFill="1" applyBorder="1" applyAlignment="1">
      <alignment horizontal="center"/>
    </xf>
    <xf numFmtId="44" fontId="9" fillId="10" borderId="55" xfId="2" applyFont="1" applyFill="1" applyBorder="1" applyAlignment="1">
      <alignment horizontal="center"/>
    </xf>
    <xf numFmtId="168" fontId="9" fillId="10" borderId="55" xfId="1" applyNumberFormat="1" applyFont="1" applyFill="1" applyBorder="1" applyAlignment="1">
      <alignment horizontal="center" wrapText="1"/>
    </xf>
    <xf numFmtId="170" fontId="6" fillId="10" borderId="56" xfId="0" applyNumberFormat="1" applyFont="1" applyFill="1" applyBorder="1" applyAlignment="1">
      <alignment horizontal="center"/>
    </xf>
    <xf numFmtId="170" fontId="6" fillId="6" borderId="57" xfId="0" applyNumberFormat="1" applyFont="1" applyFill="1" applyBorder="1" applyAlignment="1">
      <alignment horizontal="center"/>
    </xf>
    <xf numFmtId="170" fontId="6" fillId="6" borderId="58" xfId="0" applyNumberFormat="1" applyFont="1" applyFill="1" applyBorder="1" applyAlignment="1">
      <alignment horizontal="center"/>
    </xf>
    <xf numFmtId="0" fontId="0" fillId="0" borderId="20" xfId="0" applyBorder="1"/>
    <xf numFmtId="0" fontId="28" fillId="6" borderId="59" xfId="0" applyFont="1" applyFill="1" applyBorder="1" applyAlignment="1">
      <alignment horizontal="center"/>
    </xf>
    <xf numFmtId="0" fontId="28" fillId="6" borderId="58" xfId="0" applyFont="1" applyFill="1" applyBorder="1" applyAlignment="1">
      <alignment horizontal="center"/>
    </xf>
    <xf numFmtId="164" fontId="28" fillId="6" borderId="20" xfId="1" applyNumberFormat="1" applyFont="1" applyFill="1" applyBorder="1" applyAlignment="1">
      <alignment horizontal="center"/>
    </xf>
    <xf numFmtId="164" fontId="28" fillId="6" borderId="58" xfId="1" applyNumberFormat="1" applyFont="1" applyFill="1" applyBorder="1" applyAlignment="1">
      <alignment horizontal="center"/>
    </xf>
    <xf numFmtId="0" fontId="28" fillId="6" borderId="58" xfId="0" applyFont="1" applyFill="1" applyBorder="1" applyAlignment="1">
      <alignment horizontal="left"/>
    </xf>
    <xf numFmtId="164" fontId="28" fillId="6" borderId="58" xfId="1" applyNumberFormat="1" applyFont="1" applyFill="1" applyBorder="1" applyAlignment="1">
      <alignment horizontal="left"/>
    </xf>
    <xf numFmtId="43" fontId="28" fillId="6" borderId="60" xfId="1" applyFont="1" applyFill="1" applyBorder="1" applyAlignment="1">
      <alignment horizontal="center"/>
    </xf>
    <xf numFmtId="166" fontId="28" fillId="6" borderId="61" xfId="2" applyNumberFormat="1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10" borderId="20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164" fontId="6" fillId="6" borderId="20" xfId="1" applyNumberFormat="1" applyFont="1" applyFill="1" applyBorder="1" applyAlignment="1">
      <alignment horizontal="center"/>
    </xf>
    <xf numFmtId="43" fontId="6" fillId="6" borderId="20" xfId="1" applyFont="1" applyFill="1" applyBorder="1" applyAlignment="1">
      <alignment horizontal="center"/>
    </xf>
    <xf numFmtId="0" fontId="6" fillId="6" borderId="58" xfId="0" applyFont="1" applyFill="1" applyBorder="1" applyAlignment="1">
      <alignment horizontal="left"/>
    </xf>
    <xf numFmtId="0" fontId="3" fillId="6" borderId="58" xfId="0" applyFont="1" applyFill="1" applyBorder="1" applyAlignment="1">
      <alignment horizontal="center"/>
    </xf>
    <xf numFmtId="0" fontId="6" fillId="6" borderId="58" xfId="0" applyFont="1" applyFill="1" applyBorder="1" applyAlignment="1">
      <alignment horizontal="center"/>
    </xf>
    <xf numFmtId="164" fontId="6" fillId="6" borderId="58" xfId="1" applyNumberFormat="1" applyFont="1" applyFill="1" applyBorder="1" applyAlignment="1">
      <alignment horizontal="center"/>
    </xf>
    <xf numFmtId="164" fontId="6" fillId="6" borderId="27" xfId="1" applyNumberFormat="1" applyFont="1" applyFill="1" applyBorder="1" applyAlignment="1">
      <alignment horizontal="center"/>
    </xf>
    <xf numFmtId="167" fontId="6" fillId="6" borderId="58" xfId="2" applyNumberFormat="1" applyFont="1" applyFill="1" applyBorder="1" applyAlignment="1">
      <alignment horizontal="center"/>
    </xf>
    <xf numFmtId="43" fontId="6" fillId="6" borderId="58" xfId="1" applyFont="1" applyFill="1" applyBorder="1" applyAlignment="1">
      <alignment horizontal="center"/>
    </xf>
    <xf numFmtId="44" fontId="6" fillId="6" borderId="58" xfId="2" applyFont="1" applyFill="1" applyBorder="1" applyAlignment="1">
      <alignment horizontal="center"/>
    </xf>
    <xf numFmtId="44" fontId="9" fillId="2" borderId="61" xfId="2" applyFont="1" applyFill="1" applyBorder="1" applyAlignment="1">
      <alignment horizontal="center"/>
    </xf>
    <xf numFmtId="168" fontId="9" fillId="0" borderId="61" xfId="1" applyNumberFormat="1" applyFont="1" applyFill="1" applyBorder="1" applyAlignment="1">
      <alignment horizontal="center" wrapText="1"/>
    </xf>
    <xf numFmtId="170" fontId="6" fillId="6" borderId="62" xfId="0" applyNumberFormat="1" applyFont="1" applyFill="1" applyBorder="1" applyAlignment="1">
      <alignment horizontal="center"/>
    </xf>
    <xf numFmtId="164" fontId="6" fillId="10" borderId="63" xfId="1" applyNumberFormat="1" applyFont="1" applyFill="1" applyBorder="1" applyAlignment="1">
      <alignment horizontal="center"/>
    </xf>
    <xf numFmtId="44" fontId="6" fillId="2" borderId="6" xfId="2" applyFont="1" applyFill="1" applyBorder="1" applyAlignment="1">
      <alignment horizontal="center"/>
    </xf>
    <xf numFmtId="44" fontId="9" fillId="10" borderId="13" xfId="2" applyFont="1" applyFill="1" applyBorder="1" applyAlignment="1">
      <alignment horizontal="center"/>
    </xf>
    <xf numFmtId="44" fontId="9" fillId="2" borderId="23" xfId="2" applyFont="1" applyFill="1" applyBorder="1" applyAlignment="1">
      <alignment horizontal="center"/>
    </xf>
    <xf numFmtId="0" fontId="0" fillId="0" borderId="66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17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2" fontId="6" fillId="10" borderId="0" xfId="0" applyNumberFormat="1" applyFont="1" applyFill="1" applyAlignment="1">
      <alignment horizontal="center"/>
    </xf>
    <xf numFmtId="167" fontId="6" fillId="10" borderId="9" xfId="2" applyNumberFormat="1" applyFont="1" applyFill="1" applyBorder="1" applyAlignment="1">
      <alignment horizontal="center"/>
    </xf>
    <xf numFmtId="167" fontId="0" fillId="0" borderId="0" xfId="3" applyNumberFormat="1" applyFont="1"/>
    <xf numFmtId="164" fontId="6" fillId="6" borderId="1" xfId="1" applyNumberFormat="1" applyFont="1" applyFill="1" applyBorder="1" applyAlignment="1">
      <alignment horizontal="center"/>
    </xf>
    <xf numFmtId="44" fontId="6" fillId="6" borderId="21" xfId="2" applyFont="1" applyFill="1" applyBorder="1" applyAlignment="1">
      <alignment horizontal="center"/>
    </xf>
    <xf numFmtId="1" fontId="3" fillId="2" borderId="23" xfId="1" applyNumberFormat="1" applyFont="1" applyFill="1" applyBorder="1" applyAlignment="1">
      <alignment horizontal="center"/>
    </xf>
    <xf numFmtId="43" fontId="6" fillId="0" borderId="0" xfId="1" quotePrefix="1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7" fillId="4" borderId="18" xfId="0" applyFont="1" applyFill="1" applyBorder="1" applyAlignment="1">
      <alignment vertical="center"/>
    </xf>
    <xf numFmtId="0" fontId="7" fillId="4" borderId="22" xfId="0" applyFont="1" applyFill="1" applyBorder="1" applyAlignment="1">
      <alignment vertical="center"/>
    </xf>
    <xf numFmtId="175" fontId="6" fillId="10" borderId="6" xfId="0" applyNumberFormat="1" applyFont="1" applyFill="1" applyBorder="1" applyAlignment="1">
      <alignment horizontal="center"/>
    </xf>
    <xf numFmtId="175" fontId="6" fillId="6" borderId="6" xfId="0" applyNumberFormat="1" applyFont="1" applyFill="1" applyBorder="1" applyAlignment="1">
      <alignment horizontal="center"/>
    </xf>
    <xf numFmtId="175" fontId="6" fillId="10" borderId="42" xfId="0" applyNumberFormat="1" applyFont="1" applyFill="1" applyBorder="1" applyAlignment="1">
      <alignment horizontal="center"/>
    </xf>
    <xf numFmtId="175" fontId="6" fillId="6" borderId="48" xfId="0" applyNumberFormat="1" applyFont="1" applyFill="1" applyBorder="1" applyAlignment="1">
      <alignment horizontal="center"/>
    </xf>
    <xf numFmtId="175" fontId="6" fillId="10" borderId="21" xfId="0" applyNumberFormat="1" applyFont="1" applyFill="1" applyBorder="1" applyAlignment="1">
      <alignment horizontal="center"/>
    </xf>
    <xf numFmtId="0" fontId="33" fillId="0" borderId="0" xfId="0" applyFont="1"/>
    <xf numFmtId="0" fontId="9" fillId="0" borderId="0" xfId="0" applyFont="1" applyAlignment="1">
      <alignment horizontal="center" vertical="center"/>
    </xf>
    <xf numFmtId="17" fontId="6" fillId="9" borderId="0" xfId="0" applyNumberFormat="1" applyFont="1" applyFill="1" applyAlignment="1">
      <alignment horizontal="center" vertical="center"/>
    </xf>
    <xf numFmtId="44" fontId="9" fillId="2" borderId="8" xfId="2" applyFont="1" applyFill="1" applyBorder="1" applyAlignment="1">
      <alignment horizontal="center" vertical="center"/>
    </xf>
    <xf numFmtId="44" fontId="9" fillId="10" borderId="8" xfId="2" applyFont="1" applyFill="1" applyBorder="1" applyAlignment="1">
      <alignment horizontal="center" vertical="center"/>
    </xf>
    <xf numFmtId="44" fontId="9" fillId="6" borderId="8" xfId="2" applyFont="1" applyFill="1" applyBorder="1" applyAlignment="1">
      <alignment horizontal="center" vertical="center"/>
    </xf>
    <xf numFmtId="44" fontId="9" fillId="10" borderId="15" xfId="2" applyFont="1" applyFill="1" applyBorder="1" applyAlignment="1">
      <alignment horizontal="center" vertical="center"/>
    </xf>
    <xf numFmtId="44" fontId="9" fillId="15" borderId="8" xfId="2" applyFont="1" applyFill="1" applyBorder="1" applyAlignment="1">
      <alignment horizontal="center" vertical="center"/>
    </xf>
    <xf numFmtId="44" fontId="9" fillId="2" borderId="16" xfId="2" applyFont="1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70" fontId="6" fillId="6" borderId="16" xfId="0" applyNumberFormat="1" applyFont="1" applyFill="1" applyBorder="1" applyAlignment="1">
      <alignment horizontal="center"/>
    </xf>
    <xf numFmtId="170" fontId="6" fillId="10" borderId="11" xfId="0" applyNumberFormat="1" applyFont="1" applyFill="1" applyBorder="1" applyAlignment="1">
      <alignment horizontal="center"/>
    </xf>
    <xf numFmtId="170" fontId="6" fillId="6" borderId="11" xfId="0" applyNumberFormat="1" applyFont="1" applyFill="1" applyBorder="1" applyAlignment="1">
      <alignment horizontal="center"/>
    </xf>
    <xf numFmtId="44" fontId="9" fillId="20" borderId="42" xfId="2" applyFont="1" applyFill="1" applyBorder="1" applyAlignment="1">
      <alignment horizontal="center" vertical="center"/>
    </xf>
    <xf numFmtId="44" fontId="9" fillId="21" borderId="42" xfId="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9" fillId="0" borderId="0" xfId="1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wrapText="1"/>
    </xf>
    <xf numFmtId="14" fontId="6" fillId="0" borderId="0" xfId="0" applyNumberFormat="1" applyFont="1" applyAlignment="1">
      <alignment horizontal="left"/>
    </xf>
    <xf numFmtId="176" fontId="9" fillId="10" borderId="41" xfId="1" applyNumberFormat="1" applyFont="1" applyFill="1" applyBorder="1" applyAlignment="1">
      <alignment horizontal="center" wrapText="1"/>
    </xf>
    <xf numFmtId="176" fontId="9" fillId="0" borderId="46" xfId="1" applyNumberFormat="1" applyFont="1" applyFill="1" applyBorder="1" applyAlignment="1">
      <alignment horizontal="center" wrapText="1"/>
    </xf>
    <xf numFmtId="176" fontId="9" fillId="10" borderId="15" xfId="1" applyNumberFormat="1" applyFont="1" applyFill="1" applyBorder="1" applyAlignment="1">
      <alignment horizontal="center" wrapText="1"/>
    </xf>
    <xf numFmtId="176" fontId="9" fillId="0" borderId="8" xfId="1" applyNumberFormat="1" applyFont="1" applyFill="1" applyBorder="1" applyAlignment="1">
      <alignment horizontal="center" wrapText="1"/>
    </xf>
    <xf numFmtId="176" fontId="9" fillId="10" borderId="8" xfId="1" applyNumberFormat="1" applyFont="1" applyFill="1" applyBorder="1" applyAlignment="1">
      <alignment horizontal="center" wrapText="1"/>
    </xf>
    <xf numFmtId="176" fontId="0" fillId="0" borderId="0" xfId="0" applyNumberFormat="1"/>
    <xf numFmtId="176" fontId="10" fillId="4" borderId="0" xfId="0" applyNumberFormat="1" applyFont="1" applyFill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/>
    </xf>
    <xf numFmtId="167" fontId="18" fillId="0" borderId="0" xfId="0" applyNumberFormat="1" applyFont="1"/>
    <xf numFmtId="164" fontId="6" fillId="10" borderId="0" xfId="1" applyNumberFormat="1" applyFont="1" applyFill="1" applyBorder="1" applyAlignment="1">
      <alignment horizontal="center"/>
    </xf>
    <xf numFmtId="43" fontId="6" fillId="10" borderId="0" xfId="1" applyFont="1" applyFill="1" applyBorder="1" applyAlignment="1">
      <alignment horizontal="center"/>
    </xf>
    <xf numFmtId="164" fontId="6" fillId="6" borderId="0" xfId="1" applyNumberFormat="1" applyFont="1" applyFill="1" applyBorder="1" applyAlignment="1">
      <alignment horizontal="center"/>
    </xf>
    <xf numFmtId="43" fontId="6" fillId="6" borderId="0" xfId="1" applyFont="1" applyFill="1" applyBorder="1" applyAlignment="1">
      <alignment horizontal="center"/>
    </xf>
    <xf numFmtId="44" fontId="9" fillId="18" borderId="8" xfId="2" applyFont="1" applyFill="1" applyBorder="1" applyAlignment="1">
      <alignment horizontal="center" vertical="center"/>
    </xf>
    <xf numFmtId="167" fontId="6" fillId="6" borderId="0" xfId="2" applyNumberFormat="1" applyFont="1" applyFill="1" applyBorder="1" applyAlignment="1">
      <alignment horizontal="center"/>
    </xf>
    <xf numFmtId="170" fontId="6" fillId="6" borderId="0" xfId="0" applyNumberFormat="1" applyFont="1" applyFill="1" applyAlignment="1">
      <alignment horizontal="center"/>
    </xf>
    <xf numFmtId="168" fontId="9" fillId="0" borderId="0" xfId="1" applyNumberFormat="1" applyFont="1" applyFill="1" applyBorder="1" applyAlignment="1">
      <alignment horizontal="center" wrapText="1"/>
    </xf>
    <xf numFmtId="176" fontId="9" fillId="0" borderId="0" xfId="1" applyNumberFormat="1" applyFont="1" applyFill="1" applyBorder="1" applyAlignment="1">
      <alignment horizontal="center" wrapText="1"/>
    </xf>
    <xf numFmtId="44" fontId="6" fillId="6" borderId="0" xfId="2" applyFont="1" applyFill="1" applyBorder="1" applyAlignment="1">
      <alignment horizontal="center"/>
    </xf>
    <xf numFmtId="44" fontId="9" fillId="20" borderId="0" xfId="2" applyFont="1" applyFill="1" applyBorder="1" applyAlignment="1">
      <alignment horizontal="center" vertical="center"/>
    </xf>
    <xf numFmtId="170" fontId="6" fillId="6" borderId="69" xfId="0" applyNumberFormat="1" applyFont="1" applyFill="1" applyBorder="1" applyAlignment="1">
      <alignment horizontal="center"/>
    </xf>
    <xf numFmtId="175" fontId="6" fillId="6" borderId="70" xfId="0" applyNumberFormat="1" applyFont="1" applyFill="1" applyBorder="1" applyAlignment="1">
      <alignment horizontal="center"/>
    </xf>
    <xf numFmtId="170" fontId="6" fillId="6" borderId="71" xfId="0" applyNumberFormat="1" applyFont="1" applyFill="1" applyBorder="1" applyAlignment="1">
      <alignment horizontal="center"/>
    </xf>
    <xf numFmtId="0" fontId="0" fillId="0" borderId="71" xfId="0" applyBorder="1"/>
    <xf numFmtId="168" fontId="9" fillId="0" borderId="71" xfId="1" applyNumberFormat="1" applyFont="1" applyFill="1" applyBorder="1" applyAlignment="1">
      <alignment horizontal="center" wrapText="1"/>
    </xf>
    <xf numFmtId="176" fontId="9" fillId="0" borderId="71" xfId="1" applyNumberFormat="1" applyFont="1" applyFill="1" applyBorder="1" applyAlignment="1">
      <alignment horizontal="center" wrapText="1"/>
    </xf>
    <xf numFmtId="0" fontId="6" fillId="0" borderId="71" xfId="0" applyFont="1" applyBorder="1" applyAlignment="1">
      <alignment horizontal="center"/>
    </xf>
    <xf numFmtId="0" fontId="6" fillId="6" borderId="71" xfId="0" applyFont="1" applyFill="1" applyBorder="1" applyAlignment="1">
      <alignment horizontal="center"/>
    </xf>
    <xf numFmtId="164" fontId="6" fillId="6" borderId="71" xfId="1" applyNumberFormat="1" applyFont="1" applyFill="1" applyBorder="1" applyAlignment="1">
      <alignment horizontal="center"/>
    </xf>
    <xf numFmtId="43" fontId="6" fillId="6" borderId="71" xfId="1" applyFont="1" applyFill="1" applyBorder="1" applyAlignment="1">
      <alignment horizontal="center"/>
    </xf>
    <xf numFmtId="0" fontId="6" fillId="6" borderId="71" xfId="0" applyFont="1" applyFill="1" applyBorder="1" applyAlignment="1">
      <alignment horizontal="left"/>
    </xf>
    <xf numFmtId="167" fontId="6" fillId="6" borderId="71" xfId="2" applyNumberFormat="1" applyFont="1" applyFill="1" applyBorder="1" applyAlignment="1">
      <alignment horizontal="center"/>
    </xf>
    <xf numFmtId="44" fontId="6" fillId="6" borderId="71" xfId="2" applyFont="1" applyFill="1" applyBorder="1" applyAlignment="1">
      <alignment horizontal="center"/>
    </xf>
    <xf numFmtId="175" fontId="6" fillId="6" borderId="71" xfId="0" applyNumberFormat="1" applyFont="1" applyFill="1" applyBorder="1" applyAlignment="1">
      <alignment horizontal="center"/>
    </xf>
    <xf numFmtId="164" fontId="6" fillId="6" borderId="72" xfId="1" applyNumberFormat="1" applyFont="1" applyFill="1" applyBorder="1" applyAlignment="1">
      <alignment horizontal="center"/>
    </xf>
    <xf numFmtId="164" fontId="6" fillId="6" borderId="73" xfId="1" applyNumberFormat="1" applyFont="1" applyFill="1" applyBorder="1" applyAlignment="1">
      <alignment horizontal="center"/>
    </xf>
    <xf numFmtId="170" fontId="6" fillId="10" borderId="74" xfId="0" applyNumberFormat="1" applyFont="1" applyFill="1" applyBorder="1" applyAlignment="1">
      <alignment horizontal="center"/>
    </xf>
    <xf numFmtId="0" fontId="0" fillId="0" borderId="74" xfId="0" applyBorder="1"/>
    <xf numFmtId="168" fontId="9" fillId="10" borderId="74" xfId="1" applyNumberFormat="1" applyFont="1" applyFill="1" applyBorder="1" applyAlignment="1">
      <alignment horizontal="center" wrapText="1"/>
    </xf>
    <xf numFmtId="176" fontId="9" fillId="10" borderId="74" xfId="1" applyNumberFormat="1" applyFont="1" applyFill="1" applyBorder="1" applyAlignment="1">
      <alignment horizontal="center" wrapText="1"/>
    </xf>
    <xf numFmtId="0" fontId="6" fillId="0" borderId="74" xfId="0" applyFont="1" applyBorder="1" applyAlignment="1">
      <alignment horizontal="center"/>
    </xf>
    <xf numFmtId="0" fontId="6" fillId="10" borderId="74" xfId="0" applyFont="1" applyFill="1" applyBorder="1" applyAlignment="1">
      <alignment horizontal="center"/>
    </xf>
    <xf numFmtId="164" fontId="6" fillId="10" borderId="74" xfId="1" applyNumberFormat="1" applyFont="1" applyFill="1" applyBorder="1" applyAlignment="1">
      <alignment horizontal="center"/>
    </xf>
    <xf numFmtId="43" fontId="6" fillId="10" borderId="74" xfId="1" applyFont="1" applyFill="1" applyBorder="1" applyAlignment="1">
      <alignment horizontal="center"/>
    </xf>
    <xf numFmtId="0" fontId="6" fillId="10" borderId="74" xfId="0" applyFont="1" applyFill="1" applyBorder="1" applyAlignment="1">
      <alignment horizontal="left"/>
    </xf>
    <xf numFmtId="164" fontId="6" fillId="10" borderId="75" xfId="1" applyNumberFormat="1" applyFont="1" applyFill="1" applyBorder="1" applyAlignment="1">
      <alignment horizontal="center"/>
    </xf>
    <xf numFmtId="167" fontId="6" fillId="10" borderId="74" xfId="2" applyNumberFormat="1" applyFont="1" applyFill="1" applyBorder="1" applyAlignment="1">
      <alignment horizontal="center"/>
    </xf>
    <xf numFmtId="44" fontId="6" fillId="10" borderId="74" xfId="2" applyFont="1" applyFill="1" applyBorder="1" applyAlignment="1">
      <alignment horizontal="center"/>
    </xf>
    <xf numFmtId="44" fontId="9" fillId="2" borderId="74" xfId="2" applyFont="1" applyFill="1" applyBorder="1" applyAlignment="1">
      <alignment horizontal="center" vertical="center"/>
    </xf>
    <xf numFmtId="175" fontId="6" fillId="10" borderId="74" xfId="0" applyNumberFormat="1" applyFont="1" applyFill="1" applyBorder="1" applyAlignment="1">
      <alignment horizontal="center"/>
    </xf>
    <xf numFmtId="44" fontId="9" fillId="21" borderId="74" xfId="2" applyFont="1" applyFill="1" applyBorder="1" applyAlignment="1">
      <alignment horizontal="center" vertical="center"/>
    </xf>
    <xf numFmtId="0" fontId="6" fillId="6" borderId="0" xfId="0" applyFont="1" applyFill="1"/>
    <xf numFmtId="164" fontId="6" fillId="6" borderId="6" xfId="1" applyNumberFormat="1" applyFont="1" applyFill="1" applyBorder="1" applyAlignment="1"/>
    <xf numFmtId="164" fontId="6" fillId="6" borderId="7" xfId="1" applyNumberFormat="1" applyFont="1" applyFill="1" applyBorder="1" applyAlignment="1"/>
    <xf numFmtId="0" fontId="13" fillId="0" borderId="0" xfId="0" applyFont="1" applyAlignment="1">
      <alignment wrapText="1"/>
    </xf>
    <xf numFmtId="43" fontId="3" fillId="2" borderId="23" xfId="1" applyFont="1" applyFill="1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6" fillId="2" borderId="74" xfId="0" applyFont="1" applyFill="1" applyBorder="1" applyAlignment="1">
      <alignment horizontal="center"/>
    </xf>
    <xf numFmtId="44" fontId="34" fillId="21" borderId="42" xfId="2" applyFont="1" applyFill="1" applyBorder="1" applyAlignment="1">
      <alignment horizontal="center" vertical="center"/>
    </xf>
    <xf numFmtId="0" fontId="6" fillId="18" borderId="6" xfId="0" applyFont="1" applyFill="1" applyBorder="1" applyAlignment="1">
      <alignment horizontal="center"/>
    </xf>
    <xf numFmtId="44" fontId="34" fillId="2" borderId="16" xfId="2" applyFont="1" applyFill="1" applyBorder="1" applyAlignment="1">
      <alignment horizontal="center" vertical="center"/>
    </xf>
    <xf numFmtId="44" fontId="34" fillId="20" borderId="42" xfId="2" applyFont="1" applyFill="1" applyBorder="1" applyAlignment="1">
      <alignment horizontal="center" vertical="center"/>
    </xf>
    <xf numFmtId="9" fontId="1" fillId="0" borderId="0" xfId="3" applyFont="1"/>
    <xf numFmtId="164" fontId="8" fillId="4" borderId="0" xfId="1" applyNumberFormat="1" applyFont="1" applyFill="1" applyAlignment="1">
      <alignment horizontal="center" vertical="center" wrapText="1"/>
    </xf>
    <xf numFmtId="167" fontId="8" fillId="4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4" borderId="18" xfId="0" applyFont="1" applyFill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/>
    </xf>
    <xf numFmtId="174" fontId="6" fillId="10" borderId="74" xfId="2" applyNumberFormat="1" applyFont="1" applyFill="1" applyBorder="1" applyAlignment="1">
      <alignment horizontal="center"/>
    </xf>
    <xf numFmtId="174" fontId="6" fillId="6" borderId="0" xfId="2" applyNumberFormat="1" applyFont="1" applyFill="1" applyBorder="1" applyAlignment="1">
      <alignment horizontal="center"/>
    </xf>
    <xf numFmtId="174" fontId="6" fillId="6" borderId="71" xfId="2" applyNumberFormat="1" applyFont="1" applyFill="1" applyBorder="1" applyAlignment="1">
      <alignment horizontal="center"/>
    </xf>
    <xf numFmtId="168" fontId="0" fillId="0" borderId="0" xfId="0" applyNumberFormat="1"/>
    <xf numFmtId="167" fontId="6" fillId="10" borderId="76" xfId="2" applyNumberFormat="1" applyFont="1" applyFill="1" applyBorder="1" applyAlignment="1">
      <alignment horizontal="center"/>
    </xf>
    <xf numFmtId="167" fontId="6" fillId="10" borderId="77" xfId="2" applyNumberFormat="1" applyFont="1" applyFill="1" applyBorder="1" applyAlignment="1">
      <alignment horizontal="center"/>
    </xf>
    <xf numFmtId="44" fontId="9" fillId="20" borderId="8" xfId="2" applyFont="1" applyFill="1" applyBorder="1" applyAlignment="1">
      <alignment horizontal="center" vertical="center"/>
    </xf>
    <xf numFmtId="44" fontId="9" fillId="22" borderId="8" xfId="2" applyFont="1" applyFill="1" applyBorder="1" applyAlignment="1">
      <alignment horizontal="center" vertical="center"/>
    </xf>
    <xf numFmtId="175" fontId="3" fillId="10" borderId="6" xfId="0" applyNumberFormat="1" applyFont="1" applyFill="1" applyBorder="1" applyAlignment="1">
      <alignment horizontal="center"/>
    </xf>
    <xf numFmtId="176" fontId="9" fillId="0" borderId="13" xfId="1" applyNumberFormat="1" applyFont="1" applyFill="1" applyBorder="1" applyAlignment="1">
      <alignment horizontal="center" wrapText="1"/>
    </xf>
    <xf numFmtId="164" fontId="6" fillId="6" borderId="66" xfId="1" applyNumberFormat="1" applyFont="1" applyFill="1" applyBorder="1" applyAlignment="1">
      <alignment horizontal="center"/>
    </xf>
    <xf numFmtId="164" fontId="6" fillId="0" borderId="9" xfId="1" applyNumberFormat="1" applyFont="1" applyBorder="1" applyAlignment="1">
      <alignment horizontal="center"/>
    </xf>
    <xf numFmtId="44" fontId="9" fillId="15" borderId="13" xfId="2" applyFont="1" applyFill="1" applyBorder="1" applyAlignment="1">
      <alignment vertical="center"/>
    </xf>
    <xf numFmtId="175" fontId="6" fillId="6" borderId="9" xfId="0" applyNumberFormat="1" applyFont="1" applyFill="1" applyBorder="1" applyAlignment="1">
      <alignment horizontal="center"/>
    </xf>
    <xf numFmtId="170" fontId="6" fillId="6" borderId="78" xfId="0" applyNumberFormat="1" applyFont="1" applyFill="1" applyBorder="1" applyAlignment="1">
      <alignment horizontal="center"/>
    </xf>
    <xf numFmtId="170" fontId="6" fillId="6" borderId="79" xfId="0" applyNumberFormat="1" applyFont="1" applyFill="1" applyBorder="1" applyAlignment="1">
      <alignment horizontal="center"/>
    </xf>
    <xf numFmtId="0" fontId="0" fillId="0" borderId="80" xfId="0" applyBorder="1"/>
    <xf numFmtId="168" fontId="9" fillId="0" borderId="81" xfId="1" applyNumberFormat="1" applyFont="1" applyFill="1" applyBorder="1" applyAlignment="1">
      <alignment horizontal="center" wrapText="1"/>
    </xf>
    <xf numFmtId="176" fontId="9" fillId="0" borderId="81" xfId="1" applyNumberFormat="1" applyFont="1" applyFill="1" applyBorder="1" applyAlignment="1">
      <alignment horizontal="center" wrapText="1"/>
    </xf>
    <xf numFmtId="43" fontId="6" fillId="6" borderId="80" xfId="1" applyFont="1" applyFill="1" applyBorder="1" applyAlignment="1">
      <alignment horizontal="center"/>
    </xf>
    <xf numFmtId="0" fontId="6" fillId="6" borderId="80" xfId="0" applyFont="1" applyFill="1" applyBorder="1" applyAlignment="1">
      <alignment horizontal="center"/>
    </xf>
    <xf numFmtId="164" fontId="6" fillId="6" borderId="80" xfId="1" applyNumberFormat="1" applyFont="1" applyFill="1" applyBorder="1" applyAlignment="1">
      <alignment horizontal="center"/>
    </xf>
    <xf numFmtId="0" fontId="6" fillId="6" borderId="80" xfId="0" applyFont="1" applyFill="1" applyBorder="1" applyAlignment="1">
      <alignment horizontal="left"/>
    </xf>
    <xf numFmtId="0" fontId="6" fillId="6" borderId="79" xfId="0" applyFont="1" applyFill="1" applyBorder="1" applyAlignment="1">
      <alignment horizontal="center"/>
    </xf>
    <xf numFmtId="164" fontId="6" fillId="6" borderId="82" xfId="1" applyNumberFormat="1" applyFont="1" applyFill="1" applyBorder="1" applyAlignment="1">
      <alignment horizontal="center"/>
    </xf>
    <xf numFmtId="164" fontId="6" fillId="6" borderId="79" xfId="1" applyNumberFormat="1" applyFont="1" applyFill="1" applyBorder="1" applyAlignment="1">
      <alignment horizontal="center"/>
    </xf>
    <xf numFmtId="164" fontId="6" fillId="6" borderId="83" xfId="1" applyNumberFormat="1" applyFont="1" applyFill="1" applyBorder="1" applyAlignment="1">
      <alignment horizontal="center"/>
    </xf>
    <xf numFmtId="167" fontId="6" fillId="6" borderId="79" xfId="2" applyNumberFormat="1" applyFont="1" applyFill="1" applyBorder="1" applyAlignment="1">
      <alignment horizontal="center"/>
    </xf>
    <xf numFmtId="43" fontId="6" fillId="6" borderId="79" xfId="1" applyFont="1" applyFill="1" applyBorder="1" applyAlignment="1">
      <alignment horizontal="center"/>
    </xf>
    <xf numFmtId="44" fontId="6" fillId="6" borderId="79" xfId="2" applyFont="1" applyFill="1" applyBorder="1" applyAlignment="1">
      <alignment horizontal="center"/>
    </xf>
    <xf numFmtId="167" fontId="6" fillId="6" borderId="79" xfId="2" applyNumberFormat="1" applyFont="1" applyFill="1" applyBorder="1" applyAlignment="1"/>
    <xf numFmtId="0" fontId="6" fillId="0" borderId="80" xfId="0" applyFont="1" applyBorder="1" applyAlignment="1">
      <alignment horizontal="center"/>
    </xf>
    <xf numFmtId="170" fontId="6" fillId="6" borderId="84" xfId="0" applyNumberFormat="1" applyFont="1" applyFill="1" applyBorder="1" applyAlignment="1">
      <alignment horizontal="center"/>
    </xf>
    <xf numFmtId="170" fontId="6" fillId="6" borderId="85" xfId="0" applyNumberFormat="1" applyFont="1" applyFill="1" applyBorder="1" applyAlignment="1">
      <alignment horizontal="center"/>
    </xf>
    <xf numFmtId="0" fontId="0" fillId="0" borderId="86" xfId="0" applyBorder="1"/>
    <xf numFmtId="168" fontId="9" fillId="0" borderId="87" xfId="1" applyNumberFormat="1" applyFont="1" applyFill="1" applyBorder="1" applyAlignment="1">
      <alignment horizontal="center" wrapText="1"/>
    </xf>
    <xf numFmtId="176" fontId="9" fillId="0" borderId="87" xfId="1" applyNumberFormat="1" applyFont="1" applyFill="1" applyBorder="1" applyAlignment="1">
      <alignment horizontal="center" wrapText="1"/>
    </xf>
    <xf numFmtId="43" fontId="6" fillId="6" borderId="86" xfId="1" applyFont="1" applyFill="1" applyBorder="1" applyAlignment="1">
      <alignment horizontal="center"/>
    </xf>
    <xf numFmtId="0" fontId="6" fillId="6" borderId="86" xfId="0" applyFont="1" applyFill="1" applyBorder="1" applyAlignment="1">
      <alignment horizontal="center"/>
    </xf>
    <xf numFmtId="164" fontId="6" fillId="6" borderId="86" xfId="1" applyNumberFormat="1" applyFont="1" applyFill="1" applyBorder="1" applyAlignment="1">
      <alignment horizontal="center"/>
    </xf>
    <xf numFmtId="0" fontId="6" fillId="6" borderId="86" xfId="0" applyFont="1" applyFill="1" applyBorder="1" applyAlignment="1">
      <alignment horizontal="left"/>
    </xf>
    <xf numFmtId="0" fontId="6" fillId="6" borderId="85" xfId="0" applyFont="1" applyFill="1" applyBorder="1" applyAlignment="1">
      <alignment horizontal="center"/>
    </xf>
    <xf numFmtId="164" fontId="6" fillId="6" borderId="88" xfId="1" applyNumberFormat="1" applyFont="1" applyFill="1" applyBorder="1" applyAlignment="1">
      <alignment horizontal="center"/>
    </xf>
    <xf numFmtId="164" fontId="6" fillId="6" borderId="85" xfId="1" applyNumberFormat="1" applyFont="1" applyFill="1" applyBorder="1" applyAlignment="1">
      <alignment horizontal="center"/>
    </xf>
    <xf numFmtId="164" fontId="6" fillId="6" borderId="89" xfId="1" applyNumberFormat="1" applyFont="1" applyFill="1" applyBorder="1" applyAlignment="1">
      <alignment horizontal="center"/>
    </xf>
    <xf numFmtId="167" fontId="6" fillId="6" borderId="85" xfId="2" applyNumberFormat="1" applyFont="1" applyFill="1" applyBorder="1" applyAlignment="1">
      <alignment horizontal="center"/>
    </xf>
    <xf numFmtId="43" fontId="6" fillId="6" borderId="85" xfId="1" applyFont="1" applyFill="1" applyBorder="1" applyAlignment="1">
      <alignment horizontal="center"/>
    </xf>
    <xf numFmtId="164" fontId="6" fillId="0" borderId="85" xfId="1" applyNumberFormat="1" applyFont="1" applyBorder="1" applyAlignment="1">
      <alignment horizontal="center"/>
    </xf>
    <xf numFmtId="44" fontId="6" fillId="6" borderId="85" xfId="2" applyFont="1" applyFill="1" applyBorder="1" applyAlignment="1">
      <alignment horizontal="center"/>
    </xf>
    <xf numFmtId="167" fontId="6" fillId="6" borderId="85" xfId="2" applyNumberFormat="1" applyFont="1" applyFill="1" applyBorder="1" applyAlignment="1"/>
    <xf numFmtId="44" fontId="9" fillId="15" borderId="87" xfId="2" applyFont="1" applyFill="1" applyBorder="1" applyAlignment="1">
      <alignment vertical="center"/>
    </xf>
    <xf numFmtId="0" fontId="6" fillId="0" borderId="86" xfId="0" applyFont="1" applyBorder="1" applyAlignment="1">
      <alignment horizontal="center"/>
    </xf>
    <xf numFmtId="175" fontId="6" fillId="6" borderId="85" xfId="0" applyNumberFormat="1" applyFont="1" applyFill="1" applyBorder="1" applyAlignment="1">
      <alignment horizontal="center"/>
    </xf>
    <xf numFmtId="175" fontId="6" fillId="6" borderId="90" xfId="0" applyNumberFormat="1" applyFont="1" applyFill="1" applyBorder="1" applyAlignment="1">
      <alignment horizontal="center"/>
    </xf>
    <xf numFmtId="44" fontId="9" fillId="23" borderId="8" xfId="2" applyFont="1" applyFill="1" applyBorder="1" applyAlignment="1">
      <alignment horizontal="center" vertical="center"/>
    </xf>
    <xf numFmtId="0" fontId="6" fillId="23" borderId="6" xfId="0" applyFont="1" applyFill="1" applyBorder="1" applyAlignment="1">
      <alignment horizontal="center"/>
    </xf>
    <xf numFmtId="168" fontId="9" fillId="0" borderId="68" xfId="1" applyNumberFormat="1" applyFont="1" applyFill="1" applyBorder="1" applyAlignment="1">
      <alignment horizontal="center" wrapText="1"/>
    </xf>
    <xf numFmtId="164" fontId="6" fillId="2" borderId="0" xfId="1" applyNumberFormat="1" applyFont="1" applyFill="1" applyAlignment="1">
      <alignment horizontal="center"/>
    </xf>
    <xf numFmtId="44" fontId="9" fillId="15" borderId="15" xfId="2" applyFont="1" applyFill="1" applyBorder="1" applyAlignment="1">
      <alignment vertical="center"/>
    </xf>
    <xf numFmtId="44" fontId="35" fillId="24" borderId="23" xfId="2" applyFont="1" applyFill="1" applyBorder="1" applyAlignment="1">
      <alignment vertical="center"/>
    </xf>
    <xf numFmtId="44" fontId="0" fillId="15" borderId="0" xfId="0" applyNumberFormat="1" applyFill="1"/>
    <xf numFmtId="164" fontId="31" fillId="0" borderId="0" xfId="1" applyNumberFormat="1" applyFont="1" applyAlignment="1">
      <alignment horizontal="center"/>
    </xf>
    <xf numFmtId="0" fontId="31" fillId="0" borderId="0" xfId="0" applyFont="1" applyAlignment="1">
      <alignment horizontal="center"/>
    </xf>
    <xf numFmtId="167" fontId="6" fillId="15" borderId="35" xfId="2" applyNumberFormat="1" applyFont="1" applyFill="1" applyBorder="1" applyAlignment="1">
      <alignment horizontal="center"/>
    </xf>
    <xf numFmtId="167" fontId="6" fillId="15" borderId="77" xfId="2" applyNumberFormat="1" applyFont="1" applyFill="1" applyBorder="1" applyAlignment="1">
      <alignment horizontal="center"/>
    </xf>
    <xf numFmtId="170" fontId="6" fillId="10" borderId="76" xfId="0" applyNumberFormat="1" applyFont="1" applyFill="1" applyBorder="1" applyAlignment="1">
      <alignment horizontal="center"/>
    </xf>
    <xf numFmtId="170" fontId="6" fillId="6" borderId="66" xfId="0" applyNumberFormat="1" applyFont="1" applyFill="1" applyBorder="1" applyAlignment="1">
      <alignment horizontal="center"/>
    </xf>
    <xf numFmtId="170" fontId="6" fillId="10" borderId="77" xfId="0" applyNumberFormat="1" applyFont="1" applyFill="1" applyBorder="1" applyAlignment="1">
      <alignment horizontal="center"/>
    </xf>
    <xf numFmtId="167" fontId="6" fillId="10" borderId="67" xfId="2" applyNumberFormat="1" applyFont="1" applyFill="1" applyBorder="1" applyAlignment="1">
      <alignment horizontal="center"/>
    </xf>
    <xf numFmtId="164" fontId="3" fillId="10" borderId="23" xfId="1" applyNumberFormat="1" applyFont="1" applyFill="1" applyBorder="1" applyAlignment="1">
      <alignment horizontal="center"/>
    </xf>
    <xf numFmtId="164" fontId="3" fillId="6" borderId="23" xfId="1" applyNumberFormat="1" applyFont="1" applyFill="1" applyBorder="1" applyAlignment="1">
      <alignment horizontal="center"/>
    </xf>
    <xf numFmtId="0" fontId="6" fillId="25" borderId="9" xfId="0" applyFont="1" applyFill="1" applyBorder="1" applyAlignment="1">
      <alignment horizontal="left"/>
    </xf>
    <xf numFmtId="44" fontId="9" fillId="25" borderId="8" xfId="2" applyFont="1" applyFill="1" applyBorder="1" applyAlignment="1">
      <alignment horizontal="center" vertical="center"/>
    </xf>
    <xf numFmtId="167" fontId="6" fillId="10" borderId="35" xfId="2" applyNumberFormat="1" applyFont="1" applyFill="1" applyBorder="1" applyAlignment="1">
      <alignment horizontal="center"/>
    </xf>
    <xf numFmtId="175" fontId="6" fillId="6" borderId="0" xfId="0" applyNumberFormat="1" applyFont="1" applyFill="1" applyAlignment="1">
      <alignment horizontal="center"/>
    </xf>
    <xf numFmtId="170" fontId="6" fillId="10" borderId="0" xfId="0" applyNumberFormat="1" applyFont="1" applyFill="1" applyAlignment="1">
      <alignment horizontal="center"/>
    </xf>
    <xf numFmtId="175" fontId="6" fillId="10" borderId="0" xfId="0" applyNumberFormat="1" applyFont="1" applyFill="1" applyAlignment="1">
      <alignment horizontal="center"/>
    </xf>
    <xf numFmtId="170" fontId="6" fillId="6" borderId="28" xfId="0" applyNumberFormat="1" applyFont="1" applyFill="1" applyBorder="1" applyAlignment="1">
      <alignment horizontal="center"/>
    </xf>
    <xf numFmtId="170" fontId="6" fillId="6" borderId="29" xfId="0" applyNumberFormat="1" applyFont="1" applyFill="1" applyBorder="1" applyAlignment="1">
      <alignment horizontal="center"/>
    </xf>
    <xf numFmtId="168" fontId="9" fillId="0" borderId="29" xfId="1" applyNumberFormat="1" applyFont="1" applyFill="1" applyBorder="1" applyAlignment="1">
      <alignment horizontal="center" wrapText="1"/>
    </xf>
    <xf numFmtId="176" fontId="9" fillId="0" borderId="29" xfId="1" applyNumberFormat="1" applyFont="1" applyFill="1" applyBorder="1" applyAlignment="1">
      <alignment horizontal="center" wrapText="1"/>
    </xf>
    <xf numFmtId="0" fontId="6" fillId="6" borderId="29" xfId="0" applyFont="1" applyFill="1" applyBorder="1" applyAlignment="1">
      <alignment horizontal="center"/>
    </xf>
    <xf numFmtId="164" fontId="6" fillId="6" borderId="29" xfId="1" applyNumberFormat="1" applyFont="1" applyFill="1" applyBorder="1" applyAlignment="1">
      <alignment horizontal="center"/>
    </xf>
    <xf numFmtId="43" fontId="6" fillId="6" borderId="29" xfId="1" applyFont="1" applyFill="1" applyBorder="1" applyAlignment="1">
      <alignment horizontal="center"/>
    </xf>
    <xf numFmtId="164" fontId="6" fillId="6" borderId="29" xfId="1" applyNumberFormat="1" applyFont="1" applyFill="1" applyBorder="1" applyAlignment="1"/>
    <xf numFmtId="175" fontId="6" fillId="6" borderId="29" xfId="0" applyNumberFormat="1" applyFont="1" applyFill="1" applyBorder="1" applyAlignment="1">
      <alignment horizontal="center"/>
    </xf>
    <xf numFmtId="175" fontId="6" fillId="6" borderId="30" xfId="0" applyNumberFormat="1" applyFont="1" applyFill="1" applyBorder="1" applyAlignment="1">
      <alignment horizontal="center"/>
    </xf>
    <xf numFmtId="170" fontId="6" fillId="10" borderId="91" xfId="0" applyNumberFormat="1" applyFont="1" applyFill="1" applyBorder="1" applyAlignment="1">
      <alignment horizontal="center"/>
    </xf>
    <xf numFmtId="175" fontId="6" fillId="10" borderId="92" xfId="0" applyNumberFormat="1" applyFont="1" applyFill="1" applyBorder="1" applyAlignment="1">
      <alignment horizontal="center"/>
    </xf>
    <xf numFmtId="170" fontId="6" fillId="6" borderId="24" xfId="0" applyNumberFormat="1" applyFont="1" applyFill="1" applyBorder="1" applyAlignment="1">
      <alignment horizontal="center"/>
    </xf>
    <xf numFmtId="0" fontId="6" fillId="20" borderId="0" xfId="0" applyFont="1" applyFill="1" applyAlignment="1">
      <alignment horizontal="center"/>
    </xf>
    <xf numFmtId="175" fontId="3" fillId="6" borderId="0" xfId="0" applyNumberFormat="1" applyFont="1" applyFill="1" applyAlignment="1">
      <alignment horizontal="center"/>
    </xf>
    <xf numFmtId="175" fontId="3" fillId="6" borderId="31" xfId="0" applyNumberFormat="1" applyFont="1" applyFill="1" applyBorder="1" applyAlignment="1">
      <alignment horizontal="center"/>
    </xf>
    <xf numFmtId="170" fontId="6" fillId="6" borderId="32" xfId="0" applyNumberFormat="1" applyFont="1" applyFill="1" applyBorder="1" applyAlignment="1">
      <alignment horizontal="center"/>
    </xf>
    <xf numFmtId="170" fontId="6" fillId="6" borderId="33" xfId="0" applyNumberFormat="1" applyFont="1" applyFill="1" applyBorder="1" applyAlignment="1">
      <alignment horizontal="center"/>
    </xf>
    <xf numFmtId="168" fontId="9" fillId="0" borderId="33" xfId="1" applyNumberFormat="1" applyFont="1" applyFill="1" applyBorder="1" applyAlignment="1">
      <alignment horizontal="center" wrapText="1"/>
    </xf>
    <xf numFmtId="176" fontId="9" fillId="0" borderId="33" xfId="1" applyNumberFormat="1" applyFont="1" applyFill="1" applyBorder="1" applyAlignment="1">
      <alignment horizontal="center" wrapText="1"/>
    </xf>
    <xf numFmtId="0" fontId="6" fillId="6" borderId="33" xfId="0" applyFont="1" applyFill="1" applyBorder="1" applyAlignment="1">
      <alignment horizontal="left"/>
    </xf>
    <xf numFmtId="0" fontId="6" fillId="18" borderId="44" xfId="0" applyFont="1" applyFill="1" applyBorder="1" applyAlignment="1">
      <alignment horizontal="center"/>
    </xf>
    <xf numFmtId="164" fontId="6" fillId="6" borderId="93" xfId="1" applyNumberFormat="1" applyFont="1" applyFill="1" applyBorder="1" applyAlignment="1">
      <alignment horizontal="center"/>
    </xf>
    <xf numFmtId="167" fontId="6" fillId="6" borderId="33" xfId="2" applyNumberFormat="1" applyFont="1" applyFill="1" applyBorder="1" applyAlignment="1">
      <alignment horizontal="center"/>
    </xf>
    <xf numFmtId="43" fontId="6" fillId="6" borderId="33" xfId="1" applyFont="1" applyFill="1" applyBorder="1" applyAlignment="1">
      <alignment horizontal="left"/>
    </xf>
    <xf numFmtId="44" fontId="6" fillId="6" borderId="33" xfId="2" applyFont="1" applyFill="1" applyBorder="1" applyAlignment="1">
      <alignment horizontal="center"/>
    </xf>
    <xf numFmtId="174" fontId="6" fillId="6" borderId="33" xfId="2" applyNumberFormat="1" applyFont="1" applyFill="1" applyBorder="1" applyAlignment="1">
      <alignment horizontal="center"/>
    </xf>
    <xf numFmtId="44" fontId="9" fillId="18" borderId="46" xfId="2" applyFont="1" applyFill="1" applyBorder="1" applyAlignment="1">
      <alignment horizontal="center" vertical="center"/>
    </xf>
    <xf numFmtId="175" fontId="6" fillId="6" borderId="33" xfId="0" applyNumberFormat="1" applyFont="1" applyFill="1" applyBorder="1" applyAlignment="1">
      <alignment horizontal="center"/>
    </xf>
    <xf numFmtId="175" fontId="6" fillId="6" borderId="34" xfId="0" applyNumberFormat="1" applyFont="1" applyFill="1" applyBorder="1" applyAlignment="1">
      <alignment horizontal="center"/>
    </xf>
    <xf numFmtId="170" fontId="6" fillId="6" borderId="94" xfId="0" applyNumberFormat="1" applyFont="1" applyFill="1" applyBorder="1" applyAlignment="1">
      <alignment horizontal="center"/>
    </xf>
    <xf numFmtId="175" fontId="6" fillId="6" borderId="95" xfId="0" applyNumberFormat="1" applyFont="1" applyFill="1" applyBorder="1" applyAlignment="1">
      <alignment horizontal="center"/>
    </xf>
    <xf numFmtId="1" fontId="3" fillId="2" borderId="73" xfId="1" applyNumberFormat="1" applyFont="1" applyFill="1" applyBorder="1" applyAlignment="1">
      <alignment horizontal="center"/>
    </xf>
    <xf numFmtId="175" fontId="6" fillId="10" borderId="37" xfId="0" applyNumberFormat="1" applyFont="1" applyFill="1" applyBorder="1" applyAlignment="1">
      <alignment horizontal="center"/>
    </xf>
    <xf numFmtId="170" fontId="6" fillId="6" borderId="96" xfId="0" applyNumberFormat="1" applyFont="1" applyFill="1" applyBorder="1" applyAlignment="1">
      <alignment horizontal="center"/>
    </xf>
    <xf numFmtId="175" fontId="6" fillId="6" borderId="97" xfId="0" applyNumberFormat="1" applyFont="1" applyFill="1" applyBorder="1" applyAlignment="1">
      <alignment horizontal="center"/>
    </xf>
    <xf numFmtId="170" fontId="6" fillId="10" borderId="96" xfId="0" applyNumberFormat="1" applyFont="1" applyFill="1" applyBorder="1" applyAlignment="1">
      <alignment horizontal="center"/>
    </xf>
    <xf numFmtId="175" fontId="6" fillId="10" borderId="97" xfId="0" applyNumberFormat="1" applyFont="1" applyFill="1" applyBorder="1" applyAlignment="1">
      <alignment horizontal="center"/>
    </xf>
    <xf numFmtId="175" fontId="3" fillId="10" borderId="97" xfId="0" applyNumberFormat="1" applyFont="1" applyFill="1" applyBorder="1" applyAlignment="1">
      <alignment horizontal="center"/>
    </xf>
    <xf numFmtId="175" fontId="6" fillId="6" borderId="44" xfId="0" applyNumberFormat="1" applyFont="1" applyFill="1" applyBorder="1" applyAlignment="1">
      <alignment horizontal="center"/>
    </xf>
    <xf numFmtId="170" fontId="6" fillId="6" borderId="36" xfId="0" applyNumberFormat="1" applyFont="1" applyFill="1" applyBorder="1" applyAlignment="1">
      <alignment horizontal="center"/>
    </xf>
    <xf numFmtId="170" fontId="6" fillId="6" borderId="37" xfId="0" applyNumberFormat="1" applyFont="1" applyFill="1" applyBorder="1" applyAlignment="1">
      <alignment horizontal="center"/>
    </xf>
    <xf numFmtId="168" fontId="9" fillId="0" borderId="41" xfId="1" applyNumberFormat="1" applyFont="1" applyFill="1" applyBorder="1" applyAlignment="1">
      <alignment horizontal="center" wrapText="1"/>
    </xf>
    <xf numFmtId="176" fontId="9" fillId="0" borderId="41" xfId="1" applyNumberFormat="1" applyFont="1" applyFill="1" applyBorder="1" applyAlignment="1">
      <alignment horizontal="center" wrapText="1"/>
    </xf>
    <xf numFmtId="0" fontId="6" fillId="6" borderId="29" xfId="0" applyFont="1" applyFill="1" applyBorder="1" applyAlignment="1">
      <alignment horizontal="left"/>
    </xf>
    <xf numFmtId="0" fontId="6" fillId="6" borderId="37" xfId="0" applyFont="1" applyFill="1" applyBorder="1" applyAlignment="1">
      <alignment horizontal="center"/>
    </xf>
    <xf numFmtId="164" fontId="6" fillId="6" borderId="37" xfId="1" applyNumberFormat="1" applyFont="1" applyFill="1" applyBorder="1" applyAlignment="1">
      <alignment horizontal="center"/>
    </xf>
    <xf numFmtId="164" fontId="6" fillId="6" borderId="40" xfId="1" applyNumberFormat="1" applyFont="1" applyFill="1" applyBorder="1" applyAlignment="1">
      <alignment horizontal="center"/>
    </xf>
    <xf numFmtId="166" fontId="6" fillId="6" borderId="39" xfId="2" applyNumberFormat="1" applyFont="1" applyFill="1" applyBorder="1" applyAlignment="1">
      <alignment horizontal="center"/>
    </xf>
    <xf numFmtId="164" fontId="6" fillId="0" borderId="37" xfId="1" applyNumberFormat="1" applyFont="1" applyBorder="1" applyAlignment="1">
      <alignment horizontal="center"/>
    </xf>
    <xf numFmtId="44" fontId="6" fillId="6" borderId="37" xfId="2" applyFont="1" applyFill="1" applyBorder="1" applyAlignment="1">
      <alignment horizontal="center"/>
    </xf>
    <xf numFmtId="167" fontId="6" fillId="6" borderId="37" xfId="2" applyNumberFormat="1" applyFont="1" applyFill="1" applyBorder="1" applyAlignment="1">
      <alignment horizontal="center"/>
    </xf>
    <xf numFmtId="44" fontId="9" fillId="0" borderId="41" xfId="2" applyFont="1" applyFill="1" applyBorder="1" applyAlignment="1">
      <alignment horizontal="center" vertical="center"/>
    </xf>
    <xf numFmtId="175" fontId="6" fillId="6" borderId="37" xfId="0" applyNumberFormat="1" applyFont="1" applyFill="1" applyBorder="1" applyAlignment="1">
      <alignment horizontal="center"/>
    </xf>
    <xf numFmtId="175" fontId="6" fillId="6" borderId="42" xfId="0" applyNumberFormat="1" applyFont="1" applyFill="1" applyBorder="1" applyAlignment="1">
      <alignment horizontal="center"/>
    </xf>
    <xf numFmtId="170" fontId="6" fillId="10" borderId="43" xfId="0" applyNumberFormat="1" applyFont="1" applyFill="1" applyBorder="1" applyAlignment="1">
      <alignment horizontal="center"/>
    </xf>
    <xf numFmtId="170" fontId="6" fillId="10" borderId="44" xfId="0" applyNumberFormat="1" applyFont="1" applyFill="1" applyBorder="1" applyAlignment="1">
      <alignment horizontal="center"/>
    </xf>
    <xf numFmtId="168" fontId="9" fillId="10" borderId="46" xfId="1" applyNumberFormat="1" applyFont="1" applyFill="1" applyBorder="1" applyAlignment="1">
      <alignment horizontal="center" wrapText="1"/>
    </xf>
    <xf numFmtId="176" fontId="9" fillId="10" borderId="46" xfId="1" applyNumberFormat="1" applyFont="1" applyFill="1" applyBorder="1" applyAlignment="1">
      <alignment horizontal="center" wrapText="1"/>
    </xf>
    <xf numFmtId="0" fontId="6" fillId="10" borderId="33" xfId="0" applyFont="1" applyFill="1" applyBorder="1" applyAlignment="1">
      <alignment horizontal="center"/>
    </xf>
    <xf numFmtId="164" fontId="6" fillId="10" borderId="33" xfId="1" applyNumberFormat="1" applyFont="1" applyFill="1" applyBorder="1" applyAlignment="1">
      <alignment horizontal="center"/>
    </xf>
    <xf numFmtId="43" fontId="6" fillId="10" borderId="33" xfId="1" applyFont="1" applyFill="1" applyBorder="1" applyAlignment="1">
      <alignment horizontal="center"/>
    </xf>
    <xf numFmtId="0" fontId="6" fillId="10" borderId="44" xfId="0" applyFont="1" applyFill="1" applyBorder="1" applyAlignment="1">
      <alignment horizontal="left"/>
    </xf>
    <xf numFmtId="0" fontId="6" fillId="10" borderId="44" xfId="0" applyFont="1" applyFill="1" applyBorder="1" applyAlignment="1">
      <alignment horizontal="center"/>
    </xf>
    <xf numFmtId="164" fontId="6" fillId="10" borderId="44" xfId="1" applyNumberFormat="1" applyFont="1" applyFill="1" applyBorder="1" applyAlignment="1">
      <alignment horizontal="center"/>
    </xf>
    <xf numFmtId="164" fontId="6" fillId="10" borderId="47" xfId="1" applyNumberFormat="1" applyFont="1" applyFill="1" applyBorder="1" applyAlignment="1">
      <alignment horizontal="center"/>
    </xf>
    <xf numFmtId="167" fontId="6" fillId="10" borderId="44" xfId="2" applyNumberFormat="1" applyFont="1" applyFill="1" applyBorder="1" applyAlignment="1">
      <alignment horizontal="center"/>
    </xf>
    <xf numFmtId="44" fontId="6" fillId="10" borderId="44" xfId="2" applyFont="1" applyFill="1" applyBorder="1" applyAlignment="1">
      <alignment horizontal="center"/>
    </xf>
    <xf numFmtId="44" fontId="9" fillId="10" borderId="46" xfId="2" applyFont="1" applyFill="1" applyBorder="1" applyAlignment="1">
      <alignment horizontal="center" vertical="center"/>
    </xf>
    <xf numFmtId="175" fontId="6" fillId="10" borderId="44" xfId="0" applyNumberFormat="1" applyFont="1" applyFill="1" applyBorder="1" applyAlignment="1">
      <alignment horizontal="center"/>
    </xf>
    <xf numFmtId="175" fontId="6" fillId="10" borderId="48" xfId="0" applyNumberFormat="1" applyFont="1" applyFill="1" applyBorder="1" applyAlignment="1">
      <alignment horizontal="center"/>
    </xf>
    <xf numFmtId="0" fontId="6" fillId="26" borderId="9" xfId="0" applyFont="1" applyFill="1" applyBorder="1" applyAlignment="1">
      <alignment horizontal="left"/>
    </xf>
    <xf numFmtId="44" fontId="9" fillId="26" borderId="8" xfId="2" applyFont="1" applyFill="1" applyBorder="1" applyAlignment="1">
      <alignment horizontal="center" vertical="center"/>
    </xf>
    <xf numFmtId="164" fontId="3" fillId="10" borderId="75" xfId="1" applyNumberFormat="1" applyFont="1" applyFill="1" applyBorder="1" applyAlignment="1">
      <alignment horizontal="center"/>
    </xf>
    <xf numFmtId="174" fontId="0" fillId="0" borderId="0" xfId="2" applyNumberFormat="1" applyFont="1"/>
    <xf numFmtId="14" fontId="0" fillId="0" borderId="0" xfId="2" applyNumberFormat="1" applyFont="1"/>
    <xf numFmtId="44" fontId="6" fillId="10" borderId="105" xfId="2" applyFont="1" applyFill="1" applyBorder="1" applyAlignment="1">
      <alignment horizontal="center"/>
    </xf>
    <xf numFmtId="44" fontId="6" fillId="6" borderId="106" xfId="2" applyFont="1" applyFill="1" applyBorder="1" applyAlignment="1"/>
    <xf numFmtId="44" fontId="6" fillId="6" borderId="107" xfId="2" applyFont="1" applyFill="1" applyBorder="1" applyAlignment="1">
      <alignment horizontal="center"/>
    </xf>
    <xf numFmtId="44" fontId="6" fillId="6" borderId="108" xfId="2" applyFont="1" applyFill="1" applyBorder="1" applyAlignment="1">
      <alignment horizontal="center"/>
    </xf>
    <xf numFmtId="44" fontId="6" fillId="10" borderId="104" xfId="2" applyFont="1" applyFill="1" applyBorder="1" applyAlignment="1">
      <alignment horizontal="center"/>
    </xf>
    <xf numFmtId="44" fontId="6" fillId="6" borderId="104" xfId="2" applyFont="1" applyFill="1" applyBorder="1" applyAlignment="1">
      <alignment horizontal="center"/>
    </xf>
    <xf numFmtId="43" fontId="6" fillId="10" borderId="104" xfId="1" applyFont="1" applyFill="1" applyBorder="1" applyAlignment="1">
      <alignment horizontal="center"/>
    </xf>
    <xf numFmtId="164" fontId="6" fillId="6" borderId="0" xfId="1" applyNumberFormat="1" applyFont="1" applyFill="1" applyBorder="1" applyAlignment="1"/>
    <xf numFmtId="164" fontId="6" fillId="6" borderId="1" xfId="1" applyNumberFormat="1" applyFont="1" applyFill="1" applyBorder="1" applyAlignment="1"/>
    <xf numFmtId="43" fontId="6" fillId="6" borderId="0" xfId="1" applyFont="1" applyFill="1" applyBorder="1" applyAlignment="1"/>
    <xf numFmtId="44" fontId="6" fillId="6" borderId="107" xfId="2" applyFont="1" applyFill="1" applyBorder="1" applyAlignment="1"/>
    <xf numFmtId="44" fontId="6" fillId="6" borderId="0" xfId="2" applyFont="1" applyFill="1" applyBorder="1" applyAlignment="1"/>
    <xf numFmtId="174" fontId="6" fillId="6" borderId="0" xfId="2" applyNumberFormat="1" applyFont="1" applyFill="1" applyBorder="1" applyAlignment="1"/>
    <xf numFmtId="44" fontId="9" fillId="6" borderId="0" xfId="2" applyFont="1" applyFill="1" applyBorder="1" applyAlignment="1">
      <alignment vertical="center"/>
    </xf>
    <xf numFmtId="0" fontId="6" fillId="18" borderId="9" xfId="0" applyFont="1" applyFill="1" applyBorder="1" applyAlignment="1">
      <alignment horizontal="center"/>
    </xf>
    <xf numFmtId="44" fontId="9" fillId="18" borderId="13" xfId="2" applyFont="1" applyFill="1" applyBorder="1" applyAlignment="1">
      <alignment horizontal="center" vertical="center"/>
    </xf>
    <xf numFmtId="44" fontId="6" fillId="10" borderId="108" xfId="2" applyFont="1" applyFill="1" applyBorder="1" applyAlignment="1">
      <alignment horizontal="center"/>
    </xf>
    <xf numFmtId="167" fontId="6" fillId="6" borderId="20" xfId="2" applyNumberFormat="1" applyFont="1" applyFill="1" applyBorder="1" applyAlignment="1">
      <alignment horizontal="center"/>
    </xf>
    <xf numFmtId="170" fontId="6" fillId="6" borderId="109" xfId="0" applyNumberFormat="1" applyFont="1" applyFill="1" applyBorder="1" applyAlignment="1">
      <alignment horizontal="center"/>
    </xf>
    <xf numFmtId="170" fontId="6" fillId="6" borderId="110" xfId="0" applyNumberFormat="1" applyFont="1" applyFill="1" applyBorder="1" applyAlignment="1">
      <alignment horizontal="center"/>
    </xf>
    <xf numFmtId="175" fontId="6" fillId="6" borderId="111" xfId="0" applyNumberFormat="1" applyFont="1" applyFill="1" applyBorder="1" applyAlignment="1">
      <alignment horizontal="center"/>
    </xf>
    <xf numFmtId="170" fontId="6" fillId="6" borderId="67" xfId="0" applyNumberFormat="1" applyFont="1" applyFill="1" applyBorder="1" applyAlignment="1">
      <alignment horizontal="center"/>
    </xf>
    <xf numFmtId="0" fontId="0" fillId="15" borderId="0" xfId="0" quotePrefix="1" applyFill="1"/>
    <xf numFmtId="164" fontId="6" fillId="6" borderId="37" xfId="1" applyNumberFormat="1" applyFont="1" applyFill="1" applyBorder="1" applyAlignment="1">
      <alignment horizontal="left"/>
    </xf>
    <xf numFmtId="164" fontId="6" fillId="10" borderId="44" xfId="1" applyNumberFormat="1" applyFont="1" applyFill="1" applyBorder="1" applyAlignment="1">
      <alignment horizontal="left"/>
    </xf>
    <xf numFmtId="164" fontId="6" fillId="6" borderId="0" xfId="1" applyNumberFormat="1" applyFont="1" applyFill="1" applyBorder="1" applyAlignment="1">
      <alignment horizontal="left"/>
    </xf>
    <xf numFmtId="164" fontId="6" fillId="10" borderId="74" xfId="1" applyNumberFormat="1" applyFont="1" applyFill="1" applyBorder="1" applyAlignment="1">
      <alignment horizontal="left"/>
    </xf>
    <xf numFmtId="164" fontId="6" fillId="6" borderId="71" xfId="1" applyNumberFormat="1" applyFont="1" applyFill="1" applyBorder="1" applyAlignment="1">
      <alignment horizontal="left"/>
    </xf>
    <xf numFmtId="164" fontId="6" fillId="10" borderId="21" xfId="1" applyNumberFormat="1" applyFont="1" applyFill="1" applyBorder="1" applyAlignment="1">
      <alignment horizontal="left"/>
    </xf>
    <xf numFmtId="164" fontId="6" fillId="10" borderId="35" xfId="1" applyNumberFormat="1" applyFont="1" applyFill="1" applyBorder="1" applyAlignment="1">
      <alignment horizontal="left"/>
    </xf>
    <xf numFmtId="164" fontId="6" fillId="6" borderId="21" xfId="1" applyNumberFormat="1" applyFont="1" applyFill="1" applyBorder="1" applyAlignment="1">
      <alignment horizontal="left"/>
    </xf>
    <xf numFmtId="164" fontId="6" fillId="6" borderId="33" xfId="1" applyNumberFormat="1" applyFont="1" applyFill="1" applyBorder="1" applyAlignment="1">
      <alignment horizontal="left"/>
    </xf>
    <xf numFmtId="174" fontId="6" fillId="0" borderId="0" xfId="0" applyNumberFormat="1" applyFont="1" applyAlignment="1">
      <alignment horizontal="center"/>
    </xf>
    <xf numFmtId="164" fontId="9" fillId="10" borderId="15" xfId="1" applyNumberFormat="1" applyFont="1" applyFill="1" applyBorder="1" applyAlignment="1">
      <alignment horizontal="center" vertical="center"/>
    </xf>
    <xf numFmtId="164" fontId="9" fillId="6" borderId="8" xfId="1" applyNumberFormat="1" applyFont="1" applyFill="1" applyBorder="1" applyAlignment="1">
      <alignment horizontal="center" vertical="center"/>
    </xf>
    <xf numFmtId="164" fontId="9" fillId="2" borderId="16" xfId="1" applyNumberFormat="1" applyFont="1" applyFill="1" applyBorder="1" applyAlignment="1">
      <alignment horizontal="center" vertical="center"/>
    </xf>
    <xf numFmtId="164" fontId="9" fillId="20" borderId="42" xfId="1" applyNumberFormat="1" applyFont="1" applyFill="1" applyBorder="1" applyAlignment="1">
      <alignment horizontal="center" vertical="center"/>
    </xf>
    <xf numFmtId="164" fontId="9" fillId="21" borderId="42" xfId="1" applyNumberFormat="1" applyFont="1" applyFill="1" applyBorder="1" applyAlignment="1">
      <alignment horizontal="center" vertical="center"/>
    </xf>
    <xf numFmtId="164" fontId="9" fillId="18" borderId="46" xfId="1" applyNumberFormat="1" applyFont="1" applyFill="1" applyBorder="1" applyAlignment="1">
      <alignment horizontal="center" vertical="center"/>
    </xf>
    <xf numFmtId="164" fontId="9" fillId="6" borderId="0" xfId="1" applyNumberFormat="1" applyFont="1" applyFill="1" applyBorder="1" applyAlignment="1">
      <alignment vertical="center"/>
    </xf>
    <xf numFmtId="164" fontId="9" fillId="2" borderId="74" xfId="1" applyNumberFormat="1" applyFont="1" applyFill="1" applyBorder="1" applyAlignment="1">
      <alignment horizontal="center" vertical="center"/>
    </xf>
    <xf numFmtId="164" fontId="9" fillId="20" borderId="0" xfId="1" applyNumberFormat="1" applyFont="1" applyFill="1" applyBorder="1" applyAlignment="1">
      <alignment horizontal="center" vertical="center"/>
    </xf>
    <xf numFmtId="164" fontId="9" fillId="21" borderId="74" xfId="1" applyNumberFormat="1" applyFont="1" applyFill="1" applyBorder="1" applyAlignment="1">
      <alignment horizontal="center" vertical="center"/>
    </xf>
    <xf numFmtId="164" fontId="9" fillId="18" borderId="8" xfId="1" applyNumberFormat="1" applyFont="1" applyFill="1" applyBorder="1" applyAlignment="1">
      <alignment horizontal="center" vertical="center"/>
    </xf>
    <xf numFmtId="14" fontId="0" fillId="2" borderId="0" xfId="0" applyNumberFormat="1" applyFill="1"/>
    <xf numFmtId="164" fontId="6" fillId="0" borderId="0" xfId="1" applyNumberFormat="1" applyFont="1" applyBorder="1" applyAlignment="1">
      <alignment horizontal="center"/>
    </xf>
    <xf numFmtId="164" fontId="8" fillId="4" borderId="0" xfId="0" applyNumberFormat="1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center" vertical="center" wrapText="1"/>
    </xf>
    <xf numFmtId="44" fontId="6" fillId="6" borderId="112" xfId="2" applyFont="1" applyFill="1" applyBorder="1" applyAlignment="1"/>
    <xf numFmtId="44" fontId="6" fillId="6" borderId="113" xfId="2" applyFont="1" applyFill="1" applyBorder="1" applyAlignment="1"/>
    <xf numFmtId="44" fontId="6" fillId="10" borderId="114" xfId="2" applyFont="1" applyFill="1" applyBorder="1" applyAlignment="1">
      <alignment horizontal="center"/>
    </xf>
    <xf numFmtId="44" fontId="6" fillId="10" borderId="115" xfId="2" applyFont="1" applyFill="1" applyBorder="1" applyAlignment="1">
      <alignment horizontal="center"/>
    </xf>
    <xf numFmtId="44" fontId="6" fillId="6" borderId="69" xfId="2" applyFont="1" applyFill="1" applyBorder="1" applyAlignment="1"/>
    <xf numFmtId="44" fontId="6" fillId="6" borderId="70" xfId="2" applyFont="1" applyFill="1" applyBorder="1" applyAlignment="1"/>
    <xf numFmtId="44" fontId="6" fillId="6" borderId="116" xfId="2" applyFont="1" applyFill="1" applyBorder="1" applyAlignment="1">
      <alignment horizontal="center"/>
    </xf>
    <xf numFmtId="44" fontId="6" fillId="6" borderId="117" xfId="2" applyFont="1" applyFill="1" applyBorder="1" applyAlignment="1">
      <alignment horizontal="center"/>
    </xf>
    <xf numFmtId="164" fontId="6" fillId="6" borderId="112" xfId="1" applyNumberFormat="1" applyFont="1" applyFill="1" applyBorder="1" applyAlignment="1"/>
    <xf numFmtId="164" fontId="6" fillId="6" borderId="113" xfId="1" applyNumberFormat="1" applyFont="1" applyFill="1" applyBorder="1" applyAlignment="1"/>
    <xf numFmtId="164" fontId="6" fillId="10" borderId="114" xfId="1" applyNumberFormat="1" applyFont="1" applyFill="1" applyBorder="1" applyAlignment="1">
      <alignment horizontal="center"/>
    </xf>
    <xf numFmtId="164" fontId="6" fillId="10" borderId="115" xfId="1" applyNumberFormat="1" applyFont="1" applyFill="1" applyBorder="1" applyAlignment="1">
      <alignment horizontal="center"/>
    </xf>
    <xf numFmtId="164" fontId="6" fillId="6" borderId="69" xfId="1" applyNumberFormat="1" applyFont="1" applyFill="1" applyBorder="1" applyAlignment="1"/>
    <xf numFmtId="164" fontId="6" fillId="6" borderId="70" xfId="1" applyNumberFormat="1" applyFont="1" applyFill="1" applyBorder="1" applyAlignment="1"/>
    <xf numFmtId="164" fontId="6" fillId="6" borderId="116" xfId="1" applyNumberFormat="1" applyFont="1" applyFill="1" applyBorder="1" applyAlignment="1">
      <alignment horizontal="center"/>
    </xf>
    <xf numFmtId="164" fontId="6" fillId="6" borderId="117" xfId="1" applyNumberFormat="1" applyFont="1" applyFill="1" applyBorder="1" applyAlignment="1">
      <alignment horizontal="center"/>
    </xf>
    <xf numFmtId="164" fontId="6" fillId="6" borderId="69" xfId="1" applyNumberFormat="1" applyFont="1" applyFill="1" applyBorder="1" applyAlignment="1">
      <alignment horizontal="center"/>
    </xf>
    <xf numFmtId="164" fontId="6" fillId="6" borderId="70" xfId="1" applyNumberFormat="1" applyFont="1" applyFill="1" applyBorder="1" applyAlignment="1">
      <alignment horizontal="center"/>
    </xf>
    <xf numFmtId="44" fontId="6" fillId="6" borderId="69" xfId="2" applyFont="1" applyFill="1" applyBorder="1" applyAlignment="1">
      <alignment horizontal="center"/>
    </xf>
    <xf numFmtId="164" fontId="6" fillId="6" borderId="118" xfId="1" applyNumberFormat="1" applyFont="1" applyFill="1" applyBorder="1" applyAlignment="1">
      <alignment horizontal="center"/>
    </xf>
    <xf numFmtId="164" fontId="6" fillId="6" borderId="119" xfId="1" applyNumberFormat="1" applyFont="1" applyFill="1" applyBorder="1" applyAlignment="1">
      <alignment horizontal="center"/>
    </xf>
    <xf numFmtId="164" fontId="6" fillId="10" borderId="118" xfId="1" applyNumberFormat="1" applyFont="1" applyFill="1" applyBorder="1" applyAlignment="1">
      <alignment horizontal="center"/>
    </xf>
    <xf numFmtId="164" fontId="6" fillId="10" borderId="119" xfId="1" applyNumberFormat="1" applyFont="1" applyFill="1" applyBorder="1" applyAlignment="1">
      <alignment horizontal="center"/>
    </xf>
    <xf numFmtId="164" fontId="6" fillId="6" borderId="120" xfId="1" applyNumberFormat="1" applyFont="1" applyFill="1" applyBorder="1" applyAlignment="1">
      <alignment horizontal="center"/>
    </xf>
    <xf numFmtId="164" fontId="6" fillId="6" borderId="121" xfId="1" applyNumberFormat="1" applyFont="1" applyFill="1" applyBorder="1" applyAlignment="1">
      <alignment horizontal="center"/>
    </xf>
    <xf numFmtId="0" fontId="0" fillId="15" borderId="0" xfId="0" applyFill="1" applyAlignment="1">
      <alignment horizontal="left"/>
    </xf>
    <xf numFmtId="171" fontId="6" fillId="10" borderId="74" xfId="2" applyNumberFormat="1" applyFont="1" applyFill="1" applyBorder="1" applyAlignment="1">
      <alignment horizontal="center"/>
    </xf>
    <xf numFmtId="171" fontId="6" fillId="6" borderId="0" xfId="2" applyNumberFormat="1" applyFont="1" applyFill="1" applyBorder="1" applyAlignment="1">
      <alignment horizontal="center"/>
    </xf>
    <xf numFmtId="171" fontId="6" fillId="6" borderId="71" xfId="2" applyNumberFormat="1" applyFont="1" applyFill="1" applyBorder="1" applyAlignment="1">
      <alignment horizontal="center"/>
    </xf>
    <xf numFmtId="171" fontId="6" fillId="10" borderId="122" xfId="2" applyNumberFormat="1" applyFont="1" applyFill="1" applyBorder="1" applyAlignment="1">
      <alignment horizontal="center"/>
    </xf>
    <xf numFmtId="164" fontId="6" fillId="10" borderId="124" xfId="1" applyNumberFormat="1" applyFont="1" applyFill="1" applyBorder="1" applyAlignment="1">
      <alignment horizontal="center"/>
    </xf>
    <xf numFmtId="164" fontId="6" fillId="10" borderId="125" xfId="1" applyNumberFormat="1" applyFont="1" applyFill="1" applyBorder="1" applyAlignment="1">
      <alignment horizontal="center"/>
    </xf>
    <xf numFmtId="44" fontId="6" fillId="10" borderId="126" xfId="2" applyFont="1" applyFill="1" applyBorder="1" applyAlignment="1">
      <alignment horizontal="center"/>
    </xf>
    <xf numFmtId="44" fontId="6" fillId="10" borderId="127" xfId="2" applyFont="1" applyFill="1" applyBorder="1" applyAlignment="1">
      <alignment horizontal="center"/>
    </xf>
    <xf numFmtId="171" fontId="6" fillId="10" borderId="123" xfId="2" applyNumberFormat="1" applyFont="1" applyFill="1" applyBorder="1" applyAlignment="1">
      <alignment horizontal="center"/>
    </xf>
    <xf numFmtId="44" fontId="6" fillId="10" borderId="69" xfId="2" applyFont="1" applyFill="1" applyBorder="1" applyAlignment="1">
      <alignment horizontal="center"/>
    </xf>
    <xf numFmtId="44" fontId="6" fillId="10" borderId="70" xfId="2" applyFont="1" applyFill="1" applyBorder="1" applyAlignment="1">
      <alignment horizontal="center"/>
    </xf>
    <xf numFmtId="170" fontId="6" fillId="10" borderId="16" xfId="0" applyNumberFormat="1" applyFont="1" applyFill="1" applyBorder="1" applyAlignment="1">
      <alignment horizontal="center"/>
    </xf>
    <xf numFmtId="170" fontId="6" fillId="15" borderId="96" xfId="0" applyNumberFormat="1" applyFont="1" applyFill="1" applyBorder="1" applyAlignment="1">
      <alignment horizontal="center"/>
    </xf>
    <xf numFmtId="170" fontId="6" fillId="15" borderId="6" xfId="0" applyNumberFormat="1" applyFont="1" applyFill="1" applyBorder="1" applyAlignment="1">
      <alignment horizontal="center"/>
    </xf>
    <xf numFmtId="168" fontId="9" fillId="15" borderId="8" xfId="1" applyNumberFormat="1" applyFont="1" applyFill="1" applyBorder="1" applyAlignment="1">
      <alignment horizontal="center" wrapText="1"/>
    </xf>
    <xf numFmtId="176" fontId="9" fillId="15" borderId="8" xfId="1" applyNumberFormat="1" applyFont="1" applyFill="1" applyBorder="1" applyAlignment="1">
      <alignment horizontal="center" wrapText="1"/>
    </xf>
    <xf numFmtId="164" fontId="6" fillId="15" borderId="0" xfId="1" applyNumberFormat="1" applyFont="1" applyFill="1" applyBorder="1" applyAlignment="1">
      <alignment horizontal="center"/>
    </xf>
    <xf numFmtId="43" fontId="6" fillId="15" borderId="0" xfId="1" applyFont="1" applyFill="1" applyBorder="1" applyAlignment="1">
      <alignment horizontal="center"/>
    </xf>
    <xf numFmtId="0" fontId="6" fillId="15" borderId="9" xfId="0" applyFont="1" applyFill="1" applyBorder="1" applyAlignment="1">
      <alignment horizontal="left"/>
    </xf>
    <xf numFmtId="0" fontId="6" fillId="15" borderId="6" xfId="0" applyFont="1" applyFill="1" applyBorder="1" applyAlignment="1">
      <alignment horizontal="center"/>
    </xf>
    <xf numFmtId="164" fontId="6" fillId="15" borderId="35" xfId="1" applyNumberFormat="1" applyFont="1" applyFill="1" applyBorder="1" applyAlignment="1">
      <alignment horizontal="center"/>
    </xf>
    <xf numFmtId="164" fontId="6" fillId="15" borderId="6" xfId="1" applyNumberFormat="1" applyFont="1" applyFill="1" applyBorder="1" applyAlignment="1">
      <alignment horizontal="center"/>
    </xf>
    <xf numFmtId="164" fontId="3" fillId="15" borderId="23" xfId="1" applyNumberFormat="1" applyFont="1" applyFill="1" applyBorder="1" applyAlignment="1">
      <alignment horizontal="center"/>
    </xf>
    <xf numFmtId="167" fontId="6" fillId="15" borderId="6" xfId="2" applyNumberFormat="1" applyFont="1" applyFill="1" applyBorder="1" applyAlignment="1">
      <alignment horizontal="center"/>
    </xf>
    <xf numFmtId="164" fontId="6" fillId="15" borderId="110" xfId="1" applyNumberFormat="1" applyFont="1" applyFill="1" applyBorder="1" applyAlignment="1">
      <alignment horizontal="left"/>
    </xf>
    <xf numFmtId="164" fontId="6" fillId="15" borderId="124" xfId="1" applyNumberFormat="1" applyFont="1" applyFill="1" applyBorder="1" applyAlignment="1">
      <alignment horizontal="center"/>
    </xf>
    <xf numFmtId="164" fontId="6" fillId="15" borderId="119" xfId="1" applyNumberFormat="1" applyFont="1" applyFill="1" applyBorder="1" applyAlignment="1">
      <alignment horizontal="center"/>
    </xf>
    <xf numFmtId="171" fontId="6" fillId="15" borderId="74" xfId="2" applyNumberFormat="1" applyFont="1" applyFill="1" applyBorder="1" applyAlignment="1">
      <alignment horizontal="center"/>
    </xf>
    <xf numFmtId="44" fontId="6" fillId="15" borderId="114" xfId="2" applyFont="1" applyFill="1" applyBorder="1" applyAlignment="1">
      <alignment horizontal="center"/>
    </xf>
    <xf numFmtId="44" fontId="6" fillId="15" borderId="115" xfId="2" applyFont="1" applyFill="1" applyBorder="1" applyAlignment="1">
      <alignment horizontal="center"/>
    </xf>
    <xf numFmtId="44" fontId="6" fillId="15" borderId="6" xfId="2" applyFont="1" applyFill="1" applyBorder="1" applyAlignment="1">
      <alignment horizontal="center"/>
    </xf>
    <xf numFmtId="170" fontId="6" fillId="15" borderId="9" xfId="0" applyNumberFormat="1" applyFont="1" applyFill="1" applyBorder="1" applyAlignment="1">
      <alignment horizontal="center"/>
    </xf>
    <xf numFmtId="175" fontId="3" fillId="15" borderId="6" xfId="0" applyNumberFormat="1" applyFont="1" applyFill="1" applyBorder="1" applyAlignment="1">
      <alignment horizontal="center"/>
    </xf>
    <xf numFmtId="175" fontId="6" fillId="15" borderId="97" xfId="0" applyNumberFormat="1" applyFont="1" applyFill="1" applyBorder="1" applyAlignment="1">
      <alignment horizontal="center"/>
    </xf>
    <xf numFmtId="167" fontId="6" fillId="10" borderId="0" xfId="2" applyNumberFormat="1" applyFont="1" applyFill="1" applyBorder="1" applyAlignment="1">
      <alignment horizontal="center"/>
    </xf>
    <xf numFmtId="167" fontId="6" fillId="15" borderId="0" xfId="2" applyNumberFormat="1" applyFont="1" applyFill="1" applyBorder="1" applyAlignment="1">
      <alignment horizontal="center"/>
    </xf>
    <xf numFmtId="167" fontId="6" fillId="6" borderId="66" xfId="2" applyNumberFormat="1" applyFont="1" applyFill="1" applyBorder="1" applyAlignment="1">
      <alignment horizontal="center"/>
    </xf>
    <xf numFmtId="167" fontId="6" fillId="0" borderId="33" xfId="0" applyNumberFormat="1" applyFont="1" applyBorder="1" applyAlignment="1">
      <alignment horizontal="center"/>
    </xf>
    <xf numFmtId="0" fontId="0" fillId="0" borderId="67" xfId="0" applyBorder="1"/>
    <xf numFmtId="176" fontId="0" fillId="0" borderId="33" xfId="0" applyNumberFormat="1" applyBorder="1" applyAlignment="1">
      <alignment horizontal="center"/>
    </xf>
    <xf numFmtId="16" fontId="0" fillId="15" borderId="0" xfId="0" applyNumberFormat="1" applyFill="1"/>
    <xf numFmtId="43" fontId="3" fillId="10" borderId="0" xfId="1" applyFont="1" applyFill="1" applyBorder="1" applyAlignment="1">
      <alignment horizontal="center" vertical="center"/>
    </xf>
    <xf numFmtId="43" fontId="0" fillId="0" borderId="72" xfId="1" applyFont="1" applyBorder="1"/>
    <xf numFmtId="43" fontId="0" fillId="0" borderId="1" xfId="1" applyFont="1" applyBorder="1"/>
    <xf numFmtId="43" fontId="0" fillId="0" borderId="73" xfId="1" applyFont="1" applyBorder="1"/>
    <xf numFmtId="44" fontId="3" fillId="10" borderId="6" xfId="2" applyFont="1" applyFill="1" applyBorder="1" applyAlignment="1">
      <alignment horizontal="center"/>
    </xf>
    <xf numFmtId="44" fontId="3" fillId="6" borderId="6" xfId="2" applyFont="1" applyFill="1" applyBorder="1" applyAlignment="1">
      <alignment horizontal="center"/>
    </xf>
    <xf numFmtId="44" fontId="6" fillId="6" borderId="6" xfId="0" applyNumberFormat="1" applyFont="1" applyFill="1" applyBorder="1" applyAlignment="1">
      <alignment horizontal="center"/>
    </xf>
    <xf numFmtId="16" fontId="9" fillId="0" borderId="0" xfId="0" applyNumberFormat="1" applyFont="1" applyAlignment="1">
      <alignment wrapText="1"/>
    </xf>
    <xf numFmtId="0" fontId="6" fillId="10" borderId="128" xfId="0" applyFont="1" applyFill="1" applyBorder="1" applyAlignment="1">
      <alignment horizontal="left"/>
    </xf>
    <xf numFmtId="0" fontId="6" fillId="6" borderId="24" xfId="0" applyFont="1" applyFill="1" applyBorder="1"/>
    <xf numFmtId="0" fontId="6" fillId="10" borderId="24" xfId="0" applyFont="1" applyFill="1" applyBorder="1" applyAlignment="1">
      <alignment horizontal="left"/>
    </xf>
    <xf numFmtId="0" fontId="6" fillId="6" borderId="128" xfId="0" applyFont="1" applyFill="1" applyBorder="1" applyAlignment="1">
      <alignment horizontal="left"/>
    </xf>
    <xf numFmtId="0" fontId="6" fillId="25" borderId="128" xfId="0" applyFont="1" applyFill="1" applyBorder="1" applyAlignment="1">
      <alignment horizontal="left"/>
    </xf>
    <xf numFmtId="0" fontId="6" fillId="26" borderId="128" xfId="0" applyFont="1" applyFill="1" applyBorder="1" applyAlignment="1">
      <alignment horizontal="left"/>
    </xf>
    <xf numFmtId="0" fontId="0" fillId="0" borderId="129" xfId="0" applyBorder="1"/>
    <xf numFmtId="0" fontId="6" fillId="10" borderId="130" xfId="0" applyFont="1" applyFill="1" applyBorder="1" applyAlignment="1">
      <alignment horizontal="left"/>
    </xf>
    <xf numFmtId="0" fontId="6" fillId="6" borderId="132" xfId="0" applyFont="1" applyFill="1" applyBorder="1" applyAlignment="1">
      <alignment horizontal="left"/>
    </xf>
    <xf numFmtId="0" fontId="6" fillId="23" borderId="21" xfId="0" applyFont="1" applyFill="1" applyBorder="1" applyAlignment="1">
      <alignment horizontal="center"/>
    </xf>
    <xf numFmtId="164" fontId="6" fillId="6" borderId="67" xfId="1" applyNumberFormat="1" applyFont="1" applyFill="1" applyBorder="1" applyAlignment="1">
      <alignment horizontal="center"/>
    </xf>
    <xf numFmtId="164" fontId="3" fillId="6" borderId="73" xfId="1" applyNumberFormat="1" applyFont="1" applyFill="1" applyBorder="1" applyAlignment="1">
      <alignment horizontal="center"/>
    </xf>
    <xf numFmtId="164" fontId="6" fillId="0" borderId="21" xfId="1" applyNumberFormat="1" applyFont="1" applyBorder="1" applyAlignment="1">
      <alignment horizontal="center"/>
    </xf>
    <xf numFmtId="167" fontId="6" fillId="9" borderId="21" xfId="2" applyNumberFormat="1" applyFont="1" applyFill="1" applyBorder="1" applyAlignment="1">
      <alignment horizontal="center"/>
    </xf>
    <xf numFmtId="0" fontId="6" fillId="6" borderId="133" xfId="0" applyFont="1" applyFill="1" applyBorder="1" applyAlignment="1">
      <alignment horizontal="center"/>
    </xf>
    <xf numFmtId="164" fontId="6" fillId="6" borderId="133" xfId="1" applyNumberFormat="1" applyFont="1" applyFill="1" applyBorder="1" applyAlignment="1">
      <alignment horizontal="center"/>
    </xf>
    <xf numFmtId="164" fontId="6" fillId="6" borderId="133" xfId="1" applyNumberFormat="1" applyFont="1" applyFill="1" applyBorder="1" applyAlignment="1"/>
    <xf numFmtId="164" fontId="6" fillId="6" borderId="134" xfId="1" applyNumberFormat="1" applyFont="1" applyFill="1" applyBorder="1" applyAlignment="1"/>
    <xf numFmtId="167" fontId="6" fillId="6" borderId="133" xfId="2" applyNumberFormat="1" applyFont="1" applyFill="1" applyBorder="1" applyAlignment="1">
      <alignment horizontal="center"/>
    </xf>
    <xf numFmtId="164" fontId="6" fillId="0" borderId="133" xfId="1" applyNumberFormat="1" applyFont="1" applyBorder="1" applyAlignment="1">
      <alignment horizontal="center"/>
    </xf>
    <xf numFmtId="44" fontId="6" fillId="6" borderId="133" xfId="2" applyFont="1" applyFill="1" applyBorder="1" applyAlignment="1">
      <alignment horizontal="center"/>
    </xf>
    <xf numFmtId="43" fontId="6" fillId="6" borderId="133" xfId="1" applyFont="1" applyFill="1" applyBorder="1" applyAlignment="1">
      <alignment horizontal="center"/>
    </xf>
    <xf numFmtId="44" fontId="9" fillId="10" borderId="135" xfId="2" applyFont="1" applyFill="1" applyBorder="1" applyAlignment="1">
      <alignment horizontal="center" vertical="center"/>
    </xf>
    <xf numFmtId="44" fontId="9" fillId="15" borderId="135" xfId="2" applyFont="1" applyFill="1" applyBorder="1" applyAlignment="1">
      <alignment horizontal="center" vertical="center"/>
    </xf>
    <xf numFmtId="44" fontId="9" fillId="20" borderId="135" xfId="2" applyFont="1" applyFill="1" applyBorder="1" applyAlignment="1">
      <alignment horizontal="center" vertical="center"/>
    </xf>
    <xf numFmtId="44" fontId="9" fillId="22" borderId="135" xfId="2" applyFont="1" applyFill="1" applyBorder="1" applyAlignment="1">
      <alignment horizontal="center" vertical="center"/>
    </xf>
    <xf numFmtId="44" fontId="9" fillId="25" borderId="135" xfId="2" applyFont="1" applyFill="1" applyBorder="1" applyAlignment="1">
      <alignment horizontal="center" vertical="center"/>
    </xf>
    <xf numFmtId="44" fontId="9" fillId="26" borderId="135" xfId="2" applyFont="1" applyFill="1" applyBorder="1" applyAlignment="1">
      <alignment horizontal="center" vertical="center"/>
    </xf>
    <xf numFmtId="0" fontId="6" fillId="6" borderId="136" xfId="0" applyFont="1" applyFill="1" applyBorder="1" applyAlignment="1">
      <alignment horizontal="left"/>
    </xf>
    <xf numFmtId="164" fontId="6" fillId="6" borderId="134" xfId="1" applyNumberFormat="1" applyFont="1" applyFill="1" applyBorder="1" applyAlignment="1">
      <alignment horizontal="center"/>
    </xf>
    <xf numFmtId="174" fontId="6" fillId="6" borderId="131" xfId="2" applyNumberFormat="1" applyFont="1" applyFill="1" applyBorder="1" applyAlignment="1">
      <alignment horizontal="center"/>
    </xf>
    <xf numFmtId="44" fontId="6" fillId="10" borderId="133" xfId="2" applyFont="1" applyFill="1" applyBorder="1" applyAlignment="1">
      <alignment horizontal="center"/>
    </xf>
    <xf numFmtId="167" fontId="6" fillId="6" borderId="131" xfId="2" applyNumberFormat="1" applyFont="1" applyFill="1" applyBorder="1" applyAlignment="1">
      <alignment horizontal="center"/>
    </xf>
    <xf numFmtId="44" fontId="9" fillId="15" borderId="137" xfId="2" applyFont="1" applyFill="1" applyBorder="1" applyAlignment="1">
      <alignment horizontal="center" vertical="center"/>
    </xf>
    <xf numFmtId="44" fontId="9" fillId="23" borderId="138" xfId="2" applyFont="1" applyFill="1" applyBorder="1" applyAlignment="1">
      <alignment horizontal="center" vertical="center"/>
    </xf>
    <xf numFmtId="0" fontId="6" fillId="6" borderId="139" xfId="0" applyFont="1" applyFill="1" applyBorder="1"/>
    <xf numFmtId="0" fontId="36" fillId="0" borderId="0" xfId="0" applyFont="1"/>
    <xf numFmtId="176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76" fontId="0" fillId="0" borderId="31" xfId="0" applyNumberFormat="1" applyBorder="1" applyAlignment="1">
      <alignment horizontal="center"/>
    </xf>
    <xf numFmtId="176" fontId="0" fillId="0" borderId="34" xfId="0" applyNumberFormat="1" applyBorder="1" applyAlignment="1">
      <alignment horizontal="center"/>
    </xf>
    <xf numFmtId="0" fontId="18" fillId="0" borderId="29" xfId="0" applyFont="1" applyBorder="1"/>
    <xf numFmtId="176" fontId="0" fillId="0" borderId="66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4" fontId="0" fillId="0" borderId="66" xfId="0" applyNumberFormat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176" fontId="0" fillId="0" borderId="30" xfId="0" applyNumberFormat="1" applyBorder="1" applyAlignment="1">
      <alignment horizontal="center"/>
    </xf>
    <xf numFmtId="0" fontId="18" fillId="0" borderId="33" xfId="0" applyFont="1" applyBorder="1"/>
    <xf numFmtId="176" fontId="0" fillId="0" borderId="140" xfId="0" applyNumberFormat="1" applyBorder="1"/>
    <xf numFmtId="0" fontId="18" fillId="0" borderId="20" xfId="0" applyFont="1" applyBorder="1"/>
    <xf numFmtId="44" fontId="0" fillId="0" borderId="0" xfId="0" applyNumberFormat="1" applyAlignment="1">
      <alignment horizontal="center"/>
    </xf>
    <xf numFmtId="176" fontId="0" fillId="0" borderId="144" xfId="0" applyNumberFormat="1" applyBorder="1" applyAlignment="1">
      <alignment horizontal="center"/>
    </xf>
    <xf numFmtId="176" fontId="18" fillId="0" borderId="0" xfId="0" applyNumberFormat="1" applyFont="1" applyAlignment="1">
      <alignment horizontal="center"/>
    </xf>
    <xf numFmtId="44" fontId="0" fillId="0" borderId="29" xfId="0" applyNumberFormat="1" applyBorder="1" applyAlignment="1">
      <alignment horizontal="center"/>
    </xf>
    <xf numFmtId="176" fontId="0" fillId="0" borderId="142" xfId="0" applyNumberFormat="1" applyBorder="1" applyAlignment="1">
      <alignment horizontal="center"/>
    </xf>
    <xf numFmtId="176" fontId="0" fillId="0" borderId="140" xfId="0" applyNumberFormat="1" applyBorder="1" applyAlignment="1">
      <alignment horizontal="center"/>
    </xf>
    <xf numFmtId="176" fontId="0" fillId="0" borderId="49" xfId="0" applyNumberFormat="1" applyBorder="1" applyAlignment="1">
      <alignment horizontal="center"/>
    </xf>
    <xf numFmtId="176" fontId="0" fillId="0" borderId="29" xfId="0" applyNumberFormat="1" applyBorder="1" applyAlignment="1">
      <alignment horizontal="center"/>
    </xf>
    <xf numFmtId="176" fontId="0" fillId="0" borderId="20" xfId="0" applyNumberFormat="1" applyBorder="1" applyAlignment="1">
      <alignment horizontal="center"/>
    </xf>
    <xf numFmtId="0" fontId="18" fillId="0" borderId="0" xfId="0" applyFont="1" applyAlignment="1">
      <alignment horizontal="center"/>
    </xf>
    <xf numFmtId="164" fontId="9" fillId="18" borderId="0" xfId="1" applyNumberFormat="1" applyFont="1" applyFill="1" applyBorder="1" applyAlignment="1">
      <alignment horizontal="center" vertical="center"/>
    </xf>
    <xf numFmtId="0" fontId="0" fillId="2" borderId="0" xfId="0" applyFill="1"/>
    <xf numFmtId="0" fontId="0" fillId="0" borderId="141" xfId="0" applyBorder="1" applyAlignment="1">
      <alignment horizontal="center"/>
    </xf>
    <xf numFmtId="44" fontId="18" fillId="0" borderId="5" xfId="2" applyFont="1" applyBorder="1" applyAlignment="1">
      <alignment horizontal="center"/>
    </xf>
    <xf numFmtId="0" fontId="0" fillId="0" borderId="100" xfId="0" applyBorder="1" applyAlignment="1">
      <alignment horizontal="center"/>
    </xf>
    <xf numFmtId="176" fontId="0" fillId="0" borderId="28" xfId="0" applyNumberFormat="1" applyBorder="1" applyAlignment="1">
      <alignment horizontal="center"/>
    </xf>
    <xf numFmtId="176" fontId="0" fillId="0" borderId="24" xfId="0" applyNumberFormat="1" applyBorder="1" applyAlignment="1">
      <alignment horizontal="center"/>
    </xf>
    <xf numFmtId="176" fontId="0" fillId="0" borderId="32" xfId="0" applyNumberFormat="1" applyBorder="1" applyAlignment="1">
      <alignment horizontal="center"/>
    </xf>
    <xf numFmtId="174" fontId="0" fillId="0" borderId="143" xfId="2" applyNumberFormat="1" applyFont="1" applyBorder="1" applyAlignment="1">
      <alignment horizontal="center" vertical="center"/>
    </xf>
    <xf numFmtId="174" fontId="0" fillId="0" borderId="141" xfId="2" applyNumberFormat="1" applyFont="1" applyBorder="1" applyAlignment="1">
      <alignment horizontal="center" vertical="center"/>
    </xf>
    <xf numFmtId="174" fontId="0" fillId="0" borderId="100" xfId="2" applyNumberFormat="1" applyFont="1" applyBorder="1" applyAlignment="1">
      <alignment horizontal="center" vertical="center"/>
    </xf>
    <xf numFmtId="176" fontId="0" fillId="0" borderId="147" xfId="0" applyNumberFormat="1" applyBorder="1" applyAlignment="1">
      <alignment horizontal="center"/>
    </xf>
    <xf numFmtId="174" fontId="0" fillId="0" borderId="149" xfId="2" applyNumberFormat="1" applyFont="1" applyBorder="1" applyAlignment="1">
      <alignment horizontal="center" vertical="center"/>
    </xf>
    <xf numFmtId="174" fontId="0" fillId="0" borderId="148" xfId="2" applyNumberFormat="1" applyFont="1" applyBorder="1" applyAlignment="1">
      <alignment horizontal="center" vertical="center"/>
    </xf>
    <xf numFmtId="176" fontId="0" fillId="0" borderId="146" xfId="0" applyNumberFormat="1" applyBorder="1" applyAlignment="1">
      <alignment horizontal="center"/>
    </xf>
    <xf numFmtId="174" fontId="0" fillId="0" borderId="50" xfId="2" applyNumberFormat="1" applyFont="1" applyBorder="1" applyAlignment="1">
      <alignment horizontal="center" vertical="center"/>
    </xf>
    <xf numFmtId="164" fontId="18" fillId="0" borderId="0" xfId="1" applyNumberFormat="1" applyFont="1"/>
    <xf numFmtId="44" fontId="6" fillId="0" borderId="67" xfId="2" applyFont="1" applyBorder="1" applyAlignment="1">
      <alignment horizontal="center"/>
    </xf>
    <xf numFmtId="43" fontId="0" fillId="0" borderId="64" xfId="1" applyFont="1" applyBorder="1" applyAlignment="1">
      <alignment horizontal="center"/>
    </xf>
    <xf numFmtId="44" fontId="6" fillId="0" borderId="0" xfId="2" applyFont="1" applyBorder="1" applyAlignment="1">
      <alignment horizontal="center"/>
    </xf>
    <xf numFmtId="44" fontId="6" fillId="0" borderId="20" xfId="2" applyFont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44" fontId="0" fillId="15" borderId="5" xfId="2" applyFont="1" applyFill="1" applyBorder="1" applyAlignment="1"/>
    <xf numFmtId="43" fontId="0" fillId="15" borderId="5" xfId="1" applyFont="1" applyFill="1" applyBorder="1" applyAlignment="1">
      <alignment horizontal="center"/>
    </xf>
    <xf numFmtId="164" fontId="0" fillId="15" borderId="0" xfId="1" applyNumberFormat="1" applyFont="1" applyFill="1"/>
    <xf numFmtId="43" fontId="0" fillId="15" borderId="0" xfId="1" applyFont="1" applyFill="1" applyAlignment="1">
      <alignment horizontal="center" vertical="center"/>
    </xf>
    <xf numFmtId="43" fontId="6" fillId="0" borderId="0" xfId="1" applyFont="1" applyAlignment="1">
      <alignment horizontal="center" vertical="center"/>
    </xf>
    <xf numFmtId="43" fontId="13" fillId="0" borderId="0" xfId="1" applyFont="1" applyAlignment="1">
      <alignment wrapText="1"/>
    </xf>
    <xf numFmtId="0" fontId="0" fillId="0" borderId="151" xfId="0" applyBorder="1"/>
    <xf numFmtId="44" fontId="3" fillId="21" borderId="6" xfId="2" applyFont="1" applyFill="1" applyBorder="1" applyAlignment="1">
      <alignment horizontal="center"/>
    </xf>
    <xf numFmtId="44" fontId="0" fillId="21" borderId="29" xfId="2" applyFont="1" applyFill="1" applyBorder="1" applyAlignment="1">
      <alignment horizontal="center"/>
    </xf>
    <xf numFmtId="0" fontId="37" fillId="0" borderId="0" xfId="0" quotePrefix="1" applyFont="1"/>
    <xf numFmtId="44" fontId="3" fillId="28" borderId="0" xfId="2" applyFont="1" applyFill="1" applyBorder="1" applyAlignment="1">
      <alignment horizontal="center" vertical="center"/>
    </xf>
    <xf numFmtId="164" fontId="6" fillId="15" borderId="0" xfId="0" applyNumberFormat="1" applyFont="1" applyFill="1" applyAlignment="1">
      <alignment horizontal="center"/>
    </xf>
    <xf numFmtId="176" fontId="0" fillId="15" borderId="142" xfId="0" applyNumberFormat="1" applyFill="1" applyBorder="1" applyAlignment="1">
      <alignment horizontal="center"/>
    </xf>
    <xf numFmtId="176" fontId="0" fillId="15" borderId="30" xfId="0" applyNumberFormat="1" applyFill="1" applyBorder="1" applyAlignment="1">
      <alignment horizontal="center"/>
    </xf>
    <xf numFmtId="0" fontId="0" fillId="15" borderId="66" xfId="0" applyFill="1" applyBorder="1" applyAlignment="1">
      <alignment horizontal="center"/>
    </xf>
    <xf numFmtId="176" fontId="0" fillId="15" borderId="66" xfId="0" applyNumberFormat="1" applyFill="1" applyBorder="1" applyAlignment="1">
      <alignment horizontal="center"/>
    </xf>
    <xf numFmtId="44" fontId="0" fillId="15" borderId="66" xfId="2" applyFont="1" applyFill="1" applyBorder="1" applyAlignment="1"/>
    <xf numFmtId="43" fontId="0" fillId="15" borderId="66" xfId="1" applyFont="1" applyFill="1" applyBorder="1" applyAlignment="1">
      <alignment horizontal="center"/>
    </xf>
    <xf numFmtId="164" fontId="0" fillId="15" borderId="143" xfId="0" applyNumberFormat="1" applyFill="1" applyBorder="1"/>
    <xf numFmtId="176" fontId="0" fillId="15" borderId="140" xfId="0" applyNumberFormat="1" applyFill="1" applyBorder="1" applyAlignment="1">
      <alignment horizontal="center"/>
    </xf>
    <xf numFmtId="176" fontId="0" fillId="15" borderId="31" xfId="0" applyNumberForma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164" fontId="0" fillId="15" borderId="141" xfId="0" applyNumberFormat="1" applyFill="1" applyBorder="1"/>
    <xf numFmtId="0" fontId="18" fillId="0" borderId="32" xfId="0" applyFont="1" applyBorder="1" applyAlignment="1">
      <alignment horizontal="center"/>
    </xf>
    <xf numFmtId="0" fontId="18" fillId="0" borderId="150" xfId="0" applyFont="1" applyBorder="1" applyAlignment="1">
      <alignment horizontal="center"/>
    </xf>
    <xf numFmtId="176" fontId="0" fillId="0" borderId="67" xfId="0" applyNumberFormat="1" applyBorder="1" applyAlignment="1">
      <alignment horizontal="center"/>
    </xf>
    <xf numFmtId="176" fontId="0" fillId="0" borderId="145" xfId="0" applyNumberFormat="1" applyBorder="1" applyAlignment="1">
      <alignment horizontal="center"/>
    </xf>
    <xf numFmtId="44" fontId="0" fillId="0" borderId="32" xfId="0" applyNumberFormat="1" applyBorder="1" applyAlignment="1">
      <alignment horizontal="center"/>
    </xf>
    <xf numFmtId="44" fontId="0" fillId="0" borderId="145" xfId="0" applyNumberFormat="1" applyBorder="1" applyAlignment="1">
      <alignment horizontal="center"/>
    </xf>
    <xf numFmtId="176" fontId="0" fillId="15" borderId="28" xfId="0" applyNumberFormat="1" applyFill="1" applyBorder="1" applyAlignment="1">
      <alignment horizontal="center"/>
    </xf>
    <xf numFmtId="176" fontId="0" fillId="15" borderId="24" xfId="0" applyNumberFormat="1" applyFill="1" applyBorder="1" applyAlignment="1">
      <alignment horizontal="center"/>
    </xf>
    <xf numFmtId="44" fontId="9" fillId="29" borderId="16" xfId="2" applyFont="1" applyFill="1" applyBorder="1" applyAlignment="1">
      <alignment horizontal="center" vertical="center"/>
    </xf>
    <xf numFmtId="164" fontId="6" fillId="2" borderId="35" xfId="1" applyNumberFormat="1" applyFont="1" applyFill="1" applyBorder="1" applyAlignment="1">
      <alignment horizontal="center"/>
    </xf>
    <xf numFmtId="43" fontId="6" fillId="2" borderId="0" xfId="1" applyFont="1" applyFill="1" applyAlignment="1">
      <alignment horizontal="center"/>
    </xf>
    <xf numFmtId="43" fontId="6" fillId="27" borderId="0" xfId="1" applyFont="1" applyFill="1" applyAlignment="1">
      <alignment horizontal="center"/>
    </xf>
    <xf numFmtId="16" fontId="0" fillId="15" borderId="0" xfId="0" quotePrefix="1" applyNumberFormat="1" applyFill="1"/>
    <xf numFmtId="16" fontId="0" fillId="15" borderId="0" xfId="1" applyNumberFormat="1" applyFont="1" applyFill="1"/>
    <xf numFmtId="44" fontId="37" fillId="0" borderId="5" xfId="0" applyNumberFormat="1" applyFont="1" applyBorder="1" applyAlignment="1">
      <alignment horizontal="center"/>
    </xf>
    <xf numFmtId="0" fontId="37" fillId="0" borderId="0" xfId="0" applyFont="1"/>
    <xf numFmtId="176" fontId="37" fillId="0" borderId="24" xfId="0" applyNumberFormat="1" applyFont="1" applyBorder="1" applyAlignment="1">
      <alignment horizontal="center"/>
    </xf>
    <xf numFmtId="176" fontId="37" fillId="0" borderId="31" xfId="0" applyNumberFormat="1" applyFont="1" applyBorder="1" applyAlignment="1">
      <alignment horizontal="center"/>
    </xf>
    <xf numFmtId="176" fontId="37" fillId="0" borderId="5" xfId="0" applyNumberFormat="1" applyFont="1" applyBorder="1" applyAlignment="1">
      <alignment horizontal="center"/>
    </xf>
    <xf numFmtId="44" fontId="9" fillId="0" borderId="0" xfId="2" applyFont="1" applyBorder="1" applyAlignment="1">
      <alignment horizontal="center"/>
    </xf>
    <xf numFmtId="44" fontId="37" fillId="0" borderId="0" xfId="0" applyNumberFormat="1" applyFont="1" applyAlignment="1">
      <alignment horizontal="center"/>
    </xf>
    <xf numFmtId="43" fontId="0" fillId="0" borderId="74" xfId="1" applyFont="1" applyBorder="1"/>
    <xf numFmtId="16" fontId="6" fillId="15" borderId="0" xfId="0" applyNumberFormat="1" applyFont="1" applyFill="1" applyAlignment="1">
      <alignment horizontal="left"/>
    </xf>
    <xf numFmtId="175" fontId="6" fillId="30" borderId="74" xfId="0" applyNumberFormat="1" applyFont="1" applyFill="1" applyBorder="1" applyAlignment="1">
      <alignment horizontal="center"/>
    </xf>
    <xf numFmtId="175" fontId="6" fillId="6" borderId="31" xfId="0" applyNumberFormat="1" applyFont="1" applyFill="1" applyBorder="1" applyAlignment="1">
      <alignment horizontal="center"/>
    </xf>
    <xf numFmtId="175" fontId="6" fillId="30" borderId="6" xfId="0" applyNumberFormat="1" applyFont="1" applyFill="1" applyBorder="1" applyAlignment="1">
      <alignment horizontal="center"/>
    </xf>
    <xf numFmtId="167" fontId="3" fillId="6" borderId="100" xfId="2" applyNumberFormat="1" applyFont="1" applyFill="1" applyBorder="1" applyAlignment="1">
      <alignment horizontal="center"/>
    </xf>
    <xf numFmtId="167" fontId="6" fillId="10" borderId="30" xfId="2" applyNumberFormat="1" applyFont="1" applyFill="1" applyBorder="1" applyAlignment="1">
      <alignment horizontal="center"/>
    </xf>
    <xf numFmtId="167" fontId="6" fillId="10" borderId="31" xfId="2" applyNumberFormat="1" applyFont="1" applyFill="1" applyBorder="1" applyAlignment="1">
      <alignment horizontal="center"/>
    </xf>
    <xf numFmtId="167" fontId="6" fillId="6" borderId="21" xfId="2" applyNumberFormat="1" applyFont="1" applyFill="1" applyBorder="1" applyAlignment="1"/>
    <xf numFmtId="174" fontId="18" fillId="0" borderId="0" xfId="2" applyNumberFormat="1" applyFont="1"/>
    <xf numFmtId="174" fontId="1" fillId="0" borderId="0" xfId="2" applyNumberFormat="1" applyFont="1"/>
    <xf numFmtId="0" fontId="19" fillId="5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 wrapText="1"/>
    </xf>
    <xf numFmtId="0" fontId="30" fillId="5" borderId="2" xfId="0" applyFont="1" applyFill="1" applyBorder="1" applyAlignment="1">
      <alignment horizontal="center"/>
    </xf>
    <xf numFmtId="0" fontId="30" fillId="5" borderId="3" xfId="0" applyFont="1" applyFill="1" applyBorder="1" applyAlignment="1">
      <alignment horizontal="center"/>
    </xf>
    <xf numFmtId="0" fontId="30" fillId="5" borderId="4" xfId="0" applyFont="1" applyFill="1" applyBorder="1" applyAlignment="1">
      <alignment horizontal="center"/>
    </xf>
    <xf numFmtId="0" fontId="30" fillId="5" borderId="49" xfId="0" applyFont="1" applyFill="1" applyBorder="1" applyAlignment="1">
      <alignment horizontal="center"/>
    </xf>
    <xf numFmtId="0" fontId="30" fillId="5" borderId="20" xfId="0" applyFont="1" applyFill="1" applyBorder="1" applyAlignment="1">
      <alignment horizontal="center"/>
    </xf>
    <xf numFmtId="0" fontId="30" fillId="5" borderId="50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 vertical="center"/>
    </xf>
    <xf numFmtId="43" fontId="0" fillId="0" borderId="0" xfId="1" applyFont="1" applyAlignment="1">
      <alignment horizontal="center"/>
    </xf>
    <xf numFmtId="0" fontId="34" fillId="0" borderId="0" xfId="0" applyFont="1" applyAlignment="1">
      <alignment horizontal="center" wrapText="1"/>
    </xf>
    <xf numFmtId="0" fontId="30" fillId="5" borderId="101" xfId="0" applyFont="1" applyFill="1" applyBorder="1" applyAlignment="1">
      <alignment horizontal="center"/>
    </xf>
    <xf numFmtId="0" fontId="30" fillId="5" borderId="102" xfId="0" applyFont="1" applyFill="1" applyBorder="1" applyAlignment="1">
      <alignment horizontal="center"/>
    </xf>
    <xf numFmtId="0" fontId="30" fillId="5" borderId="103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 wrapText="1"/>
    </xf>
    <xf numFmtId="0" fontId="7" fillId="4" borderId="98" xfId="0" applyFont="1" applyFill="1" applyBorder="1" applyAlignment="1">
      <alignment horizontal="center" vertical="center"/>
    </xf>
    <xf numFmtId="0" fontId="7" fillId="4" borderId="9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7" fontId="3" fillId="6" borderId="0" xfId="2" applyNumberFormat="1" applyFont="1" applyFill="1" applyBorder="1" applyAlignment="1">
      <alignment horizontal="center"/>
    </xf>
    <xf numFmtId="167" fontId="3" fillId="6" borderId="100" xfId="2" applyNumberFormat="1" applyFont="1" applyFill="1" applyBorder="1" applyAlignment="1">
      <alignment horizontal="center"/>
    </xf>
    <xf numFmtId="0" fontId="30" fillId="10" borderId="98" xfId="0" applyFont="1" applyFill="1" applyBorder="1" applyAlignment="1">
      <alignment horizontal="center"/>
    </xf>
    <xf numFmtId="0" fontId="30" fillId="10" borderId="22" xfId="0" applyFont="1" applyFill="1" applyBorder="1" applyAlignment="1">
      <alignment horizontal="center"/>
    </xf>
    <xf numFmtId="0" fontId="30" fillId="10" borderId="99" xfId="0" applyFont="1" applyFill="1" applyBorder="1" applyAlignment="1">
      <alignment horizontal="center"/>
    </xf>
    <xf numFmtId="0" fontId="30" fillId="10" borderId="2" xfId="0" applyFont="1" applyFill="1" applyBorder="1" applyAlignment="1">
      <alignment horizontal="center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0" fontId="30" fillId="10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47" xfId="0" applyBorder="1" applyAlignment="1">
      <alignment horizontal="center"/>
    </xf>
    <xf numFmtId="0" fontId="0" fillId="0" borderId="34" xfId="0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5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14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4" xfId="0" applyBorder="1" applyAlignment="1">
      <alignment horizontal="center"/>
    </xf>
    <xf numFmtId="176" fontId="18" fillId="0" borderId="2" xfId="0" applyNumberFormat="1" applyFont="1" applyBorder="1" applyAlignment="1">
      <alignment horizontal="center"/>
    </xf>
    <xf numFmtId="176" fontId="18" fillId="0" borderId="3" xfId="0" applyNumberFormat="1" applyFont="1" applyBorder="1" applyAlignment="1">
      <alignment horizontal="center"/>
    </xf>
    <xf numFmtId="176" fontId="18" fillId="0" borderId="4" xfId="0" applyNumberFormat="1" applyFont="1" applyBorder="1" applyAlignment="1">
      <alignment horizontal="center"/>
    </xf>
    <xf numFmtId="0" fontId="23" fillId="17" borderId="0" xfId="0" applyFont="1" applyFill="1" applyAlignment="1">
      <alignment horizontal="center"/>
    </xf>
    <xf numFmtId="0" fontId="13" fillId="0" borderId="20" xfId="0" applyFont="1" applyBorder="1" applyAlignment="1">
      <alignment horizontal="center" wrapText="1"/>
    </xf>
    <xf numFmtId="0" fontId="25" fillId="17" borderId="2" xfId="0" applyFont="1" applyFill="1" applyBorder="1" applyAlignment="1">
      <alignment horizontal="center"/>
    </xf>
    <xf numFmtId="0" fontId="25" fillId="17" borderId="3" xfId="0" applyFont="1" applyFill="1" applyBorder="1" applyAlignment="1">
      <alignment horizontal="center"/>
    </xf>
    <xf numFmtId="0" fontId="25" fillId="17" borderId="4" xfId="0" applyFont="1" applyFill="1" applyBorder="1" applyAlignment="1">
      <alignment horizontal="center"/>
    </xf>
    <xf numFmtId="0" fontId="29" fillId="13" borderId="2" xfId="0" applyFont="1" applyFill="1" applyBorder="1" applyAlignment="1">
      <alignment horizontal="center"/>
    </xf>
    <xf numFmtId="0" fontId="29" fillId="13" borderId="3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 vertical="center"/>
    </xf>
    <xf numFmtId="0" fontId="25" fillId="14" borderId="2" xfId="0" applyFont="1" applyFill="1" applyBorder="1" applyAlignment="1">
      <alignment horizontal="center"/>
    </xf>
    <xf numFmtId="0" fontId="25" fillId="14" borderId="3" xfId="0" applyFont="1" applyFill="1" applyBorder="1" applyAlignment="1">
      <alignment horizontal="center"/>
    </xf>
    <xf numFmtId="0" fontId="25" fillId="14" borderId="4" xfId="0" applyFont="1" applyFill="1" applyBorder="1" applyAlignment="1">
      <alignment horizontal="center"/>
    </xf>
    <xf numFmtId="0" fontId="23" fillId="14" borderId="0" xfId="0" applyFont="1" applyFill="1" applyAlignment="1">
      <alignment horizontal="center"/>
    </xf>
    <xf numFmtId="0" fontId="30" fillId="19" borderId="2" xfId="0" applyFont="1" applyFill="1" applyBorder="1" applyAlignment="1">
      <alignment horizontal="center"/>
    </xf>
    <xf numFmtId="0" fontId="30" fillId="19" borderId="3" xfId="0" applyFont="1" applyFill="1" applyBorder="1" applyAlignment="1">
      <alignment horizontal="center"/>
    </xf>
    <xf numFmtId="0" fontId="30" fillId="19" borderId="4" xfId="0" applyFont="1" applyFill="1" applyBorder="1" applyAlignment="1">
      <alignment horizontal="center"/>
    </xf>
    <xf numFmtId="0" fontId="30" fillId="19" borderId="49" xfId="0" applyFont="1" applyFill="1" applyBorder="1" applyAlignment="1">
      <alignment horizontal="center"/>
    </xf>
    <xf numFmtId="0" fontId="30" fillId="19" borderId="20" xfId="0" applyFont="1" applyFill="1" applyBorder="1" applyAlignment="1">
      <alignment horizontal="center"/>
    </xf>
    <xf numFmtId="0" fontId="30" fillId="19" borderId="50" xfId="0" applyFont="1" applyFill="1" applyBorder="1" applyAlignment="1">
      <alignment horizontal="center"/>
    </xf>
    <xf numFmtId="0" fontId="19" fillId="19" borderId="0" xfId="0" applyFont="1" applyFill="1" applyAlignment="1">
      <alignment horizontal="center"/>
    </xf>
    <xf numFmtId="0" fontId="30" fillId="16" borderId="2" xfId="0" applyFont="1" applyFill="1" applyBorder="1" applyAlignment="1">
      <alignment horizontal="center"/>
    </xf>
    <xf numFmtId="0" fontId="30" fillId="16" borderId="3" xfId="0" applyFont="1" applyFill="1" applyBorder="1" applyAlignment="1">
      <alignment horizontal="center"/>
    </xf>
    <xf numFmtId="0" fontId="30" fillId="16" borderId="4" xfId="0" applyFont="1" applyFill="1" applyBorder="1" applyAlignment="1">
      <alignment horizontal="center"/>
    </xf>
    <xf numFmtId="0" fontId="19" fillId="16" borderId="0" xfId="0" applyFont="1" applyFill="1" applyAlignment="1">
      <alignment horizontal="center"/>
    </xf>
    <xf numFmtId="0" fontId="19" fillId="18" borderId="0" xfId="0" applyFont="1" applyFill="1" applyAlignment="1">
      <alignment horizontal="center"/>
    </xf>
    <xf numFmtId="0" fontId="30" fillId="18" borderId="2" xfId="0" applyFont="1" applyFill="1" applyBorder="1" applyAlignment="1">
      <alignment horizontal="center"/>
    </xf>
    <xf numFmtId="0" fontId="30" fillId="18" borderId="3" xfId="0" applyFont="1" applyFill="1" applyBorder="1" applyAlignment="1">
      <alignment horizontal="center"/>
    </xf>
    <xf numFmtId="0" fontId="30" fillId="18" borderId="4" xfId="0" applyFont="1" applyFill="1" applyBorder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5" xr:uid="{05423916-98A7-4A20-822D-7B3BD84335DC}"/>
    <cellStyle name="Normal 3" xfId="4" xr:uid="{00000000-0005-0000-0000-000003000000}"/>
    <cellStyle name="Percent" xfId="3" builtinId="5"/>
  </cellStyles>
  <dxfs count="159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00FF00"/>
      <color rgb="FFFF66FF"/>
      <color rgb="FFFFCCFF"/>
      <color rgb="FF339933"/>
      <color rgb="FFFF3399"/>
      <color rgb="FF00CC00"/>
      <color rgb="FFFF00FF"/>
      <color rgb="FFFF99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1</xdr:row>
      <xdr:rowOff>33617</xdr:rowOff>
    </xdr:from>
    <xdr:to>
      <xdr:col>3</xdr:col>
      <xdr:colOff>450051</xdr:colOff>
      <xdr:row>5</xdr:row>
      <xdr:rowOff>56028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B07E7C-E077-4A0F-8396-56B59376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33617"/>
          <a:ext cx="1637874" cy="9973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11206</xdr:colOff>
      <xdr:row>1</xdr:row>
      <xdr:rowOff>33617</xdr:rowOff>
    </xdr:from>
    <xdr:to>
      <xdr:col>4</xdr:col>
      <xdr:colOff>370676</xdr:colOff>
      <xdr:row>5</xdr:row>
      <xdr:rowOff>56028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EC2C7-E703-4384-8669-19802D008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33617"/>
          <a:ext cx="1635820" cy="10034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1</xdr:row>
      <xdr:rowOff>33617</xdr:rowOff>
    </xdr:from>
    <xdr:to>
      <xdr:col>3</xdr:col>
      <xdr:colOff>450051</xdr:colOff>
      <xdr:row>5</xdr:row>
      <xdr:rowOff>56028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F0BDC-E111-4403-BF7D-F142D234C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33617"/>
          <a:ext cx="1635820" cy="10034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261937</xdr:rowOff>
    </xdr:from>
    <xdr:to>
      <xdr:col>4</xdr:col>
      <xdr:colOff>0</xdr:colOff>
      <xdr:row>3</xdr:row>
      <xdr:rowOff>180974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3F186E-4F9D-4EFC-A317-1051F62EFF4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94" y="261937"/>
          <a:ext cx="1166812" cy="466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14151</xdr:colOff>
      <xdr:row>1</xdr:row>
      <xdr:rowOff>10886</xdr:rowOff>
    </xdr:from>
    <xdr:to>
      <xdr:col>2</xdr:col>
      <xdr:colOff>461041</xdr:colOff>
      <xdr:row>4</xdr:row>
      <xdr:rowOff>190209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26" y="10886"/>
          <a:ext cx="961240" cy="951409"/>
        </a:xfrm>
        <a:prstGeom prst="rect">
          <a:avLst/>
        </a:prstGeom>
      </xdr:spPr>
    </xdr:pic>
    <xdr:clientData/>
  </xdr:twoCellAnchor>
  <xdr:twoCellAnchor editAs="oneCell">
    <xdr:from>
      <xdr:col>1</xdr:col>
      <xdr:colOff>14151</xdr:colOff>
      <xdr:row>1</xdr:row>
      <xdr:rowOff>10886</xdr:rowOff>
    </xdr:from>
    <xdr:to>
      <xdr:col>2</xdr:col>
      <xdr:colOff>480892</xdr:colOff>
      <xdr:row>4</xdr:row>
      <xdr:rowOff>190209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26" y="10886"/>
          <a:ext cx="981091" cy="951409"/>
        </a:xfrm>
        <a:prstGeom prst="rect">
          <a:avLst/>
        </a:prstGeom>
      </xdr:spPr>
    </xdr:pic>
    <xdr:clientData/>
  </xdr:twoCellAnchor>
  <xdr:twoCellAnchor editAs="oneCell">
    <xdr:from>
      <xdr:col>1</xdr:col>
      <xdr:colOff>14151</xdr:colOff>
      <xdr:row>1</xdr:row>
      <xdr:rowOff>10886</xdr:rowOff>
    </xdr:from>
    <xdr:to>
      <xdr:col>2</xdr:col>
      <xdr:colOff>480892</xdr:colOff>
      <xdr:row>4</xdr:row>
      <xdr:rowOff>190209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26" y="10886"/>
          <a:ext cx="981091" cy="951409"/>
        </a:xfrm>
        <a:prstGeom prst="rect">
          <a:avLst/>
        </a:prstGeom>
      </xdr:spPr>
    </xdr:pic>
    <xdr:clientData/>
  </xdr:twoCellAnchor>
  <xdr:twoCellAnchor editAs="oneCell">
    <xdr:from>
      <xdr:col>1</xdr:col>
      <xdr:colOff>14151</xdr:colOff>
      <xdr:row>1</xdr:row>
      <xdr:rowOff>10886</xdr:rowOff>
    </xdr:from>
    <xdr:to>
      <xdr:col>2</xdr:col>
      <xdr:colOff>480892</xdr:colOff>
      <xdr:row>4</xdr:row>
      <xdr:rowOff>190209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26" y="10886"/>
          <a:ext cx="981091" cy="9514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1</xdr:row>
      <xdr:rowOff>142875</xdr:rowOff>
    </xdr:from>
    <xdr:to>
      <xdr:col>3</xdr:col>
      <xdr:colOff>0</xdr:colOff>
      <xdr:row>3</xdr:row>
      <xdr:rowOff>14287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82E20-3BE2-448F-9252-306DE7A1B0A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42875"/>
          <a:ext cx="1173956" cy="4714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1</xdr:row>
      <xdr:rowOff>142875</xdr:rowOff>
    </xdr:from>
    <xdr:to>
      <xdr:col>3</xdr:col>
      <xdr:colOff>0</xdr:colOff>
      <xdr:row>3</xdr:row>
      <xdr:rowOff>14287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5BAB7-33F6-42C6-84DF-5CD863F657D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42875"/>
          <a:ext cx="1173956" cy="4738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1</xdr:row>
      <xdr:rowOff>33617</xdr:rowOff>
    </xdr:from>
    <xdr:to>
      <xdr:col>3</xdr:col>
      <xdr:colOff>446876</xdr:colOff>
      <xdr:row>5</xdr:row>
      <xdr:rowOff>56028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36AE2-E19D-41D0-9A72-907FBD096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33617"/>
          <a:ext cx="1635820" cy="10034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261937</xdr:rowOff>
    </xdr:from>
    <xdr:to>
      <xdr:col>4</xdr:col>
      <xdr:colOff>0</xdr:colOff>
      <xdr:row>3</xdr:row>
      <xdr:rowOff>180974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EEE329-0F00-450F-9C4B-1718A72BBDB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94" y="261937"/>
          <a:ext cx="1166812" cy="466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1</xdr:row>
      <xdr:rowOff>142875</xdr:rowOff>
    </xdr:from>
    <xdr:to>
      <xdr:col>3</xdr:col>
      <xdr:colOff>0</xdr:colOff>
      <xdr:row>3</xdr:row>
      <xdr:rowOff>26194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B6E5A-F013-444A-9BB2-466C7FE245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42875"/>
          <a:ext cx="1173956" cy="4738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Transit%20Time%2011.18%20V2.xlsx" TargetMode="External"/><Relationship Id="rId1" Type="http://schemas.openxmlformats.org/officeDocument/2006/relationships/externalLinkPath" Target="Transit%20Time%2011.18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Flat%20Rates%202024.xlsx" TargetMode="External"/><Relationship Id="rId1" Type="http://schemas.openxmlformats.org/officeDocument/2006/relationships/externalLinkPath" Target="Flat%20Rates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US%20Domestic23.xlsx" TargetMode="External"/><Relationship Id="rId1" Type="http://schemas.openxmlformats.org/officeDocument/2006/relationships/externalLinkPath" Target="US%20Domestic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PP_2026.xlsx" TargetMode="External"/><Relationship Id="rId1" Type="http://schemas.openxmlformats.org/officeDocument/2006/relationships/externalLinkPath" Target="PP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FQoqCbh206mEEV060HFKDzw8twIyeRClMveWoHTLIWOSuE2TccIT7G8ayu3-_Dd" itemId="01ZTSDROJ54DKOB6NKP5HZE4JOU24CXFDJ">
      <xxl21:absoluteUrl r:id="rId2"/>
    </xxl21:alternateUrls>
    <sheetNames>
      <sheetName val="Transit Time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FQoqCbh206mEEV060HFKDzw8twIyeRClMveWoHTLIWOSuE2TccIT7G8ayu3-_Dd" itemId="01ZTSDROLRZM7O5YZSBND3LIDPHJFJGNRL">
      <xxl21:absoluteUrl r:id="rId2"/>
    </xxl21:alternateUrls>
    <sheetNames>
      <sheetName val="Flat Rates 2022"/>
      <sheetName val="Flat Rates 2023"/>
      <sheetName val="Flat Rates 2024"/>
      <sheetName val="Flat Rates 2026"/>
      <sheetName val="Flat Rates 2025"/>
      <sheetName val="Garatli"/>
      <sheetName val="Sheet1"/>
      <sheetName val="Freight26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FQoqCbh206mEEV060HFKDzw8twIyeRClMveWoHTLIWOSuE2TccIT7G8ayu3-_Dd" itemId="01ZTSDROMOMS7XNYPZ4VEYHR2S5YI2P4SN">
      <xxl21:absoluteUrl r:id="rId2"/>
    </xxl21:alternateUrls>
    <sheetNames>
      <sheetName val="Sheet1"/>
      <sheetName val="USG"/>
      <sheetName val="FWD"/>
      <sheetName val="EFPs"/>
      <sheetName val="Freight"/>
      <sheetName val="Cash"/>
      <sheetName val="BBG"/>
      <sheetName val="FFAs"/>
      <sheetName val="CALENDAR"/>
      <sheetName val="Sheet2"/>
      <sheetName val="FWD_History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FQoqCbh206mEEV060HFKDzw8twIyeRClMveWoHTLIWOSuE2TccIT7G8ayu3-_Dd" itemId="01ZTSDRONBMM2CXERKLRHJV4UTW6K3LNFC">
      <xxl21:absoluteUrl r:id="rId2"/>
    </xxl21:alternateUrls>
    <sheetNames>
      <sheetName val="Dashboard"/>
      <sheetName val="Cost Dashboard"/>
      <sheetName val="Report"/>
      <sheetName val="Control"/>
      <sheetName val="Trades 2026 1.14"/>
      <sheetName val="Trades 2026"/>
      <sheetName val="PnL26"/>
      <sheetName val="Cargo Econs 2026"/>
      <sheetName val="Cargo Econs 2025"/>
      <sheetName val="2025 EOY"/>
      <sheetName val="Ledger"/>
      <sheetName val="Pricing et. al"/>
      <sheetName val="Dated"/>
      <sheetName val="PnL"/>
      <sheetName val="WTI Sprds"/>
      <sheetName val="Control-Prices"/>
      <sheetName val="BBG"/>
      <sheetName val="Brent Sprds"/>
      <sheetName val="WTI-Brent"/>
      <sheetName val="Cargo Data"/>
    </sheetName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H133"/>
  <sheetViews>
    <sheetView topLeftCell="A62" zoomScale="70" zoomScaleNormal="70" workbookViewId="0">
      <selection activeCell="H80" sqref="H80"/>
    </sheetView>
  </sheetViews>
  <sheetFormatPr defaultRowHeight="14.5" x14ac:dyDescent="0.35"/>
  <cols>
    <col min="1" max="1" width="2" bestFit="1" customWidth="1"/>
    <col min="2" max="2" width="19.54296875" bestFit="1" customWidth="1"/>
    <col min="3" max="4" width="14.54296875" bestFit="1" customWidth="1"/>
    <col min="6" max="6" width="13.54296875" bestFit="1" customWidth="1"/>
    <col min="7" max="7" width="14.54296875" bestFit="1" customWidth="1"/>
    <col min="8" max="8" width="15.26953125" bestFit="1" customWidth="1"/>
    <col min="9" max="9" width="15.453125" bestFit="1" customWidth="1"/>
    <col min="10" max="10" width="11" bestFit="1" customWidth="1"/>
    <col min="11" max="11" width="16.453125" bestFit="1" customWidth="1"/>
    <col min="13" max="13" width="14.54296875" bestFit="1" customWidth="1"/>
    <col min="15" max="15" width="22.453125" bestFit="1" customWidth="1"/>
    <col min="16" max="16" width="13.453125" bestFit="1" customWidth="1"/>
    <col min="17" max="17" width="29.54296875" bestFit="1" customWidth="1"/>
    <col min="21" max="21" width="14.54296875" bestFit="1" customWidth="1"/>
    <col min="22" max="22" width="0" hidden="1" customWidth="1"/>
    <col min="23" max="23" width="12" bestFit="1" customWidth="1"/>
    <col min="24" max="24" width="11.54296875" bestFit="1" customWidth="1"/>
    <col min="25" max="27" width="9.1796875" customWidth="1"/>
    <col min="45" max="45" width="14" bestFit="1" customWidth="1"/>
    <col min="46" max="46" width="11" bestFit="1" customWidth="1"/>
    <col min="47" max="47" width="10.453125" bestFit="1" customWidth="1"/>
    <col min="51" max="51" width="11.54296875" bestFit="1" customWidth="1"/>
    <col min="56" max="56" width="15.81640625" bestFit="1" customWidth="1"/>
  </cols>
  <sheetData>
    <row r="1" spans="2:60" x14ac:dyDescent="0.35">
      <c r="W1">
        <v>2</v>
      </c>
      <c r="X1">
        <v>1</v>
      </c>
    </row>
    <row r="2" spans="2:60" x14ac:dyDescent="0.35">
      <c r="B2" s="7" t="s">
        <v>0</v>
      </c>
      <c r="E2" s="7" t="s">
        <v>1</v>
      </c>
      <c r="H2" s="79" t="s">
        <v>2</v>
      </c>
      <c r="Q2" s="7" t="s">
        <v>3</v>
      </c>
      <c r="W2" s="195">
        <f>W3-W7</f>
        <v>-10</v>
      </c>
      <c r="X2">
        <f>X3-X7</f>
        <v>0</v>
      </c>
      <c r="AB2" s="7" t="s">
        <v>4</v>
      </c>
      <c r="AK2" s="7" t="s">
        <v>4</v>
      </c>
      <c r="AW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</row>
    <row r="3" spans="2:60" x14ac:dyDescent="0.35">
      <c r="B3" t="s">
        <v>13</v>
      </c>
      <c r="C3" t="s">
        <v>14</v>
      </c>
      <c r="E3" s="5" t="s">
        <v>15</v>
      </c>
      <c r="H3">
        <v>0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362">
        <f>WTI!B9+30</f>
        <v>46366</v>
      </c>
      <c r="X3" s="362">
        <f>W3</f>
        <v>46366</v>
      </c>
      <c r="AB3" t="s">
        <v>16</v>
      </c>
      <c r="AC3" t="s">
        <v>22</v>
      </c>
      <c r="AD3" t="s">
        <v>23</v>
      </c>
      <c r="AE3" t="s">
        <v>24</v>
      </c>
      <c r="AF3" t="s">
        <v>25</v>
      </c>
      <c r="AG3" t="s">
        <v>26</v>
      </c>
      <c r="AH3" t="s">
        <v>27</v>
      </c>
      <c r="AI3" t="s">
        <v>28</v>
      </c>
      <c r="AK3" t="s">
        <v>16</v>
      </c>
      <c r="AL3" t="s">
        <v>22</v>
      </c>
      <c r="AM3" t="s">
        <v>23</v>
      </c>
      <c r="AN3" t="s">
        <v>24</v>
      </c>
      <c r="AO3" t="s">
        <v>25</v>
      </c>
      <c r="AW3" s="308">
        <f>WTI!A9</f>
        <v>46334</v>
      </c>
      <c r="AX3">
        <v>700</v>
      </c>
      <c r="AY3" s="308">
        <f>AW3+1+3</f>
        <v>46338</v>
      </c>
      <c r="AZ3" s="308">
        <f>$AY$5</f>
        <v>46341</v>
      </c>
      <c r="BA3">
        <v>54</v>
      </c>
      <c r="BB3" s="308">
        <f>AZ3+BA3</f>
        <v>46395</v>
      </c>
      <c r="BC3" s="308">
        <f>BB3+T59</f>
        <v>46405</v>
      </c>
      <c r="BD3" s="308">
        <f>AW3+1+30</f>
        <v>46365</v>
      </c>
      <c r="BE3" s="308">
        <f t="shared" ref="BE3:BE5" si="0">EOMONTH($AW$3,0)+20</f>
        <v>46376</v>
      </c>
      <c r="BG3">
        <f>BC3-BD3</f>
        <v>40</v>
      </c>
      <c r="BH3">
        <f>BC3-BE3</f>
        <v>29</v>
      </c>
    </row>
    <row r="4" spans="2:60" x14ac:dyDescent="0.35">
      <c r="B4" t="s">
        <v>29</v>
      </c>
      <c r="C4" t="s">
        <v>30</v>
      </c>
      <c r="E4" s="5" t="s">
        <v>31</v>
      </c>
      <c r="H4">
        <v>0.5</v>
      </c>
      <c r="Q4" s="269" t="s">
        <v>13</v>
      </c>
      <c r="R4" s="270">
        <v>0</v>
      </c>
      <c r="S4" s="270">
        <v>0</v>
      </c>
      <c r="T4" s="270">
        <v>30</v>
      </c>
      <c r="U4" s="271" t="s">
        <v>32</v>
      </c>
      <c r="V4" t="s">
        <v>33</v>
      </c>
      <c r="AB4" t="s">
        <v>34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K4" s="269" t="s">
        <v>29</v>
      </c>
      <c r="AM4">
        <v>60</v>
      </c>
      <c r="AN4">
        <v>72.5</v>
      </c>
      <c r="AO4">
        <v>100</v>
      </c>
      <c r="AW4" s="308">
        <f>AW3+1.5</f>
        <v>46335.5</v>
      </c>
      <c r="AX4">
        <v>700</v>
      </c>
      <c r="AY4" s="308">
        <f t="shared" ref="AY4:AY5" si="1">AW4+1+3</f>
        <v>46339.5</v>
      </c>
      <c r="AZ4" s="308">
        <f t="shared" ref="AZ4:AZ5" si="2">$AY$5</f>
        <v>46341</v>
      </c>
      <c r="BA4">
        <v>54</v>
      </c>
      <c r="BB4" s="308">
        <f t="shared" ref="BB4:BB5" si="3">AZ4+BA4</f>
        <v>46395</v>
      </c>
      <c r="BC4" s="308">
        <f t="shared" ref="BC4:BC5" si="4">BB4+T60</f>
        <v>46405</v>
      </c>
      <c r="BD4" s="308">
        <f t="shared" ref="BD4:BD5" si="5">AW4+1+30</f>
        <v>46366.5</v>
      </c>
      <c r="BE4" s="308">
        <f t="shared" si="0"/>
        <v>46376</v>
      </c>
      <c r="BG4">
        <f t="shared" ref="BG4:BG5" si="6">BC4-BD4</f>
        <v>38.5</v>
      </c>
      <c r="BH4">
        <f t="shared" ref="BH4:BH5" si="7">BC4-BE4</f>
        <v>29</v>
      </c>
    </row>
    <row r="5" spans="2:60" x14ac:dyDescent="0.35">
      <c r="B5" t="s">
        <v>35</v>
      </c>
      <c r="C5" t="s">
        <v>36</v>
      </c>
      <c r="E5" s="7" t="s">
        <v>37</v>
      </c>
      <c r="Q5" s="272" t="s">
        <v>38</v>
      </c>
      <c r="R5">
        <v>1</v>
      </c>
      <c r="S5">
        <v>1</v>
      </c>
      <c r="T5" s="76">
        <f>T7</f>
        <v>30</v>
      </c>
      <c r="U5" s="273" t="s">
        <v>32</v>
      </c>
      <c r="V5" t="s">
        <v>33</v>
      </c>
      <c r="W5" s="362">
        <f>W7</f>
        <v>46376</v>
      </c>
      <c r="X5" s="362">
        <f>X7</f>
        <v>46366</v>
      </c>
      <c r="AB5" t="s">
        <v>29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K5" s="272" t="s">
        <v>39</v>
      </c>
      <c r="AW5" s="308">
        <f>AW4+1.5</f>
        <v>46337</v>
      </c>
      <c r="AX5">
        <v>700</v>
      </c>
      <c r="AY5" s="308">
        <f t="shared" si="1"/>
        <v>46341</v>
      </c>
      <c r="AZ5" s="308">
        <f t="shared" si="2"/>
        <v>46341</v>
      </c>
      <c r="BA5">
        <v>54</v>
      </c>
      <c r="BB5" s="308">
        <f t="shared" si="3"/>
        <v>46395</v>
      </c>
      <c r="BC5" s="308">
        <f t="shared" si="4"/>
        <v>46405</v>
      </c>
      <c r="BD5" s="308">
        <f t="shared" si="5"/>
        <v>46368</v>
      </c>
      <c r="BE5" s="308">
        <f t="shared" si="0"/>
        <v>46376</v>
      </c>
      <c r="BG5">
        <f t="shared" si="6"/>
        <v>37</v>
      </c>
      <c r="BH5">
        <f t="shared" si="7"/>
        <v>29</v>
      </c>
    </row>
    <row r="6" spans="2:60" x14ac:dyDescent="0.35">
      <c r="B6" s="272" t="s">
        <v>38</v>
      </c>
      <c r="C6" t="s">
        <v>40</v>
      </c>
      <c r="E6" s="5" t="s">
        <v>22</v>
      </c>
      <c r="Q6" s="272" t="s">
        <v>41</v>
      </c>
      <c r="R6">
        <v>1</v>
      </c>
      <c r="S6">
        <v>1</v>
      </c>
      <c r="T6" s="76">
        <v>30</v>
      </c>
      <c r="U6" s="273" t="s">
        <v>32</v>
      </c>
      <c r="V6" t="s">
        <v>33</v>
      </c>
      <c r="W6" s="362">
        <f t="shared" ref="W6:X6" si="8">W5</f>
        <v>46376</v>
      </c>
      <c r="X6" s="362">
        <f t="shared" si="8"/>
        <v>46366</v>
      </c>
      <c r="AB6" t="s">
        <v>35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K6" s="272" t="s">
        <v>42</v>
      </c>
      <c r="AM6">
        <v>60</v>
      </c>
      <c r="AN6">
        <f t="shared" ref="AN6:AN10" si="9">$AN$4</f>
        <v>72.5</v>
      </c>
      <c r="AO6">
        <f t="shared" ref="AO6:AO29" si="10">$AO$4</f>
        <v>100</v>
      </c>
      <c r="BC6" s="308">
        <f>AVERAGE(BC3:BC5)</f>
        <v>46405</v>
      </c>
      <c r="BD6" s="308">
        <f>AVERAGE(BD3:BD5)</f>
        <v>46366.5</v>
      </c>
      <c r="BE6" s="308">
        <f>AVERAGE(BE3:BE5)</f>
        <v>46376</v>
      </c>
      <c r="BF6">
        <f>BD6-BE6</f>
        <v>-9.5</v>
      </c>
      <c r="BG6">
        <f>AVERAGE(BG3:BG5)</f>
        <v>38.5</v>
      </c>
      <c r="BH6">
        <f>AVERAGE(BH3:BH5)</f>
        <v>29</v>
      </c>
    </row>
    <row r="7" spans="2:60" x14ac:dyDescent="0.35">
      <c r="B7" t="s">
        <v>43</v>
      </c>
      <c r="C7" t="s">
        <v>44</v>
      </c>
      <c r="E7" s="5" t="s">
        <v>23</v>
      </c>
      <c r="Q7" s="272" t="s">
        <v>45</v>
      </c>
      <c r="R7">
        <v>0</v>
      </c>
      <c r="S7">
        <v>0</v>
      </c>
      <c r="T7" s="195">
        <v>30</v>
      </c>
      <c r="U7" s="273" t="s">
        <v>32</v>
      </c>
      <c r="V7" t="s">
        <v>33</v>
      </c>
      <c r="W7" s="362">
        <f>W58</f>
        <v>46376</v>
      </c>
      <c r="X7" s="362">
        <f>WTI!B9+30</f>
        <v>46366</v>
      </c>
      <c r="AB7" t="s">
        <v>46</v>
      </c>
      <c r="AC7">
        <v>0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K7" s="272" t="s">
        <v>47</v>
      </c>
      <c r="AM7">
        <v>60</v>
      </c>
      <c r="AN7">
        <f t="shared" si="9"/>
        <v>72.5</v>
      </c>
      <c r="AO7">
        <f t="shared" si="10"/>
        <v>100</v>
      </c>
      <c r="BC7" s="308"/>
      <c r="BD7" s="308"/>
      <c r="BE7" s="308"/>
    </row>
    <row r="8" spans="2:60" x14ac:dyDescent="0.35">
      <c r="B8" t="s">
        <v>41</v>
      </c>
      <c r="C8" t="s">
        <v>40</v>
      </c>
      <c r="E8" s="5" t="s">
        <v>24</v>
      </c>
      <c r="Q8" s="272" t="s">
        <v>48</v>
      </c>
      <c r="R8">
        <v>1</v>
      </c>
      <c r="S8">
        <v>1</v>
      </c>
      <c r="T8">
        <v>13</v>
      </c>
      <c r="U8" s="273" t="s">
        <v>49</v>
      </c>
      <c r="V8" t="s">
        <v>33</v>
      </c>
      <c r="AB8" t="s">
        <v>41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 s="272" t="s">
        <v>50</v>
      </c>
      <c r="AM8">
        <v>60</v>
      </c>
      <c r="AN8">
        <f t="shared" si="9"/>
        <v>72.5</v>
      </c>
      <c r="AO8">
        <f t="shared" si="10"/>
        <v>100</v>
      </c>
      <c r="AW8" t="s">
        <v>5</v>
      </c>
      <c r="AY8" t="s">
        <v>6</v>
      </c>
      <c r="AZ8" t="s">
        <v>7</v>
      </c>
      <c r="BA8" t="s">
        <v>8</v>
      </c>
      <c r="BB8" t="s">
        <v>9</v>
      </c>
      <c r="BC8" t="s">
        <v>10</v>
      </c>
      <c r="BD8" t="s">
        <v>11</v>
      </c>
      <c r="BE8" t="s">
        <v>12</v>
      </c>
    </row>
    <row r="9" spans="2:60" x14ac:dyDescent="0.35">
      <c r="B9" t="s">
        <v>51</v>
      </c>
      <c r="C9" t="s">
        <v>52</v>
      </c>
      <c r="E9" s="5" t="s">
        <v>25</v>
      </c>
      <c r="Q9" s="272" t="s">
        <v>53</v>
      </c>
      <c r="R9">
        <v>0</v>
      </c>
      <c r="S9">
        <v>0</v>
      </c>
      <c r="T9">
        <v>30</v>
      </c>
      <c r="U9" s="273" t="s">
        <v>32</v>
      </c>
      <c r="V9" t="s">
        <v>33</v>
      </c>
      <c r="AB9" t="s">
        <v>51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 s="272" t="s">
        <v>54</v>
      </c>
      <c r="AM9">
        <v>60</v>
      </c>
      <c r="AN9">
        <f t="shared" si="9"/>
        <v>72.5</v>
      </c>
      <c r="AO9">
        <f t="shared" si="10"/>
        <v>100</v>
      </c>
      <c r="AW9" s="308">
        <f>WTI!A15</f>
        <v>46334</v>
      </c>
      <c r="AX9">
        <v>1400</v>
      </c>
      <c r="AY9" s="308">
        <f>AW9+1+3</f>
        <v>46338</v>
      </c>
      <c r="AZ9" s="308">
        <f>$AY$5</f>
        <v>46341</v>
      </c>
      <c r="BA9">
        <v>54</v>
      </c>
      <c r="BB9" s="308">
        <f>AZ9+BA9</f>
        <v>46395</v>
      </c>
      <c r="BC9" s="308">
        <f>BB9+T65</f>
        <v>46395</v>
      </c>
      <c r="BD9" s="308">
        <f>AW9+1+30</f>
        <v>46365</v>
      </c>
      <c r="BE9" s="308">
        <f t="shared" ref="BE9:BE10" si="11">EOMONTH($AW$3,0)+20</f>
        <v>46376</v>
      </c>
      <c r="BG9">
        <f>BC9-BD9</f>
        <v>30</v>
      </c>
      <c r="BH9">
        <f>BC9-BE9</f>
        <v>19</v>
      </c>
    </row>
    <row r="10" spans="2:60" x14ac:dyDescent="0.35">
      <c r="B10" t="s">
        <v>55</v>
      </c>
      <c r="C10" t="s">
        <v>56</v>
      </c>
      <c r="Q10" s="272" t="s">
        <v>57</v>
      </c>
      <c r="R10">
        <v>1</v>
      </c>
      <c r="S10">
        <v>0</v>
      </c>
      <c r="T10">
        <v>30</v>
      </c>
      <c r="U10" s="273" t="s">
        <v>32</v>
      </c>
      <c r="V10" t="s">
        <v>33</v>
      </c>
      <c r="AB10" t="s">
        <v>55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 s="272" t="s">
        <v>58</v>
      </c>
      <c r="AM10">
        <v>60</v>
      </c>
      <c r="AN10">
        <f t="shared" si="9"/>
        <v>72.5</v>
      </c>
      <c r="AO10">
        <f t="shared" si="10"/>
        <v>100</v>
      </c>
      <c r="AW10" s="308">
        <f>AW9+1.5</f>
        <v>46335.5</v>
      </c>
      <c r="AX10">
        <v>700</v>
      </c>
      <c r="AY10" s="308">
        <f t="shared" ref="AY10" si="12">AW10+1+3</f>
        <v>46339.5</v>
      </c>
      <c r="AZ10" s="308">
        <f t="shared" ref="AZ10" si="13">$AY$5</f>
        <v>46341</v>
      </c>
      <c r="BA10">
        <v>54</v>
      </c>
      <c r="BB10" s="308">
        <f t="shared" ref="BB10" si="14">AZ10+BA10</f>
        <v>46395</v>
      </c>
      <c r="BC10" s="308">
        <f t="shared" ref="BC10" si="15">BB10+T66</f>
        <v>46395</v>
      </c>
      <c r="BD10" s="308">
        <f t="shared" ref="BD10" si="16">AW10+1+30</f>
        <v>46366.5</v>
      </c>
      <c r="BE10" s="308">
        <f t="shared" si="11"/>
        <v>46376</v>
      </c>
      <c r="BG10">
        <f t="shared" ref="BG10" si="17">BC10-BD10</f>
        <v>28.5</v>
      </c>
      <c r="BH10">
        <f t="shared" ref="BH10" si="18">BC10-BE10</f>
        <v>19</v>
      </c>
    </row>
    <row r="11" spans="2:60" x14ac:dyDescent="0.35">
      <c r="B11" t="s">
        <v>59</v>
      </c>
      <c r="C11" t="s">
        <v>60</v>
      </c>
      <c r="E11" s="115" t="s">
        <v>61</v>
      </c>
      <c r="F11" t="s">
        <v>62</v>
      </c>
      <c r="G11" t="s">
        <v>55</v>
      </c>
      <c r="H11" t="s">
        <v>63</v>
      </c>
      <c r="I11" t="s">
        <v>45</v>
      </c>
      <c r="J11" s="272" t="s">
        <v>38</v>
      </c>
      <c r="K11" t="s">
        <v>64</v>
      </c>
      <c r="L11" t="s">
        <v>65</v>
      </c>
      <c r="M11" t="s">
        <v>34</v>
      </c>
      <c r="N11" t="s">
        <v>66</v>
      </c>
      <c r="O11" t="s">
        <v>67</v>
      </c>
      <c r="Q11" s="272" t="s">
        <v>68</v>
      </c>
      <c r="R11">
        <v>1</v>
      </c>
      <c r="S11">
        <v>1</v>
      </c>
      <c r="T11">
        <v>13</v>
      </c>
      <c r="U11" s="273" t="s">
        <v>49</v>
      </c>
      <c r="V11" t="s">
        <v>33</v>
      </c>
      <c r="AB11" t="s">
        <v>59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K11" s="272" t="s">
        <v>69</v>
      </c>
      <c r="AW11" s="308"/>
      <c r="AY11" s="308"/>
      <c r="AZ11" s="308"/>
      <c r="BB11" s="308"/>
      <c r="BC11" s="308"/>
      <c r="BD11" s="308"/>
      <c r="BE11" s="308"/>
    </row>
    <row r="12" spans="2:60" x14ac:dyDescent="0.35">
      <c r="B12" t="s">
        <v>45</v>
      </c>
      <c r="C12" t="s">
        <v>40</v>
      </c>
      <c r="E12" s="5" t="s">
        <v>22</v>
      </c>
      <c r="F12">
        <v>50000</v>
      </c>
      <c r="G12">
        <f>$F12</f>
        <v>50000</v>
      </c>
      <c r="H12">
        <f>$I12</f>
        <v>50000</v>
      </c>
      <c r="I12">
        <v>50000</v>
      </c>
      <c r="J12">
        <v>50000</v>
      </c>
      <c r="K12">
        <f>F12</f>
        <v>50000</v>
      </c>
      <c r="L12">
        <f>I12</f>
        <v>50000</v>
      </c>
      <c r="M12">
        <v>50000</v>
      </c>
      <c r="N12">
        <f>J12</f>
        <v>50000</v>
      </c>
      <c r="O12">
        <v>50000</v>
      </c>
      <c r="Q12" s="272" t="s">
        <v>66</v>
      </c>
      <c r="R12">
        <v>1</v>
      </c>
      <c r="S12">
        <v>0</v>
      </c>
      <c r="T12">
        <v>30</v>
      </c>
      <c r="U12" s="273" t="s">
        <v>32</v>
      </c>
      <c r="V12" t="s">
        <v>33</v>
      </c>
      <c r="AB12" t="s">
        <v>45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K12" s="272" t="s">
        <v>70</v>
      </c>
      <c r="AM12">
        <v>60</v>
      </c>
      <c r="AN12">
        <f t="shared" ref="AN12:AN29" si="19">$AN$4</f>
        <v>72.5</v>
      </c>
      <c r="AO12">
        <f t="shared" si="10"/>
        <v>100</v>
      </c>
      <c r="BC12" s="308">
        <f>AVERAGE(BC9:BC11)</f>
        <v>46395</v>
      </c>
      <c r="BD12" s="308">
        <f>AVERAGE(BD9:BD11)</f>
        <v>46365.75</v>
      </c>
      <c r="BE12" s="308">
        <f>AVERAGE(BE9:BE11)</f>
        <v>46376</v>
      </c>
      <c r="BF12">
        <f>BD12-BE12</f>
        <v>-10.25</v>
      </c>
      <c r="BG12">
        <f>AVERAGE(BG9:BG11)</f>
        <v>29.25</v>
      </c>
      <c r="BH12">
        <f>AVERAGE(BH9:BH11)</f>
        <v>19</v>
      </c>
    </row>
    <row r="13" spans="2:60" x14ac:dyDescent="0.35">
      <c r="B13" t="s">
        <v>62</v>
      </c>
      <c r="C13" t="s">
        <v>56</v>
      </c>
      <c r="E13" s="5" t="s">
        <v>23</v>
      </c>
      <c r="F13">
        <v>70000</v>
      </c>
      <c r="G13">
        <f>$F13</f>
        <v>70000</v>
      </c>
      <c r="H13">
        <f>$I13</f>
        <v>70000</v>
      </c>
      <c r="I13">
        <v>70000</v>
      </c>
      <c r="J13">
        <v>70000</v>
      </c>
      <c r="K13">
        <v>80000</v>
      </c>
      <c r="L13">
        <f t="shared" ref="L13:L15" si="20">I13</f>
        <v>70000</v>
      </c>
      <c r="M13">
        <v>70000</v>
      </c>
      <c r="N13">
        <f t="shared" ref="N13:N15" si="21">J13</f>
        <v>70000</v>
      </c>
      <c r="O13">
        <v>70000</v>
      </c>
      <c r="Q13" s="272" t="s">
        <v>71</v>
      </c>
      <c r="R13">
        <v>1</v>
      </c>
      <c r="S13">
        <v>1</v>
      </c>
      <c r="T13">
        <v>13</v>
      </c>
      <c r="U13" s="273" t="s">
        <v>49</v>
      </c>
      <c r="V13" t="s">
        <v>33</v>
      </c>
      <c r="AB13" t="s">
        <v>62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 s="272" t="s">
        <v>72</v>
      </c>
      <c r="AM13">
        <v>60</v>
      </c>
      <c r="AN13">
        <f t="shared" si="19"/>
        <v>72.5</v>
      </c>
      <c r="AO13">
        <f t="shared" si="10"/>
        <v>100</v>
      </c>
      <c r="BC13" s="308"/>
      <c r="BD13" s="308"/>
      <c r="BE13" s="308"/>
    </row>
    <row r="14" spans="2:60" x14ac:dyDescent="0.35">
      <c r="B14" t="s">
        <v>48</v>
      </c>
      <c r="C14" t="s">
        <v>73</v>
      </c>
      <c r="E14" s="5" t="s">
        <v>24</v>
      </c>
      <c r="F14">
        <v>150000</v>
      </c>
      <c r="G14">
        <v>150000</v>
      </c>
      <c r="H14">
        <f>$I14</f>
        <v>145000</v>
      </c>
      <c r="I14">
        <v>145000</v>
      </c>
      <c r="J14">
        <v>145000</v>
      </c>
      <c r="K14">
        <v>145000</v>
      </c>
      <c r="L14">
        <f t="shared" si="20"/>
        <v>145000</v>
      </c>
      <c r="M14">
        <v>145000</v>
      </c>
      <c r="N14">
        <f t="shared" si="21"/>
        <v>145000</v>
      </c>
      <c r="O14">
        <v>130000</v>
      </c>
      <c r="Q14" s="272" t="s">
        <v>74</v>
      </c>
      <c r="R14">
        <v>0</v>
      </c>
      <c r="S14">
        <v>0</v>
      </c>
      <c r="T14">
        <v>30</v>
      </c>
      <c r="U14" s="273" t="s">
        <v>32</v>
      </c>
      <c r="V14" t="s">
        <v>33</v>
      </c>
      <c r="AB14" t="s">
        <v>48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K14" s="272" t="s">
        <v>75</v>
      </c>
      <c r="AM14">
        <v>60</v>
      </c>
      <c r="AN14">
        <f t="shared" si="19"/>
        <v>72.5</v>
      </c>
      <c r="AO14">
        <f t="shared" si="10"/>
        <v>100</v>
      </c>
      <c r="BC14" s="308"/>
      <c r="BD14" s="308"/>
      <c r="BE14" s="308"/>
    </row>
    <row r="15" spans="2:60" x14ac:dyDescent="0.35">
      <c r="B15" t="s">
        <v>76</v>
      </c>
      <c r="C15" t="s">
        <v>14</v>
      </c>
      <c r="E15" s="5" t="s">
        <v>25</v>
      </c>
      <c r="F15">
        <v>270000</v>
      </c>
      <c r="G15">
        <f>$F15</f>
        <v>270000</v>
      </c>
      <c r="H15">
        <f>$I15</f>
        <v>270000</v>
      </c>
      <c r="I15">
        <v>270000</v>
      </c>
      <c r="J15">
        <v>270000</v>
      </c>
      <c r="K15">
        <f t="shared" ref="K15" si="22">F15</f>
        <v>270000</v>
      </c>
      <c r="L15">
        <f t="shared" si="20"/>
        <v>270000</v>
      </c>
      <c r="M15">
        <v>270000</v>
      </c>
      <c r="N15">
        <f t="shared" si="21"/>
        <v>270000</v>
      </c>
      <c r="O15">
        <v>270000</v>
      </c>
      <c r="Q15" s="274" t="s">
        <v>76</v>
      </c>
      <c r="R15" s="275">
        <v>0</v>
      </c>
      <c r="S15" s="275">
        <v>0</v>
      </c>
      <c r="T15" s="275">
        <v>30</v>
      </c>
      <c r="U15" s="276" t="s">
        <v>32</v>
      </c>
      <c r="V15" t="s">
        <v>33</v>
      </c>
      <c r="AB15" t="s">
        <v>77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 s="272" t="s">
        <v>78</v>
      </c>
      <c r="AM15">
        <v>60</v>
      </c>
      <c r="AN15">
        <f t="shared" si="19"/>
        <v>72.5</v>
      </c>
      <c r="AO15">
        <f t="shared" si="10"/>
        <v>100</v>
      </c>
    </row>
    <row r="16" spans="2:60" x14ac:dyDescent="0.35">
      <c r="B16" t="s">
        <v>64</v>
      </c>
      <c r="C16" t="s">
        <v>79</v>
      </c>
      <c r="Q16" s="272" t="s">
        <v>80</v>
      </c>
      <c r="R16" s="270">
        <v>1</v>
      </c>
      <c r="S16" s="270">
        <v>0</v>
      </c>
      <c r="T16" s="270">
        <v>13</v>
      </c>
      <c r="U16" s="271" t="s">
        <v>49</v>
      </c>
      <c r="V16" t="s">
        <v>33</v>
      </c>
      <c r="AB16" t="s">
        <v>81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 s="272" t="s">
        <v>82</v>
      </c>
      <c r="AM16">
        <v>60</v>
      </c>
      <c r="AN16">
        <f t="shared" si="19"/>
        <v>72.5</v>
      </c>
      <c r="AO16">
        <f t="shared" si="10"/>
        <v>100</v>
      </c>
    </row>
    <row r="17" spans="2:55" x14ac:dyDescent="0.35">
      <c r="B17" t="s">
        <v>57</v>
      </c>
      <c r="C17" t="s">
        <v>40</v>
      </c>
      <c r="E17" s="115" t="s">
        <v>2</v>
      </c>
      <c r="F17" t="s">
        <v>62</v>
      </c>
      <c r="G17" t="s">
        <v>55</v>
      </c>
      <c r="H17" t="s">
        <v>63</v>
      </c>
      <c r="I17" t="s">
        <v>45</v>
      </c>
      <c r="J17" s="272" t="s">
        <v>38</v>
      </c>
      <c r="K17" t="str">
        <f>K11</f>
        <v>Rotterdam-STS</v>
      </c>
      <c r="L17" t="s">
        <v>65</v>
      </c>
      <c r="M17" t="str">
        <f>M11</f>
        <v>Liza FPSO</v>
      </c>
      <c r="N17" t="s">
        <v>66</v>
      </c>
      <c r="O17" t="str">
        <f>O11</f>
        <v>Nederland</v>
      </c>
      <c r="Q17" s="272" t="s">
        <v>83</v>
      </c>
      <c r="R17" s="270">
        <v>0</v>
      </c>
      <c r="S17" s="270">
        <v>0</v>
      </c>
      <c r="T17" s="270">
        <v>30</v>
      </c>
      <c r="U17" s="271" t="s">
        <v>32</v>
      </c>
      <c r="V17" t="s">
        <v>84</v>
      </c>
      <c r="W17" s="362">
        <f t="shared" ref="W17" si="23">$W$7</f>
        <v>46376</v>
      </c>
      <c r="X17" s="362">
        <f t="shared" ref="X17" si="24">$X$7</f>
        <v>46366</v>
      </c>
      <c r="Y17">
        <f>X17-W17</f>
        <v>-10</v>
      </c>
      <c r="AB17" t="s">
        <v>45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K17" s="272" t="s">
        <v>85</v>
      </c>
      <c r="AM17">
        <v>60</v>
      </c>
      <c r="AN17">
        <f t="shared" si="19"/>
        <v>72.5</v>
      </c>
      <c r="AO17">
        <f t="shared" si="10"/>
        <v>100</v>
      </c>
      <c r="AS17" t="s">
        <v>5</v>
      </c>
      <c r="AT17" s="362">
        <f>WTI!A9</f>
        <v>46334</v>
      </c>
      <c r="AX17">
        <v>9</v>
      </c>
      <c r="AY17">
        <v>700</v>
      </c>
      <c r="BA17">
        <v>0</v>
      </c>
      <c r="BB17">
        <v>700</v>
      </c>
    </row>
    <row r="18" spans="2:55" x14ac:dyDescent="0.35">
      <c r="B18" t="s">
        <v>86</v>
      </c>
      <c r="C18" t="s">
        <v>87</v>
      </c>
      <c r="E18" s="5" t="s">
        <v>22</v>
      </c>
      <c r="F18">
        <v>0.5</v>
      </c>
      <c r="G18">
        <f>$F18</f>
        <v>0.5</v>
      </c>
      <c r="H18">
        <f>$I18</f>
        <v>0.5</v>
      </c>
      <c r="I18">
        <v>0.5</v>
      </c>
      <c r="J18">
        <v>0.5</v>
      </c>
      <c r="K18">
        <v>0.5</v>
      </c>
      <c r="L18">
        <f>I18</f>
        <v>0.5</v>
      </c>
      <c r="M18">
        <v>0.5</v>
      </c>
      <c r="N18">
        <f>J18</f>
        <v>0.5</v>
      </c>
      <c r="O18">
        <v>50000</v>
      </c>
      <c r="Q18" s="269" t="s">
        <v>35</v>
      </c>
      <c r="R18" s="270">
        <v>0</v>
      </c>
      <c r="S18" s="270">
        <v>0</v>
      </c>
      <c r="T18" s="270">
        <v>13</v>
      </c>
      <c r="U18" s="271" t="s">
        <v>49</v>
      </c>
      <c r="V18" t="s">
        <v>84</v>
      </c>
      <c r="AB18" t="s">
        <v>86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 s="272" t="s">
        <v>88</v>
      </c>
      <c r="AM18">
        <v>60</v>
      </c>
      <c r="AN18">
        <f t="shared" si="19"/>
        <v>72.5</v>
      </c>
      <c r="AO18">
        <f t="shared" si="10"/>
        <v>100</v>
      </c>
      <c r="AS18" t="s">
        <v>8</v>
      </c>
      <c r="AT18">
        <f>WTI!BC43+AY20+1</f>
        <v>59</v>
      </c>
      <c r="AX18">
        <v>6</v>
      </c>
      <c r="AY18">
        <v>700</v>
      </c>
      <c r="BA18">
        <v>3</v>
      </c>
      <c r="BB18">
        <v>1400</v>
      </c>
    </row>
    <row r="19" spans="2:55" x14ac:dyDescent="0.35">
      <c r="B19" t="s">
        <v>83</v>
      </c>
      <c r="C19" t="s">
        <v>30</v>
      </c>
      <c r="E19" s="5" t="s">
        <v>23</v>
      </c>
      <c r="F19">
        <v>0</v>
      </c>
      <c r="G19">
        <f>$F19</f>
        <v>0</v>
      </c>
      <c r="H19">
        <f>$K19</f>
        <v>0.5</v>
      </c>
      <c r="I19">
        <v>0</v>
      </c>
      <c r="J19">
        <v>0</v>
      </c>
      <c r="K19">
        <v>0.5</v>
      </c>
      <c r="L19">
        <f t="shared" ref="L19:L21" si="25">I19</f>
        <v>0</v>
      </c>
      <c r="M19">
        <v>0</v>
      </c>
      <c r="N19">
        <f t="shared" ref="N19:N21" si="26">J19</f>
        <v>0</v>
      </c>
      <c r="O19">
        <v>70000</v>
      </c>
      <c r="Q19" s="272" t="s">
        <v>55</v>
      </c>
      <c r="R19">
        <v>1</v>
      </c>
      <c r="S19">
        <v>0</v>
      </c>
      <c r="T19">
        <v>13</v>
      </c>
      <c r="U19" s="273" t="s">
        <v>49</v>
      </c>
      <c r="V19" t="s">
        <v>84</v>
      </c>
      <c r="AB19" t="s">
        <v>89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K19" s="272" t="s">
        <v>90</v>
      </c>
      <c r="AM19">
        <v>60</v>
      </c>
      <c r="AN19">
        <f t="shared" si="19"/>
        <v>72.5</v>
      </c>
      <c r="AO19">
        <f t="shared" si="10"/>
        <v>100</v>
      </c>
      <c r="AS19" t="s">
        <v>49</v>
      </c>
      <c r="AT19" s="362">
        <f>AT17+AT18</f>
        <v>46393</v>
      </c>
      <c r="AX19">
        <v>3</v>
      </c>
      <c r="AY19">
        <v>700</v>
      </c>
      <c r="BB19" cm="1">
        <f t="array" ref="BB19">SUMPRODUCT(BA17:BA18,BB17:BB18/SUM(BB17:BB18))</f>
        <v>2</v>
      </c>
    </row>
    <row r="20" spans="2:55" x14ac:dyDescent="0.35">
      <c r="B20" t="s">
        <v>65</v>
      </c>
      <c r="C20" t="s">
        <v>91</v>
      </c>
      <c r="E20" s="5" t="s">
        <v>24</v>
      </c>
      <c r="F20">
        <v>0.5</v>
      </c>
      <c r="G20">
        <f>$F20</f>
        <v>0.5</v>
      </c>
      <c r="H20">
        <f>$I20</f>
        <v>0.5</v>
      </c>
      <c r="I20">
        <v>0.5</v>
      </c>
      <c r="J20">
        <v>0.5</v>
      </c>
      <c r="K20">
        <v>0.5</v>
      </c>
      <c r="L20">
        <f t="shared" si="25"/>
        <v>0.5</v>
      </c>
      <c r="M20">
        <v>0.5</v>
      </c>
      <c r="N20">
        <f t="shared" si="26"/>
        <v>0.5</v>
      </c>
      <c r="O20">
        <v>130000</v>
      </c>
      <c r="Q20" s="272" t="s">
        <v>59</v>
      </c>
      <c r="R20">
        <v>0</v>
      </c>
      <c r="S20">
        <v>0</v>
      </c>
      <c r="T20">
        <v>17</v>
      </c>
      <c r="U20" s="273" t="s">
        <v>49</v>
      </c>
      <c r="V20" t="s">
        <v>84</v>
      </c>
      <c r="AB20" t="s">
        <v>65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 s="272" t="s">
        <v>92</v>
      </c>
      <c r="AM20">
        <v>60</v>
      </c>
      <c r="AN20">
        <f t="shared" si="19"/>
        <v>72.5</v>
      </c>
      <c r="AO20">
        <f t="shared" si="10"/>
        <v>100</v>
      </c>
      <c r="AS20" t="s">
        <v>93</v>
      </c>
      <c r="AT20" s="362">
        <f>+AT19+T59</f>
        <v>46403</v>
      </c>
      <c r="AU20" s="362">
        <f>AT17+1+30</f>
        <v>46365</v>
      </c>
      <c r="AV20">
        <f>AT20-AU20</f>
        <v>38</v>
      </c>
      <c r="AY20" cm="1">
        <f t="array" ref="AY20">SUMPRODUCT(AX17:AX19,AY17:AY19/SUM(AY17:AY19))</f>
        <v>6</v>
      </c>
    </row>
    <row r="21" spans="2:55" x14ac:dyDescent="0.35">
      <c r="B21" t="s">
        <v>94</v>
      </c>
      <c r="C21" t="s">
        <v>95</v>
      </c>
      <c r="E21" s="5" t="s">
        <v>25</v>
      </c>
      <c r="F21">
        <v>0.5</v>
      </c>
      <c r="G21">
        <f>$F21</f>
        <v>0.5</v>
      </c>
      <c r="H21">
        <f>$I21</f>
        <v>0.5</v>
      </c>
      <c r="I21">
        <v>0.5</v>
      </c>
      <c r="J21">
        <v>0.5</v>
      </c>
      <c r="K21">
        <v>0.5</v>
      </c>
      <c r="L21">
        <f t="shared" si="25"/>
        <v>0.5</v>
      </c>
      <c r="M21">
        <v>0.5</v>
      </c>
      <c r="N21">
        <f t="shared" si="26"/>
        <v>0.5</v>
      </c>
      <c r="O21">
        <v>270000</v>
      </c>
      <c r="Q21" s="272" t="s">
        <v>62</v>
      </c>
      <c r="R21">
        <v>1</v>
      </c>
      <c r="S21">
        <v>0</v>
      </c>
      <c r="T21">
        <v>15</v>
      </c>
      <c r="U21" s="273" t="s">
        <v>49</v>
      </c>
      <c r="V21" t="s">
        <v>84</v>
      </c>
      <c r="AB21" t="s">
        <v>94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 s="272" t="s">
        <v>96</v>
      </c>
      <c r="AM21">
        <v>60</v>
      </c>
      <c r="AN21">
        <f t="shared" si="19"/>
        <v>72.5</v>
      </c>
      <c r="AO21">
        <f t="shared" si="10"/>
        <v>100</v>
      </c>
      <c r="AU21" s="308">
        <f>$W$17</f>
        <v>46376</v>
      </c>
      <c r="AV21">
        <f>AT20-AU21</f>
        <v>27</v>
      </c>
    </row>
    <row r="22" spans="2:55" x14ac:dyDescent="0.35">
      <c r="B22" t="s">
        <v>68</v>
      </c>
      <c r="C22" t="s">
        <v>73</v>
      </c>
      <c r="Q22" s="272" t="s">
        <v>64</v>
      </c>
      <c r="R22">
        <v>0</v>
      </c>
      <c r="S22">
        <v>0</v>
      </c>
      <c r="T22">
        <v>15</v>
      </c>
      <c r="U22" s="273" t="s">
        <v>32</v>
      </c>
      <c r="V22" t="s">
        <v>84</v>
      </c>
      <c r="AB22" t="s">
        <v>68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K22" s="272" t="s">
        <v>97</v>
      </c>
      <c r="AM22">
        <v>60</v>
      </c>
      <c r="AN22">
        <f t="shared" si="19"/>
        <v>72.5</v>
      </c>
      <c r="AO22">
        <f t="shared" si="10"/>
        <v>100</v>
      </c>
      <c r="AZ22" t="s">
        <v>5</v>
      </c>
      <c r="BA22" t="s">
        <v>98</v>
      </c>
      <c r="BB22" t="s">
        <v>7</v>
      </c>
      <c r="BC22" t="s">
        <v>19</v>
      </c>
    </row>
    <row r="23" spans="2:55" ht="15.5" x14ac:dyDescent="0.35">
      <c r="B23" t="s">
        <v>71</v>
      </c>
      <c r="C23" t="s">
        <v>73</v>
      </c>
      <c r="Q23" s="272" t="s">
        <v>83</v>
      </c>
      <c r="R23">
        <v>1</v>
      </c>
      <c r="S23">
        <v>0</v>
      </c>
      <c r="T23">
        <v>30</v>
      </c>
      <c r="U23" s="273" t="s">
        <v>32</v>
      </c>
      <c r="V23" t="s">
        <v>84</v>
      </c>
      <c r="AB23" t="s">
        <v>71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K23" s="272" t="s">
        <v>99</v>
      </c>
      <c r="AM23">
        <v>60</v>
      </c>
      <c r="AN23">
        <f t="shared" si="19"/>
        <v>72.5</v>
      </c>
      <c r="AO23">
        <f t="shared" si="10"/>
        <v>100</v>
      </c>
      <c r="AS23" s="272" t="s">
        <v>51</v>
      </c>
      <c r="AT23" s="124">
        <f>AT24-2</f>
        <v>36.5</v>
      </c>
      <c r="AY23">
        <v>700</v>
      </c>
      <c r="AZ23" s="308">
        <v>45734</v>
      </c>
      <c r="BA23">
        <v>3</v>
      </c>
      <c r="BB23" s="308">
        <f>BA23+AZ23</f>
        <v>45737</v>
      </c>
    </row>
    <row r="24" spans="2:55" ht="15.5" x14ac:dyDescent="0.35">
      <c r="B24" t="s">
        <v>100</v>
      </c>
      <c r="C24" t="s">
        <v>101</v>
      </c>
      <c r="E24" s="118" t="s">
        <v>102</v>
      </c>
      <c r="F24" t="s">
        <v>46</v>
      </c>
      <c r="G24" t="s">
        <v>103</v>
      </c>
      <c r="H24" t="s">
        <v>57</v>
      </c>
      <c r="I24" t="s">
        <v>104</v>
      </c>
      <c r="J24" t="s">
        <v>63</v>
      </c>
      <c r="Q24" s="272" t="s">
        <v>65</v>
      </c>
      <c r="R24">
        <v>1</v>
      </c>
      <c r="S24">
        <v>0</v>
      </c>
      <c r="T24">
        <v>30</v>
      </c>
      <c r="U24" s="273" t="s">
        <v>49</v>
      </c>
      <c r="V24" t="s">
        <v>84</v>
      </c>
      <c r="AB24" t="s">
        <v>100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K24" s="272" t="s">
        <v>105</v>
      </c>
      <c r="AM24">
        <v>60</v>
      </c>
      <c r="AN24">
        <f t="shared" si="19"/>
        <v>72.5</v>
      </c>
      <c r="AO24">
        <f t="shared" si="10"/>
        <v>100</v>
      </c>
      <c r="AS24" s="272" t="s">
        <v>106</v>
      </c>
      <c r="AT24" s="124">
        <f>$BG$6</f>
        <v>38.5</v>
      </c>
      <c r="AY24">
        <v>700</v>
      </c>
      <c r="AZ24" s="308">
        <f>+AZ23+2</f>
        <v>45736</v>
      </c>
      <c r="BA24">
        <v>3</v>
      </c>
      <c r="BB24" s="308">
        <f t="shared" ref="BB24:BB25" si="27">BA24+AZ24</f>
        <v>45739</v>
      </c>
    </row>
    <row r="25" spans="2:55" ht="15.5" x14ac:dyDescent="0.35">
      <c r="B25" t="s">
        <v>74</v>
      </c>
      <c r="C25" t="s">
        <v>40</v>
      </c>
      <c r="E25" s="2" t="s">
        <v>22</v>
      </c>
      <c r="F25" s="267">
        <v>490000</v>
      </c>
      <c r="G25" s="267">
        <v>490000</v>
      </c>
      <c r="H25" s="267">
        <v>490000</v>
      </c>
      <c r="I25" s="267">
        <v>490000</v>
      </c>
      <c r="J25" s="78"/>
      <c r="Q25" s="272" t="s">
        <v>94</v>
      </c>
      <c r="R25">
        <v>0</v>
      </c>
      <c r="S25">
        <v>0</v>
      </c>
      <c r="T25">
        <v>13</v>
      </c>
      <c r="U25" s="273" t="s">
        <v>49</v>
      </c>
      <c r="V25" t="s">
        <v>84</v>
      </c>
      <c r="AB25" t="s">
        <v>74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K25" s="272" t="s">
        <v>107</v>
      </c>
      <c r="AM25">
        <v>60</v>
      </c>
      <c r="AN25">
        <f t="shared" si="19"/>
        <v>72.5</v>
      </c>
      <c r="AO25">
        <f t="shared" si="10"/>
        <v>100</v>
      </c>
      <c r="AS25" s="272" t="s">
        <v>86</v>
      </c>
      <c r="AT25" s="510">
        <f>AT27-3</f>
        <v>25.5</v>
      </c>
      <c r="AY25">
        <v>700</v>
      </c>
      <c r="AZ25" s="308">
        <f>+AZ24+2</f>
        <v>45738</v>
      </c>
      <c r="BA25">
        <v>3</v>
      </c>
      <c r="BB25" s="308">
        <f t="shared" si="27"/>
        <v>45741</v>
      </c>
    </row>
    <row r="26" spans="2:55" ht="15.5" x14ac:dyDescent="0.35">
      <c r="B26" t="s">
        <v>63</v>
      </c>
      <c r="C26" t="s">
        <v>108</v>
      </c>
      <c r="E26" s="2" t="s">
        <v>23</v>
      </c>
      <c r="F26" s="267">
        <v>500000</v>
      </c>
      <c r="G26" s="267">
        <v>750000</v>
      </c>
      <c r="H26" s="267">
        <v>700000</v>
      </c>
      <c r="I26" s="267">
        <v>750000</v>
      </c>
      <c r="J26" s="78"/>
      <c r="Q26" s="272" t="s">
        <v>34</v>
      </c>
      <c r="R26">
        <v>1</v>
      </c>
      <c r="S26">
        <v>0</v>
      </c>
      <c r="T26">
        <v>30</v>
      </c>
      <c r="U26" s="273" t="s">
        <v>32</v>
      </c>
      <c r="V26" t="s">
        <v>84</v>
      </c>
      <c r="AB26" t="s">
        <v>63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K26" s="272" t="s">
        <v>109</v>
      </c>
      <c r="AM26">
        <v>60</v>
      </c>
      <c r="AN26">
        <f t="shared" si="19"/>
        <v>72.5</v>
      </c>
      <c r="AO26">
        <f t="shared" si="10"/>
        <v>100</v>
      </c>
      <c r="AS26" s="272" t="s">
        <v>100</v>
      </c>
      <c r="AT26" s="510">
        <f>AT23-1</f>
        <v>35.5</v>
      </c>
    </row>
    <row r="27" spans="2:55" ht="15.5" x14ac:dyDescent="0.35">
      <c r="B27" t="s">
        <v>110</v>
      </c>
      <c r="C27" t="s">
        <v>111</v>
      </c>
      <c r="E27" s="165" t="s">
        <v>24</v>
      </c>
      <c r="F27" s="267">
        <v>700000</v>
      </c>
      <c r="G27" s="267">
        <v>850000</v>
      </c>
      <c r="H27" s="267">
        <v>0</v>
      </c>
      <c r="I27" s="267">
        <v>1000000</v>
      </c>
      <c r="J27" s="78"/>
      <c r="Q27" s="272" t="s">
        <v>112</v>
      </c>
      <c r="R27">
        <v>1</v>
      </c>
      <c r="S27">
        <v>0</v>
      </c>
      <c r="T27">
        <v>13</v>
      </c>
      <c r="U27" s="273" t="s">
        <v>49</v>
      </c>
      <c r="V27" t="s">
        <v>84</v>
      </c>
      <c r="AB27" t="s">
        <v>110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K27" s="272" t="s">
        <v>113</v>
      </c>
      <c r="AM27">
        <v>60</v>
      </c>
      <c r="AN27">
        <f t="shared" si="19"/>
        <v>72.5</v>
      </c>
      <c r="AO27">
        <f t="shared" si="10"/>
        <v>100</v>
      </c>
      <c r="AS27" s="274" t="s">
        <v>114</v>
      </c>
      <c r="AT27" s="510">
        <f>AT24-10</f>
        <v>28.5</v>
      </c>
    </row>
    <row r="28" spans="2:55" ht="15.5" x14ac:dyDescent="0.35">
      <c r="B28" t="s">
        <v>115</v>
      </c>
      <c r="C28" t="s">
        <v>111</v>
      </c>
      <c r="E28" s="2" t="s">
        <v>25</v>
      </c>
      <c r="F28" s="267">
        <v>0</v>
      </c>
      <c r="G28" s="267">
        <v>1250000</v>
      </c>
      <c r="H28" s="267">
        <v>0</v>
      </c>
      <c r="I28" s="267">
        <v>2000000</v>
      </c>
      <c r="J28" s="78"/>
      <c r="Q28" s="272" t="s">
        <v>63</v>
      </c>
      <c r="R28">
        <v>1</v>
      </c>
      <c r="S28">
        <v>0</v>
      </c>
      <c r="T28">
        <v>15</v>
      </c>
      <c r="U28" s="273" t="s">
        <v>32</v>
      </c>
      <c r="V28" t="s">
        <v>84</v>
      </c>
      <c r="AB28" t="s">
        <v>115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 s="272" t="s">
        <v>116</v>
      </c>
      <c r="AM28">
        <v>60</v>
      </c>
      <c r="AN28">
        <f t="shared" si="19"/>
        <v>72.5</v>
      </c>
      <c r="AO28">
        <f t="shared" si="10"/>
        <v>100</v>
      </c>
      <c r="AS28" s="272" t="s">
        <v>43</v>
      </c>
      <c r="AT28" s="510">
        <f>AT24-3</f>
        <v>35.5</v>
      </c>
    </row>
    <row r="29" spans="2:55" ht="15.5" x14ac:dyDescent="0.35">
      <c r="B29" t="s">
        <v>39</v>
      </c>
      <c r="C29" t="s">
        <v>79</v>
      </c>
      <c r="E29" s="2" t="s">
        <v>117</v>
      </c>
      <c r="F29" s="78">
        <f>F26</f>
        <v>500000</v>
      </c>
      <c r="G29" s="78">
        <f t="shared" ref="G29:I29" si="28">G26</f>
        <v>750000</v>
      </c>
      <c r="H29" s="78">
        <f t="shared" si="28"/>
        <v>700000</v>
      </c>
      <c r="I29" s="78">
        <f t="shared" si="28"/>
        <v>750000</v>
      </c>
      <c r="Q29" s="272" t="s">
        <v>110</v>
      </c>
      <c r="R29">
        <v>0</v>
      </c>
      <c r="S29">
        <v>0</v>
      </c>
      <c r="T29">
        <v>30</v>
      </c>
      <c r="U29" s="273" t="s">
        <v>32</v>
      </c>
      <c r="V29" t="s">
        <v>84</v>
      </c>
      <c r="AB29" t="s">
        <v>118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 s="274" t="s">
        <v>119</v>
      </c>
      <c r="AM29">
        <v>60</v>
      </c>
      <c r="AN29">
        <f t="shared" si="19"/>
        <v>72.5</v>
      </c>
      <c r="AO29">
        <f t="shared" si="10"/>
        <v>100</v>
      </c>
    </row>
    <row r="30" spans="2:55" ht="15.5" x14ac:dyDescent="0.35">
      <c r="B30" t="s">
        <v>42</v>
      </c>
      <c r="C30" t="s">
        <v>79</v>
      </c>
      <c r="E30" s="2"/>
      <c r="F30" s="2"/>
      <c r="Q30" s="272" t="s">
        <v>115</v>
      </c>
      <c r="R30">
        <v>0</v>
      </c>
      <c r="S30">
        <v>0</v>
      </c>
      <c r="T30">
        <v>30</v>
      </c>
      <c r="U30" s="273" t="s">
        <v>32</v>
      </c>
      <c r="V30" t="s">
        <v>84</v>
      </c>
      <c r="AB30" t="s">
        <v>42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2:55" ht="15.5" x14ac:dyDescent="0.35">
      <c r="B31" t="s">
        <v>53</v>
      </c>
      <c r="C31" t="s">
        <v>14</v>
      </c>
      <c r="E31" s="2" t="s">
        <v>5</v>
      </c>
      <c r="F31" s="2">
        <v>2000000</v>
      </c>
      <c r="G31" s="78">
        <f>F31-G28</f>
        <v>750000</v>
      </c>
      <c r="H31" t="e">
        <f>G31/J28</f>
        <v>#DIV/0!</v>
      </c>
      <c r="Q31" s="272" t="s">
        <v>120</v>
      </c>
      <c r="R31">
        <v>1</v>
      </c>
      <c r="S31">
        <v>0</v>
      </c>
      <c r="T31">
        <v>13</v>
      </c>
      <c r="U31" s="273" t="s">
        <v>49</v>
      </c>
      <c r="V31" t="s">
        <v>121</v>
      </c>
      <c r="AB31" t="s">
        <v>122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2:55" ht="15.5" x14ac:dyDescent="0.35">
      <c r="B32" t="s">
        <v>120</v>
      </c>
      <c r="C32" t="s">
        <v>111</v>
      </c>
      <c r="E32" s="2" t="s">
        <v>117</v>
      </c>
      <c r="F32" s="2">
        <v>700000</v>
      </c>
      <c r="H32">
        <f>COUNT(H31)</f>
        <v>0</v>
      </c>
      <c r="P32" s="270">
        <v>1</v>
      </c>
      <c r="Q32" s="269" t="s">
        <v>29</v>
      </c>
      <c r="R32" s="270">
        <v>0</v>
      </c>
      <c r="S32" s="270">
        <v>0</v>
      </c>
      <c r="T32" s="270">
        <v>30</v>
      </c>
      <c r="U32" s="271" t="s">
        <v>32</v>
      </c>
      <c r="V32" t="s">
        <v>121</v>
      </c>
      <c r="W32" s="362">
        <f t="shared" ref="W32:W57" si="29">$W$7</f>
        <v>46376</v>
      </c>
      <c r="X32" s="362">
        <f t="shared" ref="X32:X56" si="30">$X$7</f>
        <v>46366</v>
      </c>
      <c r="Y32">
        <f>X32-W32</f>
        <v>-10</v>
      </c>
      <c r="AB32" t="s">
        <v>120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60" ht="15.5" x14ac:dyDescent="0.35">
      <c r="B33" t="s">
        <v>50</v>
      </c>
      <c r="C33" t="s">
        <v>30</v>
      </c>
      <c r="E33" s="2"/>
      <c r="F33" s="2"/>
      <c r="Q33" s="272" t="s">
        <v>39</v>
      </c>
      <c r="R33">
        <v>0</v>
      </c>
      <c r="S33">
        <v>0</v>
      </c>
      <c r="T33">
        <v>30</v>
      </c>
      <c r="U33" s="273" t="s">
        <v>32</v>
      </c>
      <c r="V33" t="s">
        <v>121</v>
      </c>
      <c r="W33" s="362">
        <f t="shared" si="29"/>
        <v>46376</v>
      </c>
      <c r="X33" s="362">
        <f t="shared" si="30"/>
        <v>46366</v>
      </c>
      <c r="Y33">
        <f t="shared" ref="Y33:Y57" si="31">X33-W33</f>
        <v>-10</v>
      </c>
      <c r="AB33" t="s">
        <v>50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60" ht="15.5" x14ac:dyDescent="0.35">
      <c r="B34" t="s">
        <v>47</v>
      </c>
      <c r="C34" t="s">
        <v>79</v>
      </c>
      <c r="E34" s="2"/>
      <c r="F34" s="2"/>
      <c r="P34">
        <v>1</v>
      </c>
      <c r="Q34" s="272" t="s">
        <v>42</v>
      </c>
      <c r="R34">
        <v>0</v>
      </c>
      <c r="S34">
        <v>0</v>
      </c>
      <c r="T34">
        <v>30</v>
      </c>
      <c r="U34" s="273" t="s">
        <v>32</v>
      </c>
      <c r="V34" t="s">
        <v>121</v>
      </c>
      <c r="W34" s="362">
        <f t="shared" si="29"/>
        <v>46376</v>
      </c>
      <c r="X34" s="362">
        <f t="shared" si="30"/>
        <v>46366</v>
      </c>
      <c r="Y34">
        <f t="shared" si="31"/>
        <v>-10</v>
      </c>
      <c r="AB34" t="s">
        <v>47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60" ht="15.5" x14ac:dyDescent="0.35">
      <c r="B35" t="s">
        <v>112</v>
      </c>
      <c r="C35" t="s">
        <v>56</v>
      </c>
      <c r="E35" s="2"/>
      <c r="F35" s="2"/>
      <c r="P35">
        <v>1</v>
      </c>
      <c r="Q35" s="272" t="s">
        <v>47</v>
      </c>
      <c r="R35">
        <v>0</v>
      </c>
      <c r="S35">
        <v>0</v>
      </c>
      <c r="T35">
        <v>30</v>
      </c>
      <c r="U35" s="273" t="s">
        <v>32</v>
      </c>
      <c r="V35" t="s">
        <v>123</v>
      </c>
      <c r="W35" s="362">
        <f t="shared" si="29"/>
        <v>46376</v>
      </c>
      <c r="X35" s="362">
        <f t="shared" si="30"/>
        <v>46366</v>
      </c>
      <c r="Y35">
        <f t="shared" si="31"/>
        <v>-10</v>
      </c>
      <c r="AB35" t="s">
        <v>112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S35" t="s">
        <v>124</v>
      </c>
      <c r="AT35">
        <v>8</v>
      </c>
      <c r="AU35">
        <v>2</v>
      </c>
      <c r="AW35">
        <v>10</v>
      </c>
    </row>
    <row r="36" spans="1:60" ht="15.5" x14ac:dyDescent="0.35">
      <c r="B36" t="s">
        <v>34</v>
      </c>
      <c r="C36" t="s">
        <v>56</v>
      </c>
      <c r="E36" s="2"/>
      <c r="F36" s="2"/>
      <c r="P36">
        <v>1</v>
      </c>
      <c r="Q36" s="272" t="s">
        <v>50</v>
      </c>
      <c r="R36">
        <v>0</v>
      </c>
      <c r="S36">
        <v>0</v>
      </c>
      <c r="T36">
        <v>30</v>
      </c>
      <c r="U36" s="273" t="str">
        <f>U32</f>
        <v>BL</v>
      </c>
      <c r="V36" t="s">
        <v>123</v>
      </c>
      <c r="W36" s="362">
        <f t="shared" si="29"/>
        <v>46376</v>
      </c>
      <c r="X36" s="362">
        <f t="shared" si="30"/>
        <v>46366</v>
      </c>
      <c r="Y36">
        <f t="shared" si="31"/>
        <v>-10</v>
      </c>
      <c r="AB36" t="str">
        <f>Q59</f>
        <v>Daesan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T36" t="s">
        <v>125</v>
      </c>
      <c r="AU36" t="s">
        <v>126</v>
      </c>
      <c r="AX36" t="s">
        <v>127</v>
      </c>
      <c r="AY36" t="s">
        <v>128</v>
      </c>
    </row>
    <row r="37" spans="1:60" ht="15.5" x14ac:dyDescent="0.35">
      <c r="B37" t="s">
        <v>104</v>
      </c>
      <c r="C37" t="s">
        <v>40</v>
      </c>
      <c r="E37" s="2"/>
      <c r="F37" s="2"/>
      <c r="P37">
        <v>1</v>
      </c>
      <c r="Q37" s="272" t="s">
        <v>54</v>
      </c>
      <c r="R37">
        <v>0</v>
      </c>
      <c r="S37">
        <v>0</v>
      </c>
      <c r="T37">
        <v>30</v>
      </c>
      <c r="U37" s="273" t="s">
        <v>32</v>
      </c>
      <c r="V37" t="s">
        <v>123</v>
      </c>
      <c r="W37" s="362">
        <f t="shared" si="29"/>
        <v>46376</v>
      </c>
      <c r="X37" s="362">
        <f t="shared" si="30"/>
        <v>46366</v>
      </c>
      <c r="Y37">
        <f t="shared" si="31"/>
        <v>-10</v>
      </c>
      <c r="AB37" t="s">
        <v>66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S37" s="272" t="s">
        <v>51</v>
      </c>
      <c r="AT37">
        <f>AT38-2</f>
        <v>25</v>
      </c>
      <c r="AU37">
        <f>Control!AT23</f>
        <v>36.5</v>
      </c>
      <c r="AV37">
        <f>SUMPRODUCT(AT37:AU37,$AT$35:$AU$35/SUM($AT$35:$AU$35))</f>
        <v>27.3</v>
      </c>
      <c r="AX37">
        <f>$AX$38</f>
        <v>-9.5</v>
      </c>
      <c r="AY37">
        <f t="shared" ref="AY37:AY42" si="32">AU37</f>
        <v>36.5</v>
      </c>
      <c r="BE37" t="s">
        <v>129</v>
      </c>
      <c r="BF37" t="s">
        <v>8</v>
      </c>
      <c r="BG37" t="s">
        <v>49</v>
      </c>
      <c r="BH37">
        <v>10</v>
      </c>
    </row>
    <row r="38" spans="1:60" ht="15.5" x14ac:dyDescent="0.35">
      <c r="B38" t="s">
        <v>106</v>
      </c>
      <c r="C38" t="s">
        <v>101</v>
      </c>
      <c r="E38" s="2"/>
      <c r="F38" s="2"/>
      <c r="P38">
        <v>1</v>
      </c>
      <c r="Q38" s="272" t="s">
        <v>58</v>
      </c>
      <c r="R38">
        <v>0</v>
      </c>
      <c r="S38">
        <v>0</v>
      </c>
      <c r="T38">
        <v>30</v>
      </c>
      <c r="U38" s="273" t="s">
        <v>32</v>
      </c>
      <c r="V38" t="s">
        <v>123</v>
      </c>
      <c r="W38" s="362">
        <f t="shared" si="29"/>
        <v>46376</v>
      </c>
      <c r="X38" s="362">
        <f t="shared" si="30"/>
        <v>46366</v>
      </c>
      <c r="Y38">
        <f t="shared" si="31"/>
        <v>-10</v>
      </c>
      <c r="AB38" t="s">
        <v>106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S38" s="272" t="s">
        <v>106</v>
      </c>
      <c r="AT38">
        <f>AV21</f>
        <v>27</v>
      </c>
      <c r="AU38">
        <f>Control!AT24</f>
        <v>38.5</v>
      </c>
      <c r="AV38">
        <f t="shared" ref="AV38:AV43" si="33">SUMPRODUCT(AT38:AU38,$AT$35:$AU$35/SUM($AT$35:$AU$35))</f>
        <v>29.3</v>
      </c>
      <c r="AX38">
        <f>BF6</f>
        <v>-9.5</v>
      </c>
      <c r="AY38">
        <f t="shared" si="32"/>
        <v>38.5</v>
      </c>
      <c r="BD38" s="308">
        <v>45734</v>
      </c>
      <c r="BE38" s="308">
        <f>BD38+3</f>
        <v>45737</v>
      </c>
      <c r="BF38">
        <f>54+9</f>
        <v>63</v>
      </c>
      <c r="BG38" s="308">
        <f>BD38+BF38</f>
        <v>45797</v>
      </c>
      <c r="BH38" s="308">
        <f>BG38+10</f>
        <v>45807</v>
      </c>
    </row>
    <row r="39" spans="1:60" ht="15.5" x14ac:dyDescent="0.35">
      <c r="B39" t="s">
        <v>114</v>
      </c>
      <c r="C39" t="s">
        <v>114</v>
      </c>
      <c r="E39" s="2"/>
      <c r="F39" s="2"/>
      <c r="Q39" s="272" t="s">
        <v>69</v>
      </c>
      <c r="R39">
        <v>0</v>
      </c>
      <c r="S39">
        <v>0</v>
      </c>
      <c r="T39">
        <v>30</v>
      </c>
      <c r="U39" s="273" t="s">
        <v>32</v>
      </c>
      <c r="V39" t="s">
        <v>123</v>
      </c>
      <c r="W39" s="362">
        <f t="shared" si="29"/>
        <v>46376</v>
      </c>
      <c r="X39" s="362">
        <f t="shared" si="30"/>
        <v>46366</v>
      </c>
      <c r="Y39">
        <f t="shared" si="31"/>
        <v>-10</v>
      </c>
      <c r="AB39" t="s">
        <v>114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S39" s="272" t="s">
        <v>86</v>
      </c>
      <c r="AT39">
        <f>AT41-3</f>
        <v>14</v>
      </c>
      <c r="AU39">
        <f>Control!AT25</f>
        <v>25.5</v>
      </c>
      <c r="AV39">
        <f t="shared" si="33"/>
        <v>16.3</v>
      </c>
      <c r="AX39">
        <f t="shared" ref="AX39:AX42" si="34">$AX$38</f>
        <v>-9.5</v>
      </c>
      <c r="AY39">
        <f t="shared" si="32"/>
        <v>25.5</v>
      </c>
    </row>
    <row r="40" spans="1:60" ht="15.5" x14ac:dyDescent="0.35">
      <c r="B40" t="s">
        <v>67</v>
      </c>
      <c r="C40" t="s">
        <v>40</v>
      </c>
      <c r="E40" s="2"/>
      <c r="F40" s="2"/>
      <c r="P40">
        <v>1</v>
      </c>
      <c r="Q40" s="272" t="s">
        <v>70</v>
      </c>
      <c r="R40">
        <v>1</v>
      </c>
      <c r="S40">
        <v>0</v>
      </c>
      <c r="T40">
        <v>30</v>
      </c>
      <c r="U40" s="273" t="s">
        <v>32</v>
      </c>
      <c r="W40" s="362">
        <f t="shared" si="29"/>
        <v>46376</v>
      </c>
      <c r="X40" s="362">
        <f t="shared" si="30"/>
        <v>46366</v>
      </c>
      <c r="Y40">
        <f t="shared" si="31"/>
        <v>-10</v>
      </c>
      <c r="AB40" s="269" t="s">
        <v>29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S40" s="272" t="s">
        <v>100</v>
      </c>
      <c r="AT40">
        <f>AT37-1</f>
        <v>24</v>
      </c>
      <c r="AU40">
        <f>Control!AT26</f>
        <v>35.5</v>
      </c>
      <c r="AV40">
        <f t="shared" si="33"/>
        <v>26.300000000000004</v>
      </c>
      <c r="AX40">
        <f t="shared" si="34"/>
        <v>-9.5</v>
      </c>
      <c r="AY40">
        <f t="shared" si="32"/>
        <v>35.5</v>
      </c>
      <c r="BD40" t="s">
        <v>126</v>
      </c>
      <c r="BE40" s="308">
        <f>BD38+30</f>
        <v>45764</v>
      </c>
      <c r="BF40" s="308">
        <f>BF41</f>
        <v>45807</v>
      </c>
      <c r="BG40">
        <f>BF40-BE40</f>
        <v>43</v>
      </c>
    </row>
    <row r="41" spans="1:60" ht="15.5" x14ac:dyDescent="0.35">
      <c r="B41" s="272" t="s">
        <v>54</v>
      </c>
      <c r="C41" t="s">
        <v>79</v>
      </c>
      <c r="E41" s="2"/>
      <c r="F41" s="2"/>
      <c r="G41" t="s">
        <v>25</v>
      </c>
      <c r="H41">
        <v>3</v>
      </c>
      <c r="I41">
        <v>3</v>
      </c>
      <c r="J41">
        <f>I41*H41</f>
        <v>9</v>
      </c>
      <c r="K41">
        <f>J41/3*4</f>
        <v>12</v>
      </c>
      <c r="P41">
        <v>1</v>
      </c>
      <c r="Q41" s="272" t="s">
        <v>72</v>
      </c>
      <c r="R41">
        <v>0</v>
      </c>
      <c r="S41">
        <v>0</v>
      </c>
      <c r="T41">
        <v>30</v>
      </c>
      <c r="U41" s="273" t="s">
        <v>32</v>
      </c>
      <c r="W41" s="362">
        <f t="shared" si="29"/>
        <v>46376</v>
      </c>
      <c r="X41" s="362">
        <f t="shared" si="30"/>
        <v>46366</v>
      </c>
      <c r="Y41">
        <f t="shared" si="31"/>
        <v>-10</v>
      </c>
      <c r="AB41" s="272" t="s">
        <v>39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S41" s="274" t="s">
        <v>114</v>
      </c>
      <c r="AT41">
        <f>AT38-10</f>
        <v>17</v>
      </c>
      <c r="AU41">
        <f>Control!AT27</f>
        <v>28.5</v>
      </c>
      <c r="AV41">
        <f t="shared" si="33"/>
        <v>19.3</v>
      </c>
      <c r="AX41">
        <f t="shared" si="34"/>
        <v>-9.5</v>
      </c>
      <c r="AY41">
        <f t="shared" si="32"/>
        <v>28.5</v>
      </c>
      <c r="BD41" t="s">
        <v>12</v>
      </c>
      <c r="BE41" s="308">
        <v>45767</v>
      </c>
      <c r="BF41" s="308">
        <f>BH38</f>
        <v>45807</v>
      </c>
      <c r="BG41">
        <f>BF41-BE41</f>
        <v>40</v>
      </c>
    </row>
    <row r="42" spans="1:60" ht="15.5" x14ac:dyDescent="0.35">
      <c r="B42" s="272" t="s">
        <v>58</v>
      </c>
      <c r="C42" t="s">
        <v>79</v>
      </c>
      <c r="E42" s="2"/>
      <c r="F42" s="2"/>
      <c r="G42" t="s">
        <v>24</v>
      </c>
      <c r="H42">
        <v>1</v>
      </c>
      <c r="I42">
        <v>3</v>
      </c>
      <c r="J42">
        <f t="shared" ref="J42:J44" si="35">I42*H42</f>
        <v>3</v>
      </c>
      <c r="K42">
        <f t="shared" ref="K42:K43" si="36">J42/3*4</f>
        <v>4</v>
      </c>
      <c r="P42">
        <v>1</v>
      </c>
      <c r="Q42" s="272" t="s">
        <v>75</v>
      </c>
      <c r="R42">
        <v>0</v>
      </c>
      <c r="S42">
        <v>0</v>
      </c>
      <c r="T42">
        <v>30</v>
      </c>
      <c r="U42" s="273" t="s">
        <v>32</v>
      </c>
      <c r="W42" s="362">
        <f t="shared" si="29"/>
        <v>46376</v>
      </c>
      <c r="X42" s="362">
        <f t="shared" si="30"/>
        <v>46366</v>
      </c>
      <c r="Y42">
        <f t="shared" si="31"/>
        <v>-10</v>
      </c>
      <c r="AB42" s="272" t="s">
        <v>42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S42" s="272" t="s">
        <v>43</v>
      </c>
      <c r="AT42">
        <f>AT38-3-5</f>
        <v>19</v>
      </c>
      <c r="AU42" s="78">
        <f>Control!AT28-5</f>
        <v>30.5</v>
      </c>
      <c r="AV42">
        <f t="shared" si="33"/>
        <v>21.3</v>
      </c>
      <c r="AX42">
        <f t="shared" si="34"/>
        <v>-9.5</v>
      </c>
      <c r="AY42">
        <f t="shared" si="32"/>
        <v>30.5</v>
      </c>
    </row>
    <row r="43" spans="1:60" x14ac:dyDescent="0.35">
      <c r="B43" s="272" t="s">
        <v>69</v>
      </c>
      <c r="C43" t="s">
        <v>79</v>
      </c>
      <c r="G43" t="s">
        <v>23</v>
      </c>
      <c r="H43">
        <v>0</v>
      </c>
      <c r="I43">
        <v>3</v>
      </c>
      <c r="J43">
        <f t="shared" si="35"/>
        <v>0</v>
      </c>
      <c r="K43">
        <f t="shared" si="36"/>
        <v>0</v>
      </c>
      <c r="P43">
        <v>1</v>
      </c>
      <c r="Q43" s="272" t="s">
        <v>78</v>
      </c>
      <c r="R43">
        <v>0</v>
      </c>
      <c r="S43">
        <v>0</v>
      </c>
      <c r="T43">
        <v>30</v>
      </c>
      <c r="U43" s="273" t="s">
        <v>32</v>
      </c>
      <c r="W43" s="362">
        <f t="shared" si="29"/>
        <v>46376</v>
      </c>
      <c r="X43" s="362">
        <f t="shared" si="30"/>
        <v>46366</v>
      </c>
      <c r="Y43">
        <f t="shared" si="31"/>
        <v>-10</v>
      </c>
      <c r="AB43" s="272" t="s">
        <v>47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S43" s="269" t="s">
        <v>29</v>
      </c>
      <c r="AT43" s="195">
        <f t="shared" ref="AT43:AT68" si="37">Y32</f>
        <v>-10</v>
      </c>
      <c r="AU43">
        <v>0</v>
      </c>
      <c r="AV43">
        <f t="shared" si="33"/>
        <v>-8</v>
      </c>
      <c r="AX43" s="76">
        <f t="shared" ref="AX43:AY69" si="38">AT43</f>
        <v>-10</v>
      </c>
      <c r="AY43" s="76">
        <f t="shared" si="38"/>
        <v>0</v>
      </c>
    </row>
    <row r="44" spans="1:60" x14ac:dyDescent="0.35">
      <c r="A44">
        <v>1</v>
      </c>
      <c r="B44" s="272" t="s">
        <v>70</v>
      </c>
      <c r="C44" t="s">
        <v>79</v>
      </c>
      <c r="G44" t="s">
        <v>26</v>
      </c>
      <c r="H44">
        <v>1</v>
      </c>
      <c r="I44">
        <v>3</v>
      </c>
      <c r="J44">
        <f t="shared" si="35"/>
        <v>3</v>
      </c>
      <c r="K44">
        <v>3</v>
      </c>
      <c r="P44">
        <v>1</v>
      </c>
      <c r="Q44" s="272" t="s">
        <v>82</v>
      </c>
      <c r="R44">
        <v>1</v>
      </c>
      <c r="S44">
        <v>0</v>
      </c>
      <c r="T44">
        <v>30</v>
      </c>
      <c r="U44" s="273" t="s">
        <v>32</v>
      </c>
      <c r="W44" s="362">
        <f t="shared" si="29"/>
        <v>46376</v>
      </c>
      <c r="X44" s="362">
        <f t="shared" si="30"/>
        <v>46366</v>
      </c>
      <c r="Y44">
        <f t="shared" si="31"/>
        <v>-10</v>
      </c>
      <c r="AB44" s="272" t="s">
        <v>50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S44" s="272" t="s">
        <v>39</v>
      </c>
      <c r="AT44" s="195">
        <f t="shared" si="37"/>
        <v>-10</v>
      </c>
      <c r="AU44">
        <v>0</v>
      </c>
      <c r="AV44">
        <f t="shared" ref="AV44:AV69" si="39">SUMPRODUCT(AT44:AU44,$AT$35:$AU$35/SUM($AT$35:$AU$35))</f>
        <v>-8</v>
      </c>
      <c r="AX44" s="76">
        <f t="shared" si="38"/>
        <v>-10</v>
      </c>
      <c r="AY44" s="76">
        <f t="shared" si="38"/>
        <v>0</v>
      </c>
    </row>
    <row r="45" spans="1:60" x14ac:dyDescent="0.35">
      <c r="A45">
        <v>2</v>
      </c>
      <c r="B45" s="272" t="s">
        <v>72</v>
      </c>
      <c r="C45" t="s">
        <v>79</v>
      </c>
      <c r="G45" t="s">
        <v>27</v>
      </c>
      <c r="H45">
        <v>1</v>
      </c>
      <c r="I45">
        <v>3</v>
      </c>
      <c r="J45">
        <f t="shared" ref="J45" si="40">I45*H45</f>
        <v>3</v>
      </c>
      <c r="K45">
        <v>3</v>
      </c>
      <c r="P45">
        <v>1</v>
      </c>
      <c r="Q45" s="272" t="s">
        <v>85</v>
      </c>
      <c r="R45">
        <v>0</v>
      </c>
      <c r="S45">
        <v>0</v>
      </c>
      <c r="T45">
        <v>30</v>
      </c>
      <c r="U45" s="273" t="s">
        <v>32</v>
      </c>
      <c r="W45" s="362">
        <f t="shared" si="29"/>
        <v>46376</v>
      </c>
      <c r="X45" s="362">
        <f t="shared" si="30"/>
        <v>46366</v>
      </c>
      <c r="Y45">
        <f t="shared" si="31"/>
        <v>-10</v>
      </c>
      <c r="AB45" s="272" t="s">
        <v>54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S45" s="272" t="s">
        <v>42</v>
      </c>
      <c r="AT45" s="195">
        <f t="shared" si="37"/>
        <v>-10</v>
      </c>
      <c r="AU45">
        <v>0</v>
      </c>
      <c r="AV45">
        <f t="shared" si="39"/>
        <v>-8</v>
      </c>
      <c r="AX45" s="76">
        <f t="shared" si="38"/>
        <v>-10</v>
      </c>
      <c r="AY45" s="76">
        <f t="shared" si="38"/>
        <v>0</v>
      </c>
    </row>
    <row r="46" spans="1:60" x14ac:dyDescent="0.35">
      <c r="A46">
        <v>3</v>
      </c>
      <c r="B46" s="272" t="s">
        <v>75</v>
      </c>
      <c r="C46" t="s">
        <v>79</v>
      </c>
      <c r="P46">
        <v>1</v>
      </c>
      <c r="Q46" s="272" t="s">
        <v>88</v>
      </c>
      <c r="R46">
        <v>0</v>
      </c>
      <c r="S46">
        <v>0</v>
      </c>
      <c r="T46">
        <v>30</v>
      </c>
      <c r="U46" s="273" t="s">
        <v>32</v>
      </c>
      <c r="W46" s="362">
        <f t="shared" si="29"/>
        <v>46376</v>
      </c>
      <c r="X46" s="362">
        <f t="shared" si="30"/>
        <v>46366</v>
      </c>
      <c r="Y46">
        <f t="shared" si="31"/>
        <v>-10</v>
      </c>
      <c r="AB46" s="272" t="s">
        <v>58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S46" s="272" t="s">
        <v>47</v>
      </c>
      <c r="AT46" s="195">
        <f t="shared" si="37"/>
        <v>-10</v>
      </c>
      <c r="AU46">
        <v>0</v>
      </c>
      <c r="AV46">
        <f t="shared" si="39"/>
        <v>-8</v>
      </c>
      <c r="AX46" s="76">
        <f t="shared" si="38"/>
        <v>-10</v>
      </c>
      <c r="AY46" s="76">
        <f t="shared" si="38"/>
        <v>0</v>
      </c>
    </row>
    <row r="47" spans="1:60" x14ac:dyDescent="0.35">
      <c r="B47" s="272" t="s">
        <v>78</v>
      </c>
      <c r="C47" t="s">
        <v>79</v>
      </c>
      <c r="P47">
        <v>1</v>
      </c>
      <c r="Q47" s="272" t="s">
        <v>90</v>
      </c>
      <c r="R47">
        <v>0</v>
      </c>
      <c r="S47">
        <v>0</v>
      </c>
      <c r="T47">
        <v>30</v>
      </c>
      <c r="U47" s="273" t="s">
        <v>32</v>
      </c>
      <c r="W47" s="362">
        <f t="shared" si="29"/>
        <v>46376</v>
      </c>
      <c r="X47" s="362">
        <f t="shared" si="30"/>
        <v>46366</v>
      </c>
      <c r="Y47">
        <f t="shared" si="31"/>
        <v>-10</v>
      </c>
      <c r="AB47" s="272" t="s">
        <v>69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S47" s="272" t="s">
        <v>50</v>
      </c>
      <c r="AT47" s="195">
        <f t="shared" si="37"/>
        <v>-10</v>
      </c>
      <c r="AU47">
        <v>0</v>
      </c>
      <c r="AV47">
        <f t="shared" si="39"/>
        <v>-8</v>
      </c>
      <c r="AX47" s="76">
        <f t="shared" si="38"/>
        <v>-10</v>
      </c>
      <c r="AY47" s="76">
        <f t="shared" si="38"/>
        <v>0</v>
      </c>
    </row>
    <row r="48" spans="1:60" x14ac:dyDescent="0.35">
      <c r="A48">
        <v>4</v>
      </c>
      <c r="B48" s="272" t="s">
        <v>82</v>
      </c>
      <c r="C48" t="s">
        <v>79</v>
      </c>
      <c r="P48">
        <v>1</v>
      </c>
      <c r="Q48" s="272" t="s">
        <v>92</v>
      </c>
      <c r="R48">
        <v>0</v>
      </c>
      <c r="S48">
        <v>0</v>
      </c>
      <c r="T48">
        <v>30</v>
      </c>
      <c r="U48" s="273" t="s">
        <v>32</v>
      </c>
      <c r="W48" s="362">
        <f t="shared" si="29"/>
        <v>46376</v>
      </c>
      <c r="X48" s="362">
        <f t="shared" si="30"/>
        <v>46366</v>
      </c>
      <c r="Y48">
        <f t="shared" si="31"/>
        <v>-10</v>
      </c>
      <c r="AB48" s="272" t="s">
        <v>70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S48" s="272" t="s">
        <v>54</v>
      </c>
      <c r="AT48" s="195">
        <f t="shared" si="37"/>
        <v>-10</v>
      </c>
      <c r="AU48">
        <v>0</v>
      </c>
      <c r="AV48">
        <f t="shared" si="39"/>
        <v>-8</v>
      </c>
      <c r="AX48" s="76">
        <f t="shared" si="38"/>
        <v>-10</v>
      </c>
      <c r="AY48" s="76">
        <f t="shared" si="38"/>
        <v>0</v>
      </c>
    </row>
    <row r="49" spans="1:51" x14ac:dyDescent="0.35">
      <c r="B49" s="272" t="s">
        <v>85</v>
      </c>
      <c r="C49" t="s">
        <v>79</v>
      </c>
      <c r="P49">
        <v>1</v>
      </c>
      <c r="Q49" s="272" t="s">
        <v>96</v>
      </c>
      <c r="R49">
        <v>0</v>
      </c>
      <c r="S49">
        <v>0</v>
      </c>
      <c r="T49">
        <v>30</v>
      </c>
      <c r="U49" s="273" t="s">
        <v>32</v>
      </c>
      <c r="W49" s="362">
        <f t="shared" si="29"/>
        <v>46376</v>
      </c>
      <c r="X49" s="362">
        <f t="shared" si="30"/>
        <v>46366</v>
      </c>
      <c r="Y49">
        <f t="shared" si="31"/>
        <v>-10</v>
      </c>
      <c r="AB49" s="272" t="s">
        <v>72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S49" s="272" t="s">
        <v>58</v>
      </c>
      <c r="AT49" s="195">
        <f t="shared" si="37"/>
        <v>-10</v>
      </c>
      <c r="AU49">
        <v>0</v>
      </c>
      <c r="AV49">
        <f t="shared" si="39"/>
        <v>-8</v>
      </c>
      <c r="AX49" s="76">
        <f t="shared" si="38"/>
        <v>-10</v>
      </c>
      <c r="AY49" s="76">
        <f t="shared" si="38"/>
        <v>0</v>
      </c>
    </row>
    <row r="50" spans="1:51" x14ac:dyDescent="0.35">
      <c r="A50">
        <v>5</v>
      </c>
      <c r="B50" s="272" t="s">
        <v>88</v>
      </c>
      <c r="C50" t="s">
        <v>79</v>
      </c>
      <c r="P50">
        <v>1</v>
      </c>
      <c r="Q50" s="272" t="s">
        <v>97</v>
      </c>
      <c r="R50">
        <v>0</v>
      </c>
      <c r="S50">
        <v>0</v>
      </c>
      <c r="T50">
        <v>30</v>
      </c>
      <c r="U50" s="273" t="s">
        <v>32</v>
      </c>
      <c r="W50" s="362">
        <f t="shared" si="29"/>
        <v>46376</v>
      </c>
      <c r="X50" s="362">
        <f t="shared" si="30"/>
        <v>46366</v>
      </c>
      <c r="Y50">
        <f t="shared" si="31"/>
        <v>-10</v>
      </c>
      <c r="AB50" s="272" t="s">
        <v>75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S50" s="272" t="s">
        <v>69</v>
      </c>
      <c r="AT50" s="195">
        <f t="shared" si="37"/>
        <v>-10</v>
      </c>
      <c r="AU50">
        <v>0</v>
      </c>
      <c r="AV50">
        <f t="shared" si="39"/>
        <v>-8</v>
      </c>
      <c r="AX50" s="76">
        <f t="shared" si="38"/>
        <v>-10</v>
      </c>
      <c r="AY50" s="76">
        <f t="shared" si="38"/>
        <v>0</v>
      </c>
    </row>
    <row r="51" spans="1:51" x14ac:dyDescent="0.35">
      <c r="A51">
        <v>6</v>
      </c>
      <c r="B51" s="272" t="s">
        <v>90</v>
      </c>
      <c r="C51" t="s">
        <v>79</v>
      </c>
      <c r="P51">
        <v>1</v>
      </c>
      <c r="Q51" s="272" t="s">
        <v>99</v>
      </c>
      <c r="R51">
        <v>0</v>
      </c>
      <c r="S51">
        <v>0</v>
      </c>
      <c r="T51">
        <v>30</v>
      </c>
      <c r="U51" s="273" t="s">
        <v>32</v>
      </c>
      <c r="W51" s="362">
        <f t="shared" si="29"/>
        <v>46376</v>
      </c>
      <c r="X51" s="362">
        <f t="shared" si="30"/>
        <v>46366</v>
      </c>
      <c r="Y51">
        <f t="shared" si="31"/>
        <v>-10</v>
      </c>
      <c r="AB51" s="272" t="s">
        <v>78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S51" s="272" t="s">
        <v>70</v>
      </c>
      <c r="AT51" s="195">
        <f t="shared" si="37"/>
        <v>-10</v>
      </c>
      <c r="AU51">
        <v>0</v>
      </c>
      <c r="AV51">
        <f t="shared" si="39"/>
        <v>-8</v>
      </c>
      <c r="AX51" s="76">
        <f t="shared" si="38"/>
        <v>-10</v>
      </c>
      <c r="AY51" s="76">
        <f t="shared" si="38"/>
        <v>0</v>
      </c>
    </row>
    <row r="52" spans="1:51" x14ac:dyDescent="0.35">
      <c r="B52" s="272" t="s">
        <v>130</v>
      </c>
      <c r="C52" t="s">
        <v>79</v>
      </c>
      <c r="P52">
        <v>1</v>
      </c>
      <c r="Q52" s="272" t="s">
        <v>105</v>
      </c>
      <c r="R52">
        <v>0</v>
      </c>
      <c r="S52">
        <v>0</v>
      </c>
      <c r="T52">
        <v>30</v>
      </c>
      <c r="U52" s="273" t="s">
        <v>32</v>
      </c>
      <c r="W52" s="362">
        <f t="shared" si="29"/>
        <v>46376</v>
      </c>
      <c r="X52" s="362">
        <f t="shared" si="30"/>
        <v>46366</v>
      </c>
      <c r="Y52">
        <f t="shared" si="31"/>
        <v>-10</v>
      </c>
      <c r="AB52" s="272" t="s">
        <v>82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S52" s="272" t="s">
        <v>72</v>
      </c>
      <c r="AT52" s="195">
        <f t="shared" si="37"/>
        <v>-10</v>
      </c>
      <c r="AU52">
        <v>0</v>
      </c>
      <c r="AV52">
        <f t="shared" si="39"/>
        <v>-8</v>
      </c>
      <c r="AX52" s="76">
        <f t="shared" si="38"/>
        <v>-10</v>
      </c>
      <c r="AY52" s="76">
        <f t="shared" si="38"/>
        <v>0</v>
      </c>
    </row>
    <row r="53" spans="1:51" x14ac:dyDescent="0.35">
      <c r="A53">
        <v>7</v>
      </c>
      <c r="B53" s="272" t="s">
        <v>96</v>
      </c>
      <c r="C53" t="s">
        <v>79</v>
      </c>
      <c r="P53">
        <v>1</v>
      </c>
      <c r="Q53" s="272" t="s">
        <v>107</v>
      </c>
      <c r="R53">
        <v>0</v>
      </c>
      <c r="S53">
        <v>0</v>
      </c>
      <c r="T53">
        <v>30</v>
      </c>
      <c r="U53" s="273" t="s">
        <v>32</v>
      </c>
      <c r="W53" s="362">
        <f t="shared" si="29"/>
        <v>46376</v>
      </c>
      <c r="X53" s="362">
        <f t="shared" si="30"/>
        <v>46366</v>
      </c>
      <c r="Y53">
        <f t="shared" si="31"/>
        <v>-10</v>
      </c>
      <c r="AB53" s="272" t="s">
        <v>85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S53" s="272" t="s">
        <v>75</v>
      </c>
      <c r="AT53" s="195">
        <f t="shared" si="37"/>
        <v>-10</v>
      </c>
      <c r="AU53">
        <v>0</v>
      </c>
      <c r="AV53">
        <f t="shared" si="39"/>
        <v>-8</v>
      </c>
      <c r="AX53" s="76">
        <f t="shared" si="38"/>
        <v>-10</v>
      </c>
      <c r="AY53" s="76">
        <f t="shared" si="38"/>
        <v>0</v>
      </c>
    </row>
    <row r="54" spans="1:51" x14ac:dyDescent="0.35">
      <c r="A54">
        <v>8</v>
      </c>
      <c r="B54" s="272" t="s">
        <v>97</v>
      </c>
      <c r="C54" t="s">
        <v>79</v>
      </c>
      <c r="P54">
        <v>1</v>
      </c>
      <c r="Q54" s="272" t="s">
        <v>109</v>
      </c>
      <c r="R54">
        <v>0</v>
      </c>
      <c r="S54">
        <v>0</v>
      </c>
      <c r="T54">
        <v>30</v>
      </c>
      <c r="U54" s="273" t="s">
        <v>32</v>
      </c>
      <c r="W54" s="362">
        <f t="shared" si="29"/>
        <v>46376</v>
      </c>
      <c r="X54" s="362">
        <f t="shared" si="30"/>
        <v>46366</v>
      </c>
      <c r="Y54">
        <f t="shared" si="31"/>
        <v>-10</v>
      </c>
      <c r="AB54" s="272" t="s">
        <v>88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S54" s="272" t="s">
        <v>78</v>
      </c>
      <c r="AT54" s="195">
        <f t="shared" si="37"/>
        <v>-10</v>
      </c>
      <c r="AU54">
        <v>0</v>
      </c>
      <c r="AV54">
        <f t="shared" si="39"/>
        <v>-8</v>
      </c>
      <c r="AX54" s="76">
        <f t="shared" si="38"/>
        <v>-10</v>
      </c>
      <c r="AY54" s="76">
        <f t="shared" si="38"/>
        <v>0</v>
      </c>
    </row>
    <row r="55" spans="1:51" x14ac:dyDescent="0.35">
      <c r="A55">
        <v>9</v>
      </c>
      <c r="B55" s="272" t="s">
        <v>99</v>
      </c>
      <c r="C55" t="s">
        <v>79</v>
      </c>
      <c r="P55">
        <v>1</v>
      </c>
      <c r="Q55" s="272" t="s">
        <v>113</v>
      </c>
      <c r="R55">
        <v>0</v>
      </c>
      <c r="S55">
        <v>0</v>
      </c>
      <c r="T55">
        <v>30</v>
      </c>
      <c r="U55" s="273" t="s">
        <v>32</v>
      </c>
      <c r="W55" s="362">
        <f t="shared" si="29"/>
        <v>46376</v>
      </c>
      <c r="X55" s="362">
        <f t="shared" si="30"/>
        <v>46366</v>
      </c>
      <c r="Y55">
        <f t="shared" si="31"/>
        <v>-10</v>
      </c>
      <c r="AB55" s="272" t="s">
        <v>90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S55" s="272" t="s">
        <v>82</v>
      </c>
      <c r="AT55" s="195">
        <f t="shared" si="37"/>
        <v>-10</v>
      </c>
      <c r="AU55">
        <v>0</v>
      </c>
      <c r="AV55">
        <f t="shared" si="39"/>
        <v>-8</v>
      </c>
      <c r="AX55" s="76">
        <f t="shared" si="38"/>
        <v>-10</v>
      </c>
      <c r="AY55" s="76">
        <f t="shared" si="38"/>
        <v>0</v>
      </c>
    </row>
    <row r="56" spans="1:51" x14ac:dyDescent="0.35">
      <c r="B56" s="272" t="s">
        <v>105</v>
      </c>
      <c r="C56" t="s">
        <v>79</v>
      </c>
      <c r="P56">
        <v>1</v>
      </c>
      <c r="Q56" s="272" t="s">
        <v>131</v>
      </c>
      <c r="R56">
        <v>0</v>
      </c>
      <c r="S56">
        <v>0</v>
      </c>
      <c r="T56">
        <v>30</v>
      </c>
      <c r="U56" s="273" t="s">
        <v>32</v>
      </c>
      <c r="W56" s="362">
        <f>$W$7</f>
        <v>46376</v>
      </c>
      <c r="X56" s="362">
        <f t="shared" si="30"/>
        <v>46366</v>
      </c>
      <c r="Y56">
        <f t="shared" si="31"/>
        <v>-10</v>
      </c>
      <c r="AB56" s="272" t="s">
        <v>130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S56" s="272" t="s">
        <v>85</v>
      </c>
      <c r="AT56" s="195">
        <f t="shared" si="37"/>
        <v>-10</v>
      </c>
      <c r="AU56">
        <v>0</v>
      </c>
      <c r="AV56">
        <f t="shared" si="39"/>
        <v>-8</v>
      </c>
      <c r="AX56" s="76">
        <f t="shared" si="38"/>
        <v>-10</v>
      </c>
      <c r="AY56" s="76">
        <f t="shared" si="38"/>
        <v>0</v>
      </c>
    </row>
    <row r="57" spans="1:51" x14ac:dyDescent="0.35">
      <c r="B57" s="272" t="s">
        <v>107</v>
      </c>
      <c r="C57" t="s">
        <v>79</v>
      </c>
      <c r="P57" s="275">
        <v>1</v>
      </c>
      <c r="Q57" s="274" t="s">
        <v>119</v>
      </c>
      <c r="R57" s="275">
        <v>0</v>
      </c>
      <c r="S57" s="275">
        <v>0</v>
      </c>
      <c r="T57" s="275">
        <v>44</v>
      </c>
      <c r="U57" s="276" t="s">
        <v>32</v>
      </c>
      <c r="W57" s="362">
        <f t="shared" si="29"/>
        <v>46376</v>
      </c>
      <c r="X57" s="362">
        <f>$X$7</f>
        <v>46366</v>
      </c>
      <c r="Y57">
        <f t="shared" si="31"/>
        <v>-10</v>
      </c>
      <c r="AB57" s="272" t="s">
        <v>96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S57" s="272" t="s">
        <v>88</v>
      </c>
      <c r="AT57" s="195">
        <f t="shared" si="37"/>
        <v>-10</v>
      </c>
      <c r="AU57">
        <v>0</v>
      </c>
      <c r="AV57">
        <f t="shared" si="39"/>
        <v>-8</v>
      </c>
      <c r="AX57" s="76">
        <f t="shared" si="38"/>
        <v>-10</v>
      </c>
      <c r="AY57" s="76">
        <f t="shared" si="38"/>
        <v>0</v>
      </c>
    </row>
    <row r="58" spans="1:51" x14ac:dyDescent="0.35">
      <c r="B58" s="272" t="s">
        <v>109</v>
      </c>
      <c r="C58" t="s">
        <v>79</v>
      </c>
      <c r="Q58" s="272" t="s">
        <v>51</v>
      </c>
      <c r="R58">
        <v>1</v>
      </c>
      <c r="S58">
        <v>0</v>
      </c>
      <c r="T58">
        <v>10</v>
      </c>
      <c r="U58" s="273" t="s">
        <v>49</v>
      </c>
      <c r="W58" s="362">
        <f>Control!$C$101</f>
        <v>46376</v>
      </c>
      <c r="X58" s="362">
        <f>X59-2</f>
        <v>46403</v>
      </c>
      <c r="Y58">
        <f>X58-W58</f>
        <v>27</v>
      </c>
      <c r="AB58" s="272" t="s">
        <v>97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S58" s="272" t="s">
        <v>90</v>
      </c>
      <c r="AT58" s="195">
        <f t="shared" si="37"/>
        <v>-10</v>
      </c>
      <c r="AU58">
        <v>0</v>
      </c>
      <c r="AV58">
        <f t="shared" si="39"/>
        <v>-8</v>
      </c>
      <c r="AX58" s="76">
        <f t="shared" si="38"/>
        <v>-10</v>
      </c>
      <c r="AY58" s="76">
        <f t="shared" si="38"/>
        <v>0</v>
      </c>
    </row>
    <row r="59" spans="1:51" x14ac:dyDescent="0.35">
      <c r="B59" s="272" t="s">
        <v>113</v>
      </c>
      <c r="C59" t="s">
        <v>79</v>
      </c>
      <c r="Q59" s="272" t="s">
        <v>106</v>
      </c>
      <c r="R59">
        <v>1</v>
      </c>
      <c r="S59">
        <v>0</v>
      </c>
      <c r="T59">
        <v>10</v>
      </c>
      <c r="U59" s="273" t="s">
        <v>49</v>
      </c>
      <c r="W59" s="362">
        <f>Control!$C$101</f>
        <v>46376</v>
      </c>
      <c r="X59" s="781">
        <f>WTI!A28+WTI!BC28+T59+WTI!D43</f>
        <v>46405</v>
      </c>
      <c r="Y59">
        <f>X59-W59</f>
        <v>29</v>
      </c>
      <c r="AB59" s="272" t="s">
        <v>99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S59" s="272" t="s">
        <v>92</v>
      </c>
      <c r="AT59" s="195">
        <f t="shared" si="37"/>
        <v>-10</v>
      </c>
      <c r="AU59">
        <v>0</v>
      </c>
      <c r="AV59">
        <f t="shared" si="39"/>
        <v>-8</v>
      </c>
      <c r="AX59" s="76">
        <f t="shared" si="38"/>
        <v>-10</v>
      </c>
      <c r="AY59" s="76">
        <f t="shared" si="38"/>
        <v>0</v>
      </c>
    </row>
    <row r="60" spans="1:51" x14ac:dyDescent="0.35">
      <c r="B60" s="272" t="s">
        <v>116</v>
      </c>
      <c r="C60" t="s">
        <v>79</v>
      </c>
      <c r="Q60" s="272" t="s">
        <v>86</v>
      </c>
      <c r="R60">
        <v>1</v>
      </c>
      <c r="S60">
        <v>0</v>
      </c>
      <c r="T60">
        <v>10</v>
      </c>
      <c r="U60" s="273" t="s">
        <v>49</v>
      </c>
      <c r="W60" s="362">
        <f>Control!$C$101</f>
        <v>46376</v>
      </c>
      <c r="X60" s="362">
        <f>X59-13</f>
        <v>46392</v>
      </c>
      <c r="Y60">
        <f>X60-W60</f>
        <v>16</v>
      </c>
      <c r="AB60" s="272" t="s">
        <v>105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S60" s="272" t="s">
        <v>96</v>
      </c>
      <c r="AT60" s="195">
        <f t="shared" si="37"/>
        <v>-10</v>
      </c>
      <c r="AU60">
        <v>0</v>
      </c>
      <c r="AV60">
        <f t="shared" si="39"/>
        <v>-8</v>
      </c>
      <c r="AX60" s="76">
        <f t="shared" si="38"/>
        <v>-10</v>
      </c>
      <c r="AY60" s="76">
        <f t="shared" si="38"/>
        <v>0</v>
      </c>
    </row>
    <row r="61" spans="1:51" x14ac:dyDescent="0.35">
      <c r="B61" s="272" t="s">
        <v>132</v>
      </c>
      <c r="C61" t="s">
        <v>79</v>
      </c>
      <c r="Q61" s="272" t="s">
        <v>100</v>
      </c>
      <c r="R61">
        <v>1</v>
      </c>
      <c r="S61">
        <v>0</v>
      </c>
      <c r="T61">
        <v>10</v>
      </c>
      <c r="U61" s="273" t="s">
        <v>49</v>
      </c>
      <c r="W61" s="362">
        <f>Control!$C$101</f>
        <v>46376</v>
      </c>
      <c r="X61" s="362">
        <f>X59-3</f>
        <v>46402</v>
      </c>
      <c r="Y61">
        <f>X61-W61</f>
        <v>26</v>
      </c>
      <c r="AB61" s="272" t="s">
        <v>107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S61" s="272" t="s">
        <v>97</v>
      </c>
      <c r="AT61" s="195">
        <f t="shared" si="37"/>
        <v>-10</v>
      </c>
      <c r="AU61">
        <v>0</v>
      </c>
      <c r="AV61">
        <f t="shared" si="39"/>
        <v>-8</v>
      </c>
      <c r="AX61" s="76">
        <f t="shared" si="38"/>
        <v>-10</v>
      </c>
      <c r="AY61" s="76">
        <f t="shared" si="38"/>
        <v>0</v>
      </c>
    </row>
    <row r="62" spans="1:51" x14ac:dyDescent="0.35">
      <c r="B62" s="272" t="s">
        <v>80</v>
      </c>
      <c r="C62" t="s">
        <v>40</v>
      </c>
      <c r="Q62" s="274" t="s">
        <v>114</v>
      </c>
      <c r="R62" s="275">
        <v>1</v>
      </c>
      <c r="S62" s="275">
        <v>0</v>
      </c>
      <c r="T62" s="275">
        <v>10</v>
      </c>
      <c r="U62" s="276" t="s">
        <v>49</v>
      </c>
      <c r="W62" s="362">
        <f>Control!$C$101</f>
        <v>46376</v>
      </c>
      <c r="X62" s="362">
        <f>X59-10</f>
        <v>46395</v>
      </c>
      <c r="Y62">
        <f>X62-W62</f>
        <v>19</v>
      </c>
      <c r="AB62" s="272" t="s">
        <v>109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S62" s="272" t="s">
        <v>99</v>
      </c>
      <c r="AT62" s="195">
        <f t="shared" si="37"/>
        <v>-10</v>
      </c>
      <c r="AU62">
        <v>0</v>
      </c>
      <c r="AV62">
        <f t="shared" si="39"/>
        <v>-8</v>
      </c>
      <c r="AX62" s="76">
        <f t="shared" si="38"/>
        <v>-10</v>
      </c>
      <c r="AY62" s="76">
        <f t="shared" si="38"/>
        <v>0</v>
      </c>
    </row>
    <row r="63" spans="1:51" x14ac:dyDescent="0.35">
      <c r="B63" s="272" t="s">
        <v>92</v>
      </c>
      <c r="C63" t="s">
        <v>79</v>
      </c>
      <c r="AB63" s="272" t="s">
        <v>113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S63" s="272" t="s">
        <v>105</v>
      </c>
      <c r="AT63" s="195">
        <f t="shared" si="37"/>
        <v>-10</v>
      </c>
      <c r="AU63">
        <v>0</v>
      </c>
      <c r="AV63">
        <f t="shared" si="39"/>
        <v>-8</v>
      </c>
      <c r="AX63" s="76">
        <f t="shared" si="38"/>
        <v>-10</v>
      </c>
      <c r="AY63" s="76">
        <f t="shared" si="38"/>
        <v>0</v>
      </c>
    </row>
    <row r="64" spans="1:51" x14ac:dyDescent="0.35">
      <c r="B64" s="272" t="s">
        <v>83</v>
      </c>
      <c r="C64" t="s">
        <v>79</v>
      </c>
      <c r="W64" s="362"/>
      <c r="X64" s="362"/>
      <c r="AB64" s="272" t="s">
        <v>116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S64" s="272" t="s">
        <v>107</v>
      </c>
      <c r="AT64" s="195">
        <f t="shared" si="37"/>
        <v>-10</v>
      </c>
      <c r="AU64">
        <v>0</v>
      </c>
      <c r="AV64">
        <f t="shared" si="39"/>
        <v>-8</v>
      </c>
      <c r="AX64" s="76">
        <f t="shared" si="38"/>
        <v>-10</v>
      </c>
      <c r="AY64" s="76">
        <f t="shared" si="38"/>
        <v>0</v>
      </c>
    </row>
    <row r="65" spans="2:51" x14ac:dyDescent="0.35">
      <c r="AB65" s="274" t="s">
        <v>132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S65" s="272" t="s">
        <v>109</v>
      </c>
      <c r="AT65" s="195">
        <f t="shared" si="37"/>
        <v>-10</v>
      </c>
      <c r="AU65">
        <v>0</v>
      </c>
      <c r="AV65">
        <f t="shared" si="39"/>
        <v>-8</v>
      </c>
      <c r="AX65" s="76">
        <f t="shared" si="38"/>
        <v>-10</v>
      </c>
      <c r="AY65" s="76">
        <f t="shared" si="38"/>
        <v>0</v>
      </c>
    </row>
    <row r="66" spans="2:51" x14ac:dyDescent="0.35">
      <c r="Q66">
        <f>WTI!A9</f>
        <v>46334</v>
      </c>
      <c r="AB66" s="272" t="s">
        <v>34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S66" s="272" t="s">
        <v>113</v>
      </c>
      <c r="AT66" s="195">
        <f t="shared" si="37"/>
        <v>-10</v>
      </c>
      <c r="AU66">
        <v>0</v>
      </c>
      <c r="AV66">
        <f t="shared" si="39"/>
        <v>-8</v>
      </c>
      <c r="AX66" s="76">
        <f t="shared" si="38"/>
        <v>-10</v>
      </c>
      <c r="AY66" s="76">
        <f t="shared" si="38"/>
        <v>0</v>
      </c>
    </row>
    <row r="67" spans="2:51" x14ac:dyDescent="0.35">
      <c r="Q67">
        <f>WTI!BC28</f>
        <v>52</v>
      </c>
      <c r="AB67" s="272" t="s">
        <v>80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S67" s="272" t="s">
        <v>131</v>
      </c>
      <c r="AT67" s="195">
        <f t="shared" si="37"/>
        <v>-10</v>
      </c>
      <c r="AU67">
        <v>0</v>
      </c>
      <c r="AV67">
        <f t="shared" si="39"/>
        <v>-8</v>
      </c>
      <c r="AX67" s="76">
        <f t="shared" si="38"/>
        <v>-10</v>
      </c>
      <c r="AY67" s="76">
        <f t="shared" si="38"/>
        <v>0</v>
      </c>
    </row>
    <row r="68" spans="2:51" x14ac:dyDescent="0.35">
      <c r="Q68">
        <f>T58</f>
        <v>10</v>
      </c>
      <c r="AB68" s="272" t="s">
        <v>133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S68" s="274" t="s">
        <v>119</v>
      </c>
      <c r="AT68" s="195">
        <f t="shared" si="37"/>
        <v>-10</v>
      </c>
      <c r="AU68">
        <v>14</v>
      </c>
      <c r="AV68">
        <f t="shared" si="39"/>
        <v>-5.1999999999999993</v>
      </c>
      <c r="AX68" s="76">
        <f t="shared" si="38"/>
        <v>-10</v>
      </c>
      <c r="AY68" s="76">
        <f t="shared" si="38"/>
        <v>14</v>
      </c>
    </row>
    <row r="69" spans="2:51" x14ac:dyDescent="0.35">
      <c r="Q69" s="362">
        <f>Q66+Q67+Q68</f>
        <v>46396</v>
      </c>
      <c r="AB69" t="s">
        <v>134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S69" s="272" t="s">
        <v>83</v>
      </c>
      <c r="AT69" s="195">
        <f>Y17</f>
        <v>-10</v>
      </c>
      <c r="AU69">
        <v>0</v>
      </c>
      <c r="AV69">
        <f t="shared" si="39"/>
        <v>-8</v>
      </c>
      <c r="AX69" s="76">
        <f t="shared" si="38"/>
        <v>-10</v>
      </c>
      <c r="AY69" s="76">
        <f t="shared" si="38"/>
        <v>0</v>
      </c>
    </row>
    <row r="74" spans="2:51" ht="15.5" x14ac:dyDescent="0.35">
      <c r="B74" s="118" t="s">
        <v>135</v>
      </c>
      <c r="C74" s="2"/>
      <c r="D74" s="2"/>
      <c r="E74" s="2"/>
      <c r="F74" s="2"/>
      <c r="G74" s="2"/>
      <c r="H74" s="2"/>
      <c r="I74" s="2"/>
      <c r="J74" s="132"/>
      <c r="K74" s="127"/>
    </row>
    <row r="75" spans="2:51" ht="15.5" x14ac:dyDescent="0.35">
      <c r="B75" s="118" t="s">
        <v>136</v>
      </c>
      <c r="D75" s="2">
        <v>43.3</v>
      </c>
      <c r="F75" s="185" t="s">
        <v>137</v>
      </c>
      <c r="G75" s="185"/>
      <c r="H75" s="186" t="s">
        <v>138</v>
      </c>
      <c r="I75" s="2"/>
      <c r="J75" s="118" t="s">
        <v>102</v>
      </c>
      <c r="K75" s="2"/>
    </row>
    <row r="76" spans="2:51" ht="15.5" x14ac:dyDescent="0.35">
      <c r="B76" s="183" t="s">
        <v>139</v>
      </c>
      <c r="C76" s="183"/>
      <c r="D76" s="184"/>
      <c r="E76" s="181"/>
      <c r="F76" s="133" t="s">
        <v>22</v>
      </c>
      <c r="G76" s="133"/>
      <c r="H76" s="154">
        <v>45000</v>
      </c>
      <c r="I76" s="2"/>
      <c r="J76" s="2" t="s">
        <v>22</v>
      </c>
      <c r="K76" s="267">
        <v>490000</v>
      </c>
    </row>
    <row r="77" spans="2:51" ht="15.5" x14ac:dyDescent="0.35">
      <c r="B77" s="133" t="s">
        <v>140</v>
      </c>
      <c r="C77" s="133"/>
      <c r="D77" s="119">
        <f>D88</f>
        <v>1.3036164383561645E-2</v>
      </c>
      <c r="F77" s="133" t="s">
        <v>23</v>
      </c>
      <c r="G77" s="133"/>
      <c r="H77" s="154">
        <v>80000</v>
      </c>
      <c r="I77" s="2"/>
      <c r="J77" s="2" t="s">
        <v>23</v>
      </c>
      <c r="K77" s="267">
        <v>750000</v>
      </c>
    </row>
    <row r="78" spans="2:51" ht="15.5" x14ac:dyDescent="0.35">
      <c r="B78" s="183" t="s">
        <v>141</v>
      </c>
      <c r="C78" s="183"/>
      <c r="D78" s="184"/>
      <c r="E78" s="181"/>
      <c r="F78" s="118" t="s">
        <v>24</v>
      </c>
      <c r="G78" s="2"/>
      <c r="H78" s="154">
        <v>95000</v>
      </c>
      <c r="I78" s="2"/>
      <c r="J78" s="2" t="s">
        <v>24</v>
      </c>
      <c r="K78" s="267">
        <v>850000</v>
      </c>
    </row>
    <row r="79" spans="2:51" ht="15.5" x14ac:dyDescent="0.35">
      <c r="B79" s="2" t="s">
        <v>142</v>
      </c>
      <c r="D79" s="117">
        <f>0.0003+0.05+0.004+0.013</f>
        <v>6.7299999999999999E-2</v>
      </c>
      <c r="F79" s="133" t="s">
        <v>25</v>
      </c>
      <c r="G79" s="133"/>
      <c r="H79" s="154">
        <v>450000</v>
      </c>
      <c r="I79" s="2"/>
      <c r="J79" s="2" t="s">
        <v>25</v>
      </c>
      <c r="K79" s="267">
        <v>0</v>
      </c>
    </row>
    <row r="80" spans="2:51" ht="15.5" x14ac:dyDescent="0.35">
      <c r="B80" s="2"/>
      <c r="C80" s="2"/>
      <c r="D80" s="2"/>
      <c r="E80" s="2"/>
      <c r="F80" s="133" t="s">
        <v>26</v>
      </c>
      <c r="G80" s="133"/>
      <c r="H80" s="154">
        <f>H79</f>
        <v>450000</v>
      </c>
      <c r="I80" s="2"/>
      <c r="J80" s="2" t="s">
        <v>26</v>
      </c>
      <c r="K80" s="78">
        <v>1500000</v>
      </c>
    </row>
    <row r="81" spans="2:15" ht="15.5" x14ac:dyDescent="0.35">
      <c r="B81" s="183" t="s">
        <v>17</v>
      </c>
      <c r="C81" s="183"/>
      <c r="D81" s="641">
        <v>100</v>
      </c>
      <c r="E81" s="190">
        <v>2E-3</v>
      </c>
      <c r="F81" s="133" t="s">
        <v>27</v>
      </c>
      <c r="G81" s="133"/>
      <c r="H81" s="154">
        <f>H80</f>
        <v>450000</v>
      </c>
      <c r="I81" s="2"/>
      <c r="J81" s="2" t="s">
        <v>27</v>
      </c>
      <c r="K81" s="78">
        <v>1500000</v>
      </c>
    </row>
    <row r="82" spans="2:15" ht="15.5" x14ac:dyDescent="0.35">
      <c r="B82" s="133" t="s">
        <v>18</v>
      </c>
      <c r="C82" s="133"/>
      <c r="D82" s="124">
        <v>0</v>
      </c>
      <c r="F82" s="133" t="s">
        <v>28</v>
      </c>
      <c r="G82" s="133"/>
      <c r="H82" s="154">
        <f>H78</f>
        <v>95000</v>
      </c>
      <c r="I82" s="2"/>
      <c r="J82" s="2" t="s">
        <v>28</v>
      </c>
      <c r="K82" s="78">
        <v>1050000</v>
      </c>
    </row>
    <row r="83" spans="2:15" ht="15.5" x14ac:dyDescent="0.35">
      <c r="B83" s="133" t="s">
        <v>143</v>
      </c>
      <c r="C83" s="133"/>
      <c r="D83" s="3">
        <v>300000</v>
      </c>
      <c r="F83" s="133"/>
      <c r="G83" s="133"/>
      <c r="H83" s="154"/>
      <c r="I83" s="2"/>
      <c r="J83" s="2"/>
      <c r="K83" s="2"/>
    </row>
    <row r="84" spans="2:15" ht="16" thickBot="1" x14ac:dyDescent="0.4">
      <c r="B84" s="118" t="s">
        <v>144</v>
      </c>
      <c r="C84" s="2"/>
      <c r="D84" s="2">
        <f>($D$75+131.5)/(141.5*0.159)</f>
        <v>7.7694068493455122</v>
      </c>
      <c r="E84" s="2"/>
      <c r="F84" s="133"/>
      <c r="G84" s="133"/>
      <c r="H84" s="154"/>
      <c r="I84" s="2"/>
      <c r="J84" s="2"/>
      <c r="K84" s="3"/>
    </row>
    <row r="85" spans="2:15" ht="16" thickBot="1" x14ac:dyDescent="0.4">
      <c r="B85" s="133" t="s">
        <v>145</v>
      </c>
      <c r="D85" s="130">
        <v>750000</v>
      </c>
      <c r="F85" s="133"/>
      <c r="G85" s="133"/>
      <c r="H85" s="154"/>
      <c r="I85" s="2"/>
      <c r="J85" s="132"/>
      <c r="K85" s="127"/>
    </row>
    <row r="86" spans="2:15" ht="16" thickBot="1" x14ac:dyDescent="0.4">
      <c r="B86" s="133" t="s">
        <v>146</v>
      </c>
      <c r="C86" s="2"/>
      <c r="D86" s="130">
        <v>850000</v>
      </c>
      <c r="E86" s="2"/>
      <c r="F86" s="133"/>
      <c r="G86" s="133"/>
      <c r="H86" s="154"/>
      <c r="I86" s="2"/>
      <c r="J86" s="3">
        <f>(2000000-K79)/K80</f>
        <v>1.3333333333333333</v>
      </c>
      <c r="K86" s="2"/>
    </row>
    <row r="87" spans="2:15" ht="15.5" x14ac:dyDescent="0.35">
      <c r="B87" s="165" t="s">
        <v>147</v>
      </c>
      <c r="C87" s="165"/>
      <c r="D87" s="165">
        <f>600000*3</f>
        <v>1800000</v>
      </c>
      <c r="E87" s="165"/>
      <c r="F87" s="133"/>
      <c r="G87" s="133"/>
      <c r="H87" s="154"/>
      <c r="I87" s="2"/>
      <c r="J87" s="2"/>
      <c r="K87" s="2"/>
    </row>
    <row r="88" spans="2:15" ht="15.5" x14ac:dyDescent="0.35">
      <c r="B88" s="133" t="s">
        <v>148</v>
      </c>
      <c r="C88" s="3">
        <f>+C91+C92</f>
        <v>4.7582000000000004</v>
      </c>
      <c r="D88" s="268">
        <f>$C$88*$D$81/365/100</f>
        <v>1.3036164383561645E-2</v>
      </c>
      <c r="E88" s="2"/>
      <c r="F88" s="133"/>
      <c r="G88" s="133"/>
      <c r="H88" s="154"/>
      <c r="I88" s="165"/>
      <c r="J88" s="165">
        <f>IF(WTI!AB24-VLOOKUP(WTI!Y24,$J$76:$K$80,2,FALSE)/$K$80&gt;0,H90/WTI!AB24,0)</f>
        <v>2.4666666666666668</v>
      </c>
      <c r="K88" s="165"/>
    </row>
    <row r="89" spans="2:15" ht="15.5" x14ac:dyDescent="0.35">
      <c r="F89" s="185" t="s">
        <v>149</v>
      </c>
      <c r="G89" s="185"/>
      <c r="H89" s="186" t="s">
        <v>138</v>
      </c>
    </row>
    <row r="90" spans="2:15" ht="15.5" x14ac:dyDescent="0.35">
      <c r="F90" s="133" t="s">
        <v>25</v>
      </c>
      <c r="G90" s="168"/>
      <c r="H90" s="169">
        <v>1850000</v>
      </c>
      <c r="I90" s="169">
        <v>75000</v>
      </c>
    </row>
    <row r="91" spans="2:15" ht="15.5" x14ac:dyDescent="0.35">
      <c r="B91" s="79" t="s">
        <v>150</v>
      </c>
      <c r="C91">
        <v>3.6581999999999999</v>
      </c>
      <c r="F91" s="133" t="s">
        <v>26</v>
      </c>
      <c r="H91" s="169">
        <f>H90+200000</f>
        <v>2050000</v>
      </c>
    </row>
    <row r="92" spans="2:15" ht="15.5" x14ac:dyDescent="0.35">
      <c r="B92" s="79" t="s">
        <v>151</v>
      </c>
      <c r="C92">
        <v>1.1000000000000001</v>
      </c>
      <c r="F92" s="133" t="s">
        <v>27</v>
      </c>
      <c r="H92" s="169">
        <f>H91</f>
        <v>2050000</v>
      </c>
      <c r="O92">
        <f>1/1.22*10</f>
        <v>8.1967213114754109</v>
      </c>
    </row>
    <row r="93" spans="2:15" ht="15.5" x14ac:dyDescent="0.35">
      <c r="F93" s="23" t="s">
        <v>152</v>
      </c>
      <c r="G93" s="10">
        <v>0.55000000000000004</v>
      </c>
      <c r="H93" s="2"/>
    </row>
    <row r="94" spans="2:15" x14ac:dyDescent="0.35">
      <c r="O94">
        <v>1000</v>
      </c>
    </row>
    <row r="95" spans="2:15" ht="15.5" x14ac:dyDescent="0.35">
      <c r="B95" s="514">
        <f>EOMONTH(WTI!A21,0)+20</f>
        <v>46376</v>
      </c>
      <c r="O95">
        <f>O94*1.22</f>
        <v>1220</v>
      </c>
    </row>
    <row r="99" spans="3:7" ht="15.5" x14ac:dyDescent="0.35">
      <c r="E99" s="2"/>
      <c r="F99" s="2"/>
      <c r="G99" s="2"/>
    </row>
    <row r="100" spans="3:7" ht="15.5" x14ac:dyDescent="0.35">
      <c r="C100" s="514" t="e">
        <f>EOMONTH(WTI!A17,0)+20</f>
        <v>#VALUE!</v>
      </c>
      <c r="D100" s="3">
        <f>INDEX(Index,MATCH(WTI!V31,TVM_PortList,0),MATCH("Payment",Control!$Q$3:$U$3,0))</f>
        <v>30</v>
      </c>
      <c r="E100" s="165"/>
      <c r="F100" s="165"/>
      <c r="G100" s="165"/>
    </row>
    <row r="101" spans="3:7" x14ac:dyDescent="0.35">
      <c r="C101">
        <f>EOMONTH(WTI!A9,0)+20</f>
        <v>46376</v>
      </c>
      <c r="D101">
        <f>IF(INDEX(Index,MATCH(WTI!Z43,TVM_PortList,0),MATCH("Type",Control!$Q$3:$U$3,0))="BL",WTI!$A$9+INDEX(Index,MATCH(WTI!V17,TVM_PortList,0),MATCH("Payment",Control!$Q$3:$U$3,0)),WTI!$A$9+INDEX(Index,MATCH(WTI!Z43,TVM_PortList,0),MATCH("Payment",Control!$Q$3:$U$3,0))+WTI!BC43)</f>
        <v>46396</v>
      </c>
    </row>
    <row r="104" spans="3:7" ht="15.5" x14ac:dyDescent="0.35">
      <c r="C104" s="2"/>
      <c r="D104" s="3">
        <f>INDEX(Index,MATCH(WTI!V43,TVM_PortList,0),MATCH("Payment",Control!$Q$3:$U$3,0))</f>
        <v>30</v>
      </c>
    </row>
    <row r="105" spans="3:7" ht="15.5" x14ac:dyDescent="0.35">
      <c r="C105" s="514"/>
      <c r="D105" s="3"/>
    </row>
    <row r="106" spans="3:7" ht="15.5" x14ac:dyDescent="0.35">
      <c r="C106" s="514" t="e">
        <f>EOMONTH(WTI!#REF!,0)+20</f>
        <v>#REF!</v>
      </c>
      <c r="D106" s="3">
        <f>INDEX(Index,MATCH(WTI!V44,TVM_PortList,0),MATCH("Payment",Control!$Q$3:$U$3,0))</f>
        <v>30</v>
      </c>
    </row>
    <row r="107" spans="3:7" ht="15.5" x14ac:dyDescent="0.35">
      <c r="C107" s="514"/>
      <c r="D107" s="3"/>
      <c r="F107" s="406">
        <f>WTI!AV54-WTI!AV52</f>
        <v>-2.0662571428571432</v>
      </c>
      <c r="G107" s="20">
        <f>WTI!AV24-WTI!AV31</f>
        <v>-18.212261153105572</v>
      </c>
    </row>
    <row r="108" spans="3:7" x14ac:dyDescent="0.35">
      <c r="F108">
        <f>D101-C101</f>
        <v>20</v>
      </c>
    </row>
    <row r="109" spans="3:7" x14ac:dyDescent="0.35">
      <c r="F109">
        <f>D102-C102</f>
        <v>0</v>
      </c>
    </row>
    <row r="112" spans="3:7" ht="15.5" x14ac:dyDescent="0.35">
      <c r="F112" s="406">
        <f>WTI!AV58-WTI!AV56</f>
        <v>-4.8760000000000012</v>
      </c>
      <c r="G112" s="20">
        <f>WTI!AV29-WTI!AV43</f>
        <v>-2.9796629674863837</v>
      </c>
    </row>
    <row r="113" spans="2:8" ht="15.5" x14ac:dyDescent="0.35">
      <c r="F113" s="406"/>
      <c r="G113" s="20"/>
    </row>
    <row r="114" spans="2:8" ht="15.5" x14ac:dyDescent="0.35">
      <c r="F114" s="406">
        <f>WTI!AV60-WTI!AV58</f>
        <v>0.13850000000000406</v>
      </c>
      <c r="G114" s="20">
        <f>WTI!AV31-WTI!AV44</f>
        <v>-2.2280482719920762</v>
      </c>
    </row>
    <row r="115" spans="2:8" ht="15.5" x14ac:dyDescent="0.35">
      <c r="F115" s="406"/>
      <c r="G115" s="20"/>
    </row>
    <row r="116" spans="2:8" ht="15.5" x14ac:dyDescent="0.35">
      <c r="C116" s="514">
        <f>EOMONTH(WTI!A29,0)+20</f>
        <v>46376</v>
      </c>
      <c r="D116" s="3">
        <f>INDEX(Index,MATCH(WTI!V52,TVM_PortList,0),MATCH("Payment",Control!$Q$3:$U$3,0))</f>
        <v>30</v>
      </c>
    </row>
    <row r="118" spans="2:8" ht="15.5" x14ac:dyDescent="0.35">
      <c r="C118" s="514"/>
      <c r="D118" s="3"/>
    </row>
    <row r="124" spans="2:8" ht="15.5" x14ac:dyDescent="0.35">
      <c r="F124" s="406" t="e">
        <f>WTI!AV68-WTI!AV66</f>
        <v>#VALUE!</v>
      </c>
      <c r="G124" s="20">
        <f>WTI!AV44-WTI!AV52</f>
        <v>10.431206072194847</v>
      </c>
    </row>
    <row r="125" spans="2:8" ht="15.5" x14ac:dyDescent="0.35">
      <c r="B125" s="2"/>
      <c r="C125" s="2"/>
      <c r="D125" s="2"/>
      <c r="F125" s="406"/>
      <c r="G125" s="20"/>
      <c r="H125" s="2"/>
    </row>
    <row r="126" spans="2:8" ht="15.5" x14ac:dyDescent="0.35">
      <c r="B126" s="2"/>
      <c r="C126" s="2"/>
      <c r="D126" s="2"/>
      <c r="H126" s="2"/>
    </row>
    <row r="127" spans="2:8" ht="15.5" x14ac:dyDescent="0.35">
      <c r="B127" s="2"/>
      <c r="C127" s="2"/>
      <c r="D127" s="2"/>
      <c r="H127" s="2"/>
    </row>
    <row r="128" spans="2:8" ht="15.5" x14ac:dyDescent="0.35">
      <c r="B128" s="2"/>
      <c r="C128" s="2"/>
      <c r="D128" s="2"/>
      <c r="H128" s="2"/>
    </row>
    <row r="129" spans="2:8" ht="15.5" x14ac:dyDescent="0.35">
      <c r="B129" s="2"/>
      <c r="C129" s="2"/>
      <c r="D129" s="2"/>
      <c r="H129" s="2"/>
    </row>
    <row r="130" spans="2:8" ht="15.5" x14ac:dyDescent="0.35">
      <c r="B130" s="2"/>
      <c r="C130" s="2"/>
      <c r="D130" s="2"/>
      <c r="H130" s="2"/>
    </row>
    <row r="131" spans="2:8" ht="15.5" x14ac:dyDescent="0.35">
      <c r="B131" s="2"/>
      <c r="C131" s="2"/>
      <c r="D131" s="2"/>
      <c r="H131" s="2"/>
    </row>
    <row r="132" spans="2:8" ht="15.5" x14ac:dyDescent="0.35">
      <c r="B132" s="2"/>
      <c r="C132" s="2"/>
      <c r="D132" s="2"/>
      <c r="E132" s="2"/>
      <c r="F132" s="2"/>
      <c r="G132" s="2"/>
      <c r="H132" s="2"/>
    </row>
    <row r="133" spans="2:8" ht="15.5" x14ac:dyDescent="0.35">
      <c r="B133" s="2"/>
      <c r="C133" s="2"/>
      <c r="D133" s="2"/>
      <c r="E133" s="2"/>
      <c r="F133" s="2"/>
      <c r="G133" s="2"/>
      <c r="H133" s="2"/>
    </row>
  </sheetData>
  <sortState xmlns:xlrd2="http://schemas.microsoft.com/office/spreadsheetml/2017/richdata2" ref="Q4:V39">
    <sortCondition ref="V4:V39" customList="US,South America,Europe,Asia"/>
    <sortCondition ref="Q4:Q39"/>
  </sortState>
  <customSheetViews>
    <customSheetView guid="{B081B6D7-A74F-46D7-8C77-4880ABCFD351}" scale="70">
      <selection activeCell="B40" sqref="B40"/>
      <pageMargins left="0" right="0" top="0" bottom="0" header="0" footer="0"/>
    </customSheetView>
    <customSheetView guid="{3AFF74FC-96F2-4A79-B113-398E91D110C0}" topLeftCell="B1">
      <selection activeCell="C28" sqref="C28:G50"/>
      <pageMargins left="0" right="0" top="0" bottom="0" header="0" footer="0"/>
    </customSheetView>
    <customSheetView guid="{754F2B3C-051D-4D59-B458-9B82C17AD057}" topLeftCell="B1">
      <selection activeCell="H20" sqref="H20"/>
      <pageMargins left="0" right="0" top="0" bottom="0" header="0" footer="0"/>
    </customSheetView>
    <customSheetView guid="{8FAE2493-C53D-4522-BEA9-8F5F31F08801}" scale="70" topLeftCell="A2">
      <selection activeCell="T24" sqref="T24"/>
      <pageMargins left="0" right="0" top="0" bottom="0" header="0" footer="0"/>
    </customSheetView>
  </customSheetView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66FFFF"/>
    <outlinePr summaryRight="0"/>
  </sheetPr>
  <dimension ref="A1:BV153"/>
  <sheetViews>
    <sheetView showGridLines="0" tabSelected="1" topLeftCell="A2" zoomScale="75" zoomScaleNormal="75" workbookViewId="0">
      <pane xSplit="3" ySplit="22" topLeftCell="D32" activePane="bottomRight" state="frozen"/>
      <selection pane="topRight" activeCell="D2" sqref="D2"/>
      <selection pane="bottomLeft" activeCell="A24" sqref="A24"/>
      <selection pane="bottomRight" activeCell="AD43" sqref="AD43:AZ43"/>
    </sheetView>
  </sheetViews>
  <sheetFormatPr defaultColWidth="8.81640625" defaultRowHeight="15.5" outlineLevelRow="1" outlineLevelCol="1" x14ac:dyDescent="0.35"/>
  <cols>
    <col min="1" max="1" width="8" style="2" customWidth="1"/>
    <col min="2" max="2" width="8.453125" style="2" customWidth="1"/>
    <col min="3" max="3" width="1.1796875" customWidth="1"/>
    <col min="4" max="4" width="10.453125" style="43" customWidth="1"/>
    <col min="5" max="5" width="13" style="43" customWidth="1" collapsed="1"/>
    <col min="6" max="6" width="19.54296875" style="2" hidden="1" customWidth="1" outlineLevel="1"/>
    <col min="7" max="7" width="5.54296875" style="2" hidden="1" customWidth="1" outlineLevel="1"/>
    <col min="8" max="9" width="9.453125" style="2" hidden="1" customWidth="1" outlineLevel="1"/>
    <col min="10" max="10" width="18" style="2" hidden="1" customWidth="1" outlineLevel="1"/>
    <col min="11" max="11" width="14" style="124" hidden="1" customWidth="1" outlineLevel="1"/>
    <col min="12" max="12" width="15.81640625" style="2" hidden="1" customWidth="1" outlineLevel="1"/>
    <col min="13" max="13" width="14.54296875" style="2" hidden="1" customWidth="1" outlineLevel="1"/>
    <col min="14" max="14" width="11" style="133" hidden="1" customWidth="1" outlineLevel="1"/>
    <col min="15" max="15" width="8" style="2" hidden="1" customWidth="1" outlineLevel="1"/>
    <col min="16" max="17" width="10.453125" style="2" hidden="1" customWidth="1" outlineLevel="1"/>
    <col min="18" max="18" width="10.453125" hidden="1" customWidth="1" outlineLevel="1"/>
    <col min="19" max="19" width="2.54296875" customWidth="1" collapsed="1"/>
    <col min="20" max="20" width="11.453125" hidden="1" customWidth="1" outlineLevel="1"/>
    <col min="21" max="21" width="9.453125" hidden="1" customWidth="1" outlineLevel="1"/>
    <col min="22" max="22" width="19.54296875" hidden="1" customWidth="1" outlineLevel="1"/>
    <col min="23" max="23" width="18" style="2" hidden="1" customWidth="1" outlineLevel="1"/>
    <col min="24" max="24" width="13.453125" hidden="1" customWidth="1" outlineLevel="1"/>
    <col min="25" max="25" width="18.54296875" customWidth="1"/>
    <col min="26" max="26" width="14.54296875" customWidth="1"/>
    <col min="27" max="27" width="18" style="2" customWidth="1"/>
    <col min="28" max="28" width="16.453125" style="2" customWidth="1"/>
    <col min="29" max="29" width="17.453125" style="124" hidden="1" customWidth="1"/>
    <col min="30" max="30" width="14.54296875" style="124" customWidth="1"/>
    <col min="31" max="31" width="17.453125" style="21" customWidth="1"/>
    <col min="32" max="32" width="11.54296875" style="2" customWidth="1"/>
    <col min="33" max="33" width="5.54296875" style="124" customWidth="1"/>
    <col min="34" max="34" width="7.54296875" style="124" customWidth="1"/>
    <col min="35" max="35" width="11.453125" style="2" customWidth="1"/>
    <col min="36" max="36" width="8.81640625" style="2" bestFit="1" customWidth="1"/>
    <col min="37" max="37" width="10.453125" style="2" bestFit="1" customWidth="1"/>
    <col min="38" max="38" width="9" style="2" customWidth="1" collapsed="1"/>
    <col min="39" max="39" width="10.453125" style="2" hidden="1" customWidth="1" outlineLevel="1"/>
    <col min="40" max="40" width="16" style="2" hidden="1" customWidth="1" outlineLevel="1"/>
    <col min="41" max="41" width="11" style="2" hidden="1" customWidth="1" outlineLevel="1"/>
    <col min="42" max="42" width="11.54296875" style="2" hidden="1" customWidth="1" outlineLevel="1"/>
    <col min="43" max="43" width="16.90625" style="2" hidden="1" customWidth="1" outlineLevel="1"/>
    <col min="44" max="44" width="9.54296875" style="2" hidden="1" customWidth="1" outlineLevel="1"/>
    <col min="45" max="45" width="11.54296875" style="2" hidden="1" customWidth="1" outlineLevel="1"/>
    <col min="46" max="46" width="12.54296875" style="2" hidden="1" customWidth="1" outlineLevel="1"/>
    <col min="47" max="47" width="14.1796875" style="21" customWidth="1"/>
    <col min="48" max="48" width="11.26953125" style="21" customWidth="1"/>
    <col min="49" max="49" width="11.6328125" style="21" customWidth="1"/>
    <col min="50" max="50" width="12.7265625" style="21" customWidth="1"/>
    <col min="51" max="51" width="11.26953125" style="21" customWidth="1"/>
    <col min="52" max="52" width="12.54296875" style="495" customWidth="1"/>
    <col min="53" max="53" width="1.1796875" style="2" customWidth="1"/>
    <col min="54" max="54" width="1.1796875" style="2" hidden="1" customWidth="1"/>
    <col min="55" max="55" width="12" style="43" customWidth="1"/>
    <col min="56" max="56" width="9.54296875" style="2" customWidth="1"/>
    <col min="57" max="57" width="10.453125" style="2" customWidth="1"/>
    <col min="58" max="58" width="9.1796875" style="2" bestFit="1" customWidth="1"/>
    <col min="59" max="59" width="9.453125" style="2" customWidth="1"/>
    <col min="60" max="60" width="9.54296875" style="2" customWidth="1"/>
    <col min="61" max="62" width="13.453125" style="2" customWidth="1"/>
    <col min="63" max="65" width="14.54296875" style="2" bestFit="1" customWidth="1"/>
    <col min="66" max="67" width="14.54296875" style="2" customWidth="1"/>
    <col min="68" max="68" width="16.453125" style="735" bestFit="1" customWidth="1"/>
    <col min="69" max="69" width="16.453125" style="2" bestFit="1" customWidth="1"/>
    <col min="70" max="70" width="12.54296875" style="2" bestFit="1" customWidth="1"/>
    <col min="71" max="71" width="10.453125" style="2" bestFit="1" customWidth="1"/>
    <col min="72" max="72" width="8.81640625" style="2"/>
    <col min="73" max="73" width="19.54296875" style="2" customWidth="1"/>
    <col min="74" max="74" width="12.54296875" style="2" bestFit="1" customWidth="1"/>
  </cols>
  <sheetData>
    <row r="1" spans="1:74" ht="15.65" hidden="1" customHeight="1" x14ac:dyDescent="0.35">
      <c r="R1" s="20"/>
      <c r="S1" s="2"/>
      <c r="T1" s="2"/>
      <c r="U1" s="2"/>
      <c r="V1" s="2"/>
      <c r="W1" s="2" t="e">
        <f>INDEX(Vessel_Minimum_MT,MATCH(Y1,Control!$E$11:$E$15,0),MATCH(V1,Control!$E$11:$J$11,0))</f>
        <v>#N/A</v>
      </c>
      <c r="X1" s="2"/>
      <c r="Y1" s="2"/>
      <c r="Z1" s="2"/>
      <c r="AI1" s="2" t="e">
        <f>AF1*VLOOKUP($Y1,Control!$F$75:$H$79,3,FALSE)/$AB1</f>
        <v>#N/A</v>
      </c>
    </row>
    <row r="2" spans="1:74" ht="29" thickBot="1" x14ac:dyDescent="0.7">
      <c r="A2" s="386"/>
      <c r="B2"/>
      <c r="D2" s="997" t="s">
        <v>153</v>
      </c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  <c r="P2" s="997"/>
      <c r="Q2" s="997"/>
      <c r="R2" s="997"/>
      <c r="S2" s="997"/>
      <c r="T2" s="997"/>
      <c r="U2" s="997"/>
      <c r="V2" s="997"/>
      <c r="W2" s="997"/>
      <c r="X2" s="997"/>
      <c r="Y2" s="997"/>
      <c r="Z2" s="997"/>
      <c r="AA2" s="997"/>
      <c r="AB2" s="997"/>
      <c r="AC2" s="997"/>
      <c r="AD2" s="997"/>
      <c r="AE2" s="997"/>
      <c r="AF2" s="997"/>
      <c r="AG2" s="997"/>
      <c r="AH2" s="997"/>
      <c r="AI2" s="997"/>
      <c r="AJ2" s="997"/>
      <c r="AK2" s="997"/>
      <c r="AL2" s="997"/>
      <c r="AM2" s="997"/>
      <c r="AN2" s="997"/>
      <c r="AO2" s="997"/>
      <c r="AP2" s="997"/>
      <c r="AQ2" s="997"/>
      <c r="AR2" s="997"/>
      <c r="AS2" s="997"/>
      <c r="AT2" s="997"/>
      <c r="AU2" s="997"/>
      <c r="AV2" s="997"/>
      <c r="AW2" s="997"/>
      <c r="AX2" s="997"/>
      <c r="AY2" s="997"/>
      <c r="AZ2" s="997"/>
      <c r="BA2" s="997"/>
      <c r="BB2" s="997"/>
      <c r="BC2" s="997"/>
      <c r="BD2" s="997"/>
      <c r="BE2" s="997"/>
      <c r="BF2" s="997"/>
      <c r="BG2" s="997"/>
      <c r="BH2" s="997"/>
      <c r="BI2" s="133"/>
      <c r="BJ2" s="133"/>
      <c r="BL2" s="268"/>
      <c r="BM2" s="268"/>
      <c r="BN2" s="268"/>
      <c r="BO2" s="268"/>
    </row>
    <row r="3" spans="1:74" s="364" customFormat="1" ht="18" customHeight="1" thickBot="1" x14ac:dyDescent="0.4">
      <c r="A3" s="387"/>
      <c r="C3"/>
      <c r="D3" s="998" t="s">
        <v>154</v>
      </c>
      <c r="E3" s="998"/>
      <c r="F3" s="204"/>
      <c r="G3" s="205"/>
      <c r="H3" s="206"/>
      <c r="I3" s="207"/>
      <c r="J3" s="206"/>
      <c r="K3" s="206"/>
      <c r="O3" s="11"/>
      <c r="P3" s="193"/>
      <c r="Q3" s="193"/>
      <c r="R3" s="193"/>
      <c r="S3" s="37"/>
      <c r="T3" s="37"/>
      <c r="U3" s="126"/>
      <c r="V3" s="38"/>
      <c r="W3" s="126"/>
      <c r="X3" s="37"/>
      <c r="Y3" s="570">
        <v>-3.6</v>
      </c>
      <c r="Z3" s="977"/>
      <c r="AA3" s="978"/>
      <c r="AD3" s="944">
        <v>1400</v>
      </c>
      <c r="AE3" s="945">
        <v>0.8</v>
      </c>
      <c r="AI3" s="644"/>
      <c r="AJ3" s="810" t="s">
        <v>127</v>
      </c>
      <c r="AK3" s="483">
        <v>0</v>
      </c>
      <c r="AL3" s="483">
        <v>1</v>
      </c>
      <c r="AM3" s="12"/>
      <c r="AN3" s="12"/>
      <c r="AO3" s="12"/>
      <c r="AP3" s="12"/>
      <c r="AQ3" s="12"/>
      <c r="AR3" s="12"/>
      <c r="AS3" s="12"/>
      <c r="AT3" s="371"/>
      <c r="AV3" s="124" t="s">
        <v>155</v>
      </c>
      <c r="AW3" s="2" t="s">
        <v>156</v>
      </c>
      <c r="AX3" s="2" t="s">
        <v>157</v>
      </c>
      <c r="AY3" s="2"/>
      <c r="AZ3" s="2"/>
      <c r="BA3" s="2"/>
      <c r="BB3" s="2"/>
      <c r="BC3" s="483">
        <v>1</v>
      </c>
      <c r="BD3" s="373">
        <v>46296</v>
      </c>
      <c r="BE3" s="374">
        <f>EOMONTH(BD3,1)</f>
        <v>46356</v>
      </c>
      <c r="BF3" s="374">
        <f>EOMONTH(BE3,1)</f>
        <v>46387</v>
      </c>
      <c r="BG3" s="496">
        <f>EOMONTH(BF3,1)</f>
        <v>46418</v>
      </c>
      <c r="BH3" s="496">
        <f>EOMONTH(BG3,1)</f>
        <v>46446</v>
      </c>
      <c r="BI3" s="369"/>
      <c r="BJ3" s="987">
        <v>46101</v>
      </c>
      <c r="BK3" s="365"/>
      <c r="BL3" s="370">
        <v>4480</v>
      </c>
      <c r="BM3" s="370"/>
      <c r="BN3" s="370"/>
      <c r="BO3" s="953">
        <v>25</v>
      </c>
      <c r="BP3" s="735"/>
      <c r="BQ3" s="365"/>
      <c r="BR3" s="365"/>
      <c r="BS3" s="365"/>
      <c r="BT3" s="365"/>
      <c r="BU3" s="365"/>
      <c r="BV3" s="365"/>
    </row>
    <row r="4" spans="1:74" ht="15.65" customHeight="1" thickBot="1" x14ac:dyDescent="0.4">
      <c r="B4"/>
      <c r="D4" s="1006" t="s">
        <v>158</v>
      </c>
      <c r="E4" s="1006"/>
      <c r="N4" s="133" t="s">
        <v>159</v>
      </c>
      <c r="T4" t="s">
        <v>160</v>
      </c>
      <c r="U4" t="s">
        <v>161</v>
      </c>
      <c r="V4" t="s">
        <v>162</v>
      </c>
      <c r="Y4" s="195"/>
      <c r="Z4" s="194"/>
      <c r="AA4" s="375"/>
      <c r="AD4" s="944">
        <v>700</v>
      </c>
      <c r="AE4" s="946">
        <v>0.1</v>
      </c>
      <c r="AI4" s="406"/>
      <c r="AJ4" s="133" t="s">
        <v>128</v>
      </c>
      <c r="AK4" s="483">
        <v>1</v>
      </c>
      <c r="AT4" s="21"/>
      <c r="AV4" s="193">
        <v>0</v>
      </c>
      <c r="AW4" s="193">
        <v>1</v>
      </c>
      <c r="AX4" s="193">
        <v>2</v>
      </c>
      <c r="AY4" s="193"/>
      <c r="AZ4" s="193" t="s">
        <v>163</v>
      </c>
      <c r="BC4" s="46" t="s">
        <v>164</v>
      </c>
      <c r="BD4" s="208">
        <v>3.75</v>
      </c>
      <c r="BE4" s="208">
        <v>2.9</v>
      </c>
      <c r="BF4" s="208">
        <v>2.25</v>
      </c>
      <c r="BG4" s="208">
        <v>1.9</v>
      </c>
      <c r="BH4" s="208">
        <v>1.7</v>
      </c>
      <c r="BJ4" s="132">
        <f>BJ3+19</f>
        <v>46120</v>
      </c>
      <c r="BL4" s="2">
        <v>4867</v>
      </c>
      <c r="BO4" s="44">
        <v>15</v>
      </c>
      <c r="BU4" s="132"/>
      <c r="BV4" s="127"/>
    </row>
    <row r="5" spans="1:74" ht="15" customHeight="1" x14ac:dyDescent="0.35">
      <c r="D5" s="1007" t="s">
        <v>165</v>
      </c>
      <c r="E5" s="1007"/>
      <c r="G5" s="204"/>
      <c r="H5" s="204"/>
      <c r="I5" s="205"/>
      <c r="J5" s="206"/>
      <c r="K5" s="207"/>
      <c r="L5" s="206"/>
      <c r="M5" s="206"/>
      <c r="T5" s="194">
        <f>A9</f>
        <v>46334</v>
      </c>
      <c r="U5">
        <v>13</v>
      </c>
      <c r="V5" s="375">
        <f>T5+BC31+U5</f>
        <v>46396</v>
      </c>
      <c r="X5" s="2"/>
      <c r="Y5" s="76"/>
      <c r="Z5" s="77"/>
      <c r="AA5" s="3"/>
      <c r="AB5" s="51"/>
      <c r="AC5" s="569"/>
      <c r="AD5" s="569"/>
      <c r="AE5" s="947" cm="1">
        <f t="array" ref="AE5">SUMPRODUCT(AE3:AE4,AD3:AD4/SUM(AD3:AD4))</f>
        <v>0.56666666666666665</v>
      </c>
      <c r="AF5" s="51"/>
      <c r="AT5" s="21"/>
      <c r="AV5" s="645" t="s">
        <v>155</v>
      </c>
      <c r="AW5" s="646" t="s">
        <v>156</v>
      </c>
      <c r="AX5" s="646" t="s">
        <v>157</v>
      </c>
      <c r="AY5" s="646"/>
      <c r="BC5" s="203" t="s">
        <v>157</v>
      </c>
      <c r="BD5" s="208">
        <v>13.5</v>
      </c>
      <c r="BE5" s="208">
        <v>5.28</v>
      </c>
      <c r="BF5" s="208">
        <v>3.98</v>
      </c>
      <c r="BG5" s="208">
        <v>2.93</v>
      </c>
      <c r="BH5" s="208">
        <v>2.4500000000000002</v>
      </c>
      <c r="BJ5" s="132">
        <f>BJ4-30</f>
        <v>46090</v>
      </c>
      <c r="BL5" s="2">
        <v>3665</v>
      </c>
      <c r="BO5" s="44">
        <f>AVERAGE(BO3:BO4)</f>
        <v>20</v>
      </c>
    </row>
    <row r="6" spans="1:74" ht="15" customHeight="1" x14ac:dyDescent="0.35">
      <c r="G6" s="204"/>
      <c r="H6" s="204"/>
      <c r="I6" s="205"/>
      <c r="J6" s="206"/>
      <c r="K6" s="207"/>
      <c r="L6" s="206"/>
      <c r="M6" s="206"/>
      <c r="R6" s="20"/>
      <c r="V6" s="2"/>
      <c r="X6" s="2"/>
      <c r="Y6" s="2"/>
      <c r="Z6" s="35"/>
      <c r="AB6" s="51"/>
      <c r="AC6" s="569"/>
      <c r="AD6" s="569"/>
      <c r="AE6" s="569"/>
      <c r="AF6" s="51"/>
      <c r="AJ6" s="384"/>
      <c r="AK6" s="384"/>
      <c r="AZ6" s="583" t="s">
        <v>166</v>
      </c>
      <c r="BC6" s="203" t="s">
        <v>156</v>
      </c>
      <c r="BD6" s="208">
        <v>-5.25</v>
      </c>
      <c r="BE6" s="208">
        <v>-1.7</v>
      </c>
      <c r="BF6" s="952">
        <v>-0.9</v>
      </c>
      <c r="BG6" s="208">
        <v>-0.7</v>
      </c>
      <c r="BH6" s="208">
        <v>-0.65</v>
      </c>
      <c r="BI6" s="2">
        <v>0.17</v>
      </c>
      <c r="BK6" s="44"/>
      <c r="BL6" s="44">
        <f>AVERAGE(BL3:BL4)</f>
        <v>4673.5</v>
      </c>
      <c r="BM6" s="44"/>
      <c r="BN6" s="44"/>
      <c r="BO6" s="44"/>
    </row>
    <row r="7" spans="1:74" ht="9" customHeight="1" thickBot="1" x14ac:dyDescent="0.4">
      <c r="G7" s="204"/>
      <c r="H7" s="204"/>
      <c r="I7" s="205"/>
      <c r="J7" s="206"/>
      <c r="K7" s="207"/>
      <c r="L7" s="206"/>
      <c r="M7" s="206"/>
      <c r="R7" s="20"/>
      <c r="V7" s="2"/>
      <c r="X7" s="2"/>
      <c r="Y7" s="2"/>
      <c r="Z7" s="35"/>
      <c r="AB7" s="51"/>
      <c r="AC7" s="569"/>
      <c r="AD7" s="569"/>
      <c r="AE7" s="569"/>
      <c r="AF7" s="51"/>
      <c r="AJ7" s="384"/>
      <c r="AK7" s="384"/>
      <c r="AZ7" s="583"/>
      <c r="BC7" s="203" t="s">
        <v>247</v>
      </c>
      <c r="BD7" s="207">
        <v>21</v>
      </c>
      <c r="BE7" s="207">
        <v>22</v>
      </c>
      <c r="BF7" s="207">
        <v>23</v>
      </c>
      <c r="BG7" s="207">
        <v>21</v>
      </c>
      <c r="BH7" s="207">
        <v>22</v>
      </c>
      <c r="BK7" s="44"/>
      <c r="BL7" s="44"/>
      <c r="BM7" s="44"/>
      <c r="BN7" s="44"/>
      <c r="BO7" s="44"/>
    </row>
    <row r="8" spans="1:74" ht="19" thickBot="1" x14ac:dyDescent="0.5">
      <c r="A8" s="1005" t="s">
        <v>167</v>
      </c>
      <c r="B8" s="1005"/>
      <c r="D8" s="112"/>
      <c r="E8" s="112"/>
      <c r="F8"/>
      <c r="G8"/>
      <c r="H8"/>
      <c r="I8"/>
      <c r="J8"/>
      <c r="K8"/>
      <c r="L8"/>
      <c r="M8"/>
      <c r="N8"/>
      <c r="O8"/>
      <c r="P8"/>
      <c r="Q8"/>
      <c r="T8" s="9"/>
      <c r="U8" s="9"/>
      <c r="V8" s="9"/>
      <c r="W8" s="9"/>
      <c r="X8" s="9"/>
      <c r="Y8" s="999" t="s">
        <v>168</v>
      </c>
      <c r="Z8" s="1000"/>
      <c r="AA8" s="1000"/>
      <c r="AB8" s="1000"/>
      <c r="AC8" s="1000"/>
      <c r="AD8" s="1000"/>
      <c r="AE8" s="1000"/>
      <c r="AF8" s="1000"/>
      <c r="AG8" s="1000"/>
      <c r="AH8" s="1000"/>
      <c r="AI8" s="1000"/>
      <c r="AJ8" s="1000"/>
      <c r="AK8" s="1000"/>
      <c r="AL8" s="1000"/>
      <c r="AM8" s="1000"/>
      <c r="AN8" s="1000"/>
      <c r="AO8" s="1000"/>
      <c r="AP8" s="1000"/>
      <c r="AQ8" s="1000"/>
      <c r="AR8" s="1000"/>
      <c r="AS8" s="1000"/>
      <c r="AT8" s="1000"/>
      <c r="AU8" s="1000"/>
      <c r="AV8" s="1000"/>
      <c r="AW8" s="1000"/>
      <c r="AX8" s="1000"/>
      <c r="AY8" s="1000"/>
      <c r="AZ8" s="1001"/>
      <c r="BC8" s="483">
        <v>1</v>
      </c>
      <c r="BD8" s="583" t="s">
        <v>169</v>
      </c>
      <c r="BE8" s="76"/>
      <c r="BF8" s="76"/>
      <c r="BG8" s="76"/>
      <c r="BH8" s="483">
        <v>1</v>
      </c>
      <c r="BI8" s="587"/>
      <c r="BJ8" s="587"/>
      <c r="BK8" s="44"/>
      <c r="BL8" s="34">
        <f>BL6/30</f>
        <v>155.78333333333333</v>
      </c>
    </row>
    <row r="9" spans="1:74" ht="31" customHeight="1" thickBot="1" x14ac:dyDescent="0.4">
      <c r="A9" s="309">
        <v>46334</v>
      </c>
      <c r="B9" s="310">
        <f>A9+2</f>
        <v>46336</v>
      </c>
      <c r="D9" s="137" t="s">
        <v>170</v>
      </c>
      <c r="E9" s="137" t="s">
        <v>171</v>
      </c>
      <c r="F9"/>
      <c r="G9"/>
      <c r="H9"/>
      <c r="I9"/>
      <c r="J9"/>
      <c r="K9"/>
      <c r="L9"/>
      <c r="M9"/>
      <c r="N9"/>
      <c r="O9"/>
      <c r="P9"/>
      <c r="Q9"/>
      <c r="T9" s="120" t="s">
        <v>172</v>
      </c>
      <c r="U9" s="120" t="s">
        <v>2</v>
      </c>
      <c r="V9" s="120" t="s">
        <v>173</v>
      </c>
      <c r="W9" s="152" t="s">
        <v>174</v>
      </c>
      <c r="X9" s="120" t="s">
        <v>175</v>
      </c>
      <c r="Y9" s="571" t="s">
        <v>176</v>
      </c>
      <c r="Z9" s="571" t="s">
        <v>177</v>
      </c>
      <c r="AA9" s="571" t="s">
        <v>178</v>
      </c>
      <c r="AB9" s="571" t="s">
        <v>179</v>
      </c>
      <c r="AC9" s="578" t="s">
        <v>180</v>
      </c>
      <c r="AD9" s="128" t="s">
        <v>181</v>
      </c>
      <c r="AE9" s="579" t="s">
        <v>182</v>
      </c>
      <c r="AF9" s="580" t="s">
        <v>183</v>
      </c>
      <c r="AG9" s="578" t="s">
        <v>127</v>
      </c>
      <c r="AH9" s="578" t="s">
        <v>128</v>
      </c>
      <c r="AI9" s="580" t="s">
        <v>184</v>
      </c>
      <c r="AJ9" s="580" t="s">
        <v>185</v>
      </c>
      <c r="AK9" s="580"/>
      <c r="AL9" s="580" t="s">
        <v>98</v>
      </c>
      <c r="AM9" s="580" t="s">
        <v>186</v>
      </c>
      <c r="AN9" s="580" t="s">
        <v>187</v>
      </c>
      <c r="AO9" s="580" t="s">
        <v>141</v>
      </c>
      <c r="AP9" s="580" t="s">
        <v>188</v>
      </c>
      <c r="AQ9" s="580" t="s">
        <v>17</v>
      </c>
      <c r="AR9" s="580" t="s">
        <v>18</v>
      </c>
      <c r="AS9" s="580" t="s">
        <v>189</v>
      </c>
      <c r="AT9" s="580" t="s">
        <v>152</v>
      </c>
      <c r="AU9" s="579" t="s">
        <v>190</v>
      </c>
      <c r="AV9" s="579" t="s">
        <v>191</v>
      </c>
      <c r="AW9" s="579" t="s">
        <v>192</v>
      </c>
      <c r="AX9" s="579" t="s">
        <v>193</v>
      </c>
      <c r="AY9" s="579" t="s">
        <v>360</v>
      </c>
      <c r="AZ9" s="137" t="s">
        <v>194</v>
      </c>
      <c r="BC9" s="137" t="s">
        <v>195</v>
      </c>
      <c r="BD9" s="1012" t="s">
        <v>196</v>
      </c>
      <c r="BE9" s="1012"/>
      <c r="BF9" s="581" t="s">
        <v>193</v>
      </c>
      <c r="BG9" s="581" t="s">
        <v>197</v>
      </c>
      <c r="BH9" s="581" t="s">
        <v>198</v>
      </c>
      <c r="BK9" s="44"/>
      <c r="BL9" s="44"/>
      <c r="BM9" s="44"/>
      <c r="BN9" s="44"/>
      <c r="BO9" s="44"/>
    </row>
    <row r="10" spans="1:74" ht="15.75" hidden="1" customHeight="1" outlineLevel="1" x14ac:dyDescent="0.35">
      <c r="A10" s="82">
        <f>+$A$9</f>
        <v>46334</v>
      </c>
      <c r="B10" s="82">
        <f t="shared" ref="B10:B11" si="0">IF(ISBLANK(A10),"",A10+2)</f>
        <v>46336</v>
      </c>
      <c r="D10" s="153">
        <f>IF(AL10=0,0,VLOOKUP(Y10,Control!$G$41:$J$44,4,FALSE))</f>
        <v>0</v>
      </c>
      <c r="E10" s="153"/>
      <c r="F10"/>
      <c r="G10"/>
      <c r="H10"/>
      <c r="I10"/>
      <c r="J10"/>
      <c r="K10"/>
      <c r="L10"/>
      <c r="M10"/>
      <c r="N10"/>
      <c r="O10"/>
      <c r="P10"/>
      <c r="Q10"/>
      <c r="T10" s="165" t="e">
        <v>#N/A</v>
      </c>
      <c r="U10" s="138">
        <f>INDEX(Control!$E$17:$J$21,MATCH(Y10,Control!$E$17:$E$21,0),MATCH(V10,Control!$E$17:$J$17,0))</f>
        <v>0.5</v>
      </c>
      <c r="V10" s="138" t="s">
        <v>63</v>
      </c>
      <c r="W10" s="116">
        <f>INDEX(Vessel_Minimum_MT,MATCH(Y10,Control!$E$11:$E$15,0),MATCH(V10,Control!$E$11:$J$11,0))</f>
        <v>50000</v>
      </c>
      <c r="X10" s="140">
        <f>AB10/Control!$D$84</f>
        <v>62424.327803203661</v>
      </c>
      <c r="Y10" s="147" t="s">
        <v>22</v>
      </c>
      <c r="Z10" s="142" t="s">
        <v>110</v>
      </c>
      <c r="AA10" s="142" t="str">
        <f t="shared" ref="AA10:AA16" si="1">IF(Z10=V10,"",CONCATENATE(CONCATENATE(VLOOKUP(V10,Zones,2,FALSE),"/",VLOOKUP(Z10,Zones,2,FALSE))))</f>
        <v>Panama WC/LATAM WEST</v>
      </c>
      <c r="AB10" s="141">
        <v>485000</v>
      </c>
      <c r="AC10" s="141">
        <v>245</v>
      </c>
      <c r="AD10" s="151">
        <v>100</v>
      </c>
      <c r="AE10" s="149" t="e">
        <f>IF(AD10&gt;1000,IF(AD10=0,AD10,AD10)/AB10,((W10*T10*(IF(AD10=0,AD10,AD10)/100))+IF(X10&lt;W10,0,(X10-W10)*T10*IF(AD10=0,AD10,AD10)/100*U10))/AB10)</f>
        <v>#N/A</v>
      </c>
      <c r="AF10" s="144">
        <v>5</v>
      </c>
      <c r="AG10" s="155">
        <f>IF(INDEX(Index,MATCH(Z10,TVM_PortList,0),MATCH("Type",Control!$Q$3:$U$3,0))="BL",INDEX(Index,MATCH(Z10,TVM_PortList,0),MATCH("Payment",Control!$Q$3:$U$3,0))-INDEX(Index,MATCH(V10,TVM_PortList,0),MATCH("Payment",Control!$Q$3:$U$3,0)),BC10+INDEX(Index,MATCH(Z10,TVM_PortList,0),MATCH("Payment",Control!$Q$3:$U$3,0))-INDEX(Index,MATCH(V10,TVM_PortList,0),MATCH("Payment",Control!$Q$3:$U$3,0)))</f>
        <v>15</v>
      </c>
      <c r="AH10" s="155"/>
      <c r="AI10" s="143">
        <f>AF10*VLOOKUP($Y10,Control!$F$75:$H$79,3,FALSE)/$AB10</f>
        <v>0.46391752577319589</v>
      </c>
      <c r="AJ10" s="143">
        <f>IF(AG10&lt;0,0,$AG10*Control!$D$77)</f>
        <v>0.19554246575342468</v>
      </c>
      <c r="AK10" s="143"/>
      <c r="AL10" s="143">
        <f>INDEX(Lightering,MATCH($V10,Control!$AB$3:$AB$29,0),MATCH(WTI!$Y10,Control!$AB$3:$AF$3,0))*($AB10/Control!$D$85)*Control!$H$90/$AB10</f>
        <v>0</v>
      </c>
      <c r="AM10" s="143">
        <f>IF(I10="Corpus Christi",Control!$D$76,0)</f>
        <v>0</v>
      </c>
      <c r="AN10" s="143">
        <v>0</v>
      </c>
      <c r="AO10" s="143">
        <f>Control!$D$78</f>
        <v>0</v>
      </c>
      <c r="AP10" s="143">
        <f>Control!$D$79</f>
        <v>6.7299999999999999E-2</v>
      </c>
      <c r="AQ10" s="143">
        <f>IF(INDEX(Control!$Q$3:$S$62,MATCH($Z10,Control!$Q$3:$Q$62,0),MATCH(AQ$9,Control!$Q$3:$S$3,0))=1,Control!$D$81*Control!$E$81,0)</f>
        <v>0</v>
      </c>
      <c r="AR10" s="143">
        <f>IF(INDEX(Control!$Q$3:$S$62,MATCH($Z10,Control!$Q$3:$Q$62,0),MATCH(AR$9,Control!$Q$3:$S$3,0))=1,Control!$D$82/$AB10,0)</f>
        <v>0</v>
      </c>
      <c r="AS10" s="143"/>
      <c r="AT10" s="143">
        <f>IF(AND(L10="Chiriqui Grande",V10="Puerto Armuelles"),Control!$G$93,0)</f>
        <v>0</v>
      </c>
      <c r="AU10" s="149">
        <f>SUM(AI10:AT10)</f>
        <v>0.72675999152662063</v>
      </c>
      <c r="AV10" s="149" t="e">
        <f t="shared" ref="AV10:AV22" si="2">+R10+AE10+AU10</f>
        <v>#N/A</v>
      </c>
      <c r="AW10" s="149" t="e">
        <f t="shared" ref="AW10:AW16" si="3">IF((MONTH(A10)=MONTH(BE10)),0,IF((MONTH(BE10)+12)-(MONTH(A10)+12)&gt;1,VLOOKUP("Spreads",$BC$3:$BG$4,MATCH(EOMONTH(BE10,0),$BC$3:$BG$3,0),FALSE)+VLOOKUP("Spreads",$BC$3:$BG$4,MATCH(EOMONTH(BE10,-1),$BC$3:$BG$3,0),FALSE),VLOOKUP("Spreads",$BC$3:$BG$4,MATCH(EOMONTH(A10,0),$BC$3:$BG$3,0))))</f>
        <v>#N/A</v>
      </c>
      <c r="AX10" s="149">
        <v>0</v>
      </c>
      <c r="AY10" s="149"/>
      <c r="AZ10" s="497" t="e">
        <f t="shared" ref="AZ10:AZ22" si="4">$Y$3+AV10+AW10+AX10</f>
        <v>#N/A</v>
      </c>
      <c r="BC10" s="153" t="e">
        <f>INDEX('[1]Transit Time'!$A:$DZ,MATCH(I10,'[1]Transit Time'!$A:$A,0),MATCH(L10,'[1]Transit Time'!$A$1:$DZ$1,0))+INDEX('[1]Transit Time'!$A:$DZ,MATCH(L10,'[1]Transit Time'!$A:$A,0),MATCH(V10,'[1]Transit Time'!$A$1:$DZ$1,0))+INDEX('[1]Transit Time'!$A:$DZ,MATCH(V10,'[1]Transit Time'!$A:$A,0),MATCH(Z10,'[1]Transit Time'!$A$1:$DZ$1,0))</f>
        <v>#N/A</v>
      </c>
      <c r="BD10" s="163" t="e">
        <f>IF(ISBLANK(A10),"",A10+$BC10+D10)</f>
        <v>#N/A</v>
      </c>
      <c r="BE10" s="163" t="e">
        <f>IF(ISBLANK(B10),"",B10+$BC10)</f>
        <v>#N/A</v>
      </c>
      <c r="BF10" s="163"/>
      <c r="BG10" s="163"/>
      <c r="BH10" s="163"/>
    </row>
    <row r="11" spans="1:74" ht="15.75" hidden="1" customHeight="1" outlineLevel="1" x14ac:dyDescent="0.35">
      <c r="A11" s="209">
        <f>+$A$10</f>
        <v>46334</v>
      </c>
      <c r="B11" s="209">
        <f t="shared" si="0"/>
        <v>46336</v>
      </c>
      <c r="D11" s="229">
        <f>IF(AL11=0,0,VLOOKUP(Y11,Control!$G$41:$J$44,4,FALSE))</f>
        <v>0</v>
      </c>
      <c r="E11" s="229"/>
      <c r="F11"/>
      <c r="G11"/>
      <c r="H11"/>
      <c r="I11"/>
      <c r="J11"/>
      <c r="K11"/>
      <c r="L11"/>
      <c r="M11"/>
      <c r="N11"/>
      <c r="O11"/>
      <c r="P11"/>
      <c r="Q11"/>
      <c r="T11" s="220">
        <f>INDEX('[2]Flat Rates 2025'!$A:$DZ,MATCH(V11,'[2]Flat Rates 2025'!$A:$A,0),MATCH(Z11,'[2]Flat Rates 2025'!$A$1:$DZ$1,0))</f>
        <v>10.63</v>
      </c>
      <c r="U11" s="220">
        <f>INDEX(Control!$E$17:$J$21,MATCH(Y11,Control!$E$17:$E$21,0),MATCH(V11,Control!$E$17:$J$17,0))</f>
        <v>0.5</v>
      </c>
      <c r="V11" s="220" t="s">
        <v>63</v>
      </c>
      <c r="W11" s="213">
        <f>INDEX(Vessel_Minimum_MT,MATCH(Y11,Control!$E$11:$E$15,0),MATCH(V11,Control!$E$11:$J$11,0))</f>
        <v>70000</v>
      </c>
      <c r="X11" s="222">
        <f>AB11/Control!$D$84</f>
        <v>96532.465675057203</v>
      </c>
      <c r="Y11" s="215" t="s">
        <v>23</v>
      </c>
      <c r="Z11" s="212" t="s">
        <v>110</v>
      </c>
      <c r="AA11" s="212" t="str">
        <f t="shared" si="1"/>
        <v>Panama WC/LATAM WEST</v>
      </c>
      <c r="AB11" s="214">
        <v>750000</v>
      </c>
      <c r="AC11" s="214">
        <v>155</v>
      </c>
      <c r="AD11" s="224"/>
      <c r="AE11" s="225">
        <f t="shared" ref="AE11:AE22" si="5">IF(AC11&gt;1000,IF(AD11=0,AC11,AD11)/AB11,((W11*T11*(IF(AD11=0,AC11,AD11)/100))+IF(X11&lt;W11,0,(X11-W11)*T11*IF(AD11=0,AC11,AD11)/100*U11))/AB11)</f>
        <v>1.82924811379672</v>
      </c>
      <c r="AF11" s="226">
        <v>0</v>
      </c>
      <c r="AG11" s="214">
        <f>IF(INDEX(Index,MATCH(Z11,TVM_PortList,0),MATCH("Type",Control!$Q$3:$U$3,0))="BL",INDEX(Index,MATCH(Z11,TVM_PortList,0),MATCH("Payment",Control!$Q$3:$U$3,0))-INDEX(Index,MATCH(V11,TVM_PortList,0),MATCH("Payment",Control!$Q$3:$U$3,0)),BC11+INDEX(Index,MATCH(Z11,TVM_PortList,0),MATCH("Payment",Control!$Q$3:$U$3,0))-INDEX(Index,MATCH(V11,TVM_PortList,0),MATCH("Payment",Control!$Q$3:$U$3,0)))</f>
        <v>15</v>
      </c>
      <c r="AH11" s="214"/>
      <c r="AI11" s="227">
        <f>AF11*VLOOKUP($Y11,Control!$F$75:$H$79,3,FALSE)/$AB11</f>
        <v>0</v>
      </c>
      <c r="AJ11" s="227">
        <f>IF(AG11&lt;0,0,$AG11*Control!$D$77)</f>
        <v>0.19554246575342468</v>
      </c>
      <c r="AK11" s="227"/>
      <c r="AL11" s="227">
        <f>INDEX(Lightering,MATCH($V11,Control!$AB$3:$AB$29,0),MATCH(WTI!$Y11,Control!$AB$3:$AF$3,0))*($AB11/Control!$D$85)*Control!$H$90/$AB11</f>
        <v>0</v>
      </c>
      <c r="AM11" s="227">
        <f>IF(I11="Corpus Christi",Control!$D$76,0)</f>
        <v>0</v>
      </c>
      <c r="AN11" s="227">
        <v>0</v>
      </c>
      <c r="AO11" s="227">
        <f>Control!$D$78</f>
        <v>0</v>
      </c>
      <c r="AP11" s="227">
        <f>Control!$D$79</f>
        <v>6.7299999999999999E-2</v>
      </c>
      <c r="AQ11" s="227">
        <f>IF(INDEX(Control!$Q$3:$S$62,MATCH($Z11,Control!$Q$3:$Q$62,0),MATCH(AQ$9,Control!$Q$3:$S$3,0))=1,Control!$D$81*Control!$E$81,0)</f>
        <v>0</v>
      </c>
      <c r="AR11" s="227">
        <f>IF(INDEX(Control!$Q$3:$S$62,MATCH($Z11,Control!$Q$3:$Q$62,0),MATCH(AR$9,Control!$Q$3:$S$3,0))=1,Control!$D$82/$AB11,0)</f>
        <v>0</v>
      </c>
      <c r="AS11" s="227"/>
      <c r="AT11" s="227">
        <f>IF(AND(L11="Chiriqui Grande",V11="Puerto Armuelles"),Control!$G$93,0)</f>
        <v>0</v>
      </c>
      <c r="AU11" s="225">
        <f t="shared" ref="AU11:AU16" si="6">SUM(AI11:AT11)</f>
        <v>0.26284246575342468</v>
      </c>
      <c r="AV11" s="225">
        <f t="shared" si="2"/>
        <v>2.0920905795501445</v>
      </c>
      <c r="AW11" s="225" t="e">
        <f t="shared" si="3"/>
        <v>#VALUE!</v>
      </c>
      <c r="AX11" s="225">
        <v>0</v>
      </c>
      <c r="AY11" s="225"/>
      <c r="AZ11" s="498" t="e">
        <f t="shared" si="4"/>
        <v>#VALUE!</v>
      </c>
      <c r="BB11" s="220"/>
      <c r="BC11" s="229" t="e">
        <f>INDEX('[1]Transit Time'!$A:$DZ,MATCH(I11,'[1]Transit Time'!$A:$A,0),MATCH(L11,'[1]Transit Time'!$A$1:$DZ$1,0))+INDEX('[1]Transit Time'!$A:$DZ,MATCH(L11,'[1]Transit Time'!$A:$A,0),MATCH(V11,'[1]Transit Time'!$A$1:$DZ$1,0))+INDEX('[1]Transit Time'!$A:$DZ,MATCH(V11,'[1]Transit Time'!$A:$A,0),MATCH(Z11,'[1]Transit Time'!$A$1:$DZ$1,0))</f>
        <v>#N/A</v>
      </c>
      <c r="BD11" s="230" t="e">
        <f t="shared" ref="BD11:BD16" si="7">IF(ISBLANK(A11),"",A11+$BC11)</f>
        <v>#N/A</v>
      </c>
      <c r="BE11" s="230" t="str">
        <f t="shared" ref="BE11:BE18" si="8">IFERROR(IF(ISBLANK(B11),"",B11+$BC11),"")</f>
        <v/>
      </c>
      <c r="BF11" s="230"/>
      <c r="BG11" s="230"/>
      <c r="BH11" s="230"/>
    </row>
    <row r="12" spans="1:74" ht="15.75" hidden="1" customHeight="1" outlineLevel="1" x14ac:dyDescent="0.35">
      <c r="A12" s="163">
        <f t="shared" ref="A12:A16" si="9">+$A$10</f>
        <v>46334</v>
      </c>
      <c r="B12" s="163">
        <f t="shared" ref="B12:B16" si="10">IF(ISBLANK(A12),"",A12+2)</f>
        <v>46336</v>
      </c>
      <c r="D12" s="153">
        <f>IF(AL12=0,0,VLOOKUP(Y12,Control!$G$41:$J$44,4,FALSE))</f>
        <v>0</v>
      </c>
      <c r="E12" s="153"/>
      <c r="F12"/>
      <c r="G12"/>
      <c r="H12"/>
      <c r="I12"/>
      <c r="J12"/>
      <c r="K12"/>
      <c r="L12"/>
      <c r="M12"/>
      <c r="N12"/>
      <c r="O12"/>
      <c r="P12"/>
      <c r="Q12"/>
      <c r="T12" s="191">
        <f>INDEX('[2]Flat Rates 2025'!$A:$DZ,MATCH(V12,'[2]Flat Rates 2025'!$A:$A,0),MATCH(Z12,'[2]Flat Rates 2025'!$A$1:$DZ$1,0))</f>
        <v>10.63</v>
      </c>
      <c r="U12" s="138">
        <f>INDEX(Control!$E$17:$J$21,MATCH(Y12,Control!$E$17:$E$21,0),MATCH(V12,Control!$E$17:$J$17,0))</f>
        <v>0.5</v>
      </c>
      <c r="V12" s="138" t="s">
        <v>63</v>
      </c>
      <c r="W12" s="116">
        <f>INDEX(Vessel_Minimum_MT,MATCH(Y12,Control!$E$11:$E$15,0),MATCH(V12,Control!$E$11:$J$11,0))</f>
        <v>145000</v>
      </c>
      <c r="X12" s="140">
        <f>AB12/Control!$D$84</f>
        <v>128709.9542334096</v>
      </c>
      <c r="Y12" s="147" t="s">
        <v>24</v>
      </c>
      <c r="Z12" s="142" t="s">
        <v>110</v>
      </c>
      <c r="AA12" s="142" t="str">
        <f t="shared" si="1"/>
        <v>Panama WC/LATAM WEST</v>
      </c>
      <c r="AB12" s="141">
        <v>1000000</v>
      </c>
      <c r="AC12" s="141">
        <v>110</v>
      </c>
      <c r="AD12" s="151"/>
      <c r="AE12" s="149">
        <f t="shared" si="5"/>
        <v>1.6954850000000001</v>
      </c>
      <c r="AF12" s="144">
        <v>0</v>
      </c>
      <c r="AG12" s="141">
        <f>IF(INDEX(Index,MATCH(Z12,TVM_PortList,0),MATCH("Type",Control!$Q$3:$U$3,0))="BL",INDEX(Index,MATCH(Z12,TVM_PortList,0),MATCH("Payment",Control!$Q$3:$U$3,0))-INDEX(Index,MATCH(V12,TVM_PortList,0),MATCH("Payment",Control!$Q$3:$U$3,0)),BC12+INDEX(Index,MATCH(Z12,TVM_PortList,0),MATCH("Payment",Control!$Q$3:$U$3,0))-INDEX(Index,MATCH(V12,TVM_PortList,0),MATCH("Payment",Control!$Q$3:$U$3,0)))</f>
        <v>15</v>
      </c>
      <c r="AH12" s="141"/>
      <c r="AI12" s="143">
        <f>AF12*VLOOKUP($Y12,Control!$F$75:$H$79,3,FALSE)/$AB12</f>
        <v>0</v>
      </c>
      <c r="AJ12" s="143">
        <f>IF(AG12&lt;0,0,$AG12*Control!$D$77)</f>
        <v>0.19554246575342468</v>
      </c>
      <c r="AK12" s="143"/>
      <c r="AL12" s="143">
        <f>INDEX(Lightering,MATCH($V12,Control!$AB$3:$AB$29,0),MATCH(WTI!$Y12,Control!$AB$3:$AF$3,0))*($AB12/Control!$D$85)*Control!$H$90/$AB12</f>
        <v>0</v>
      </c>
      <c r="AM12" s="143">
        <f>IF(I12="Corpus Christi",Control!$D$76,0)</f>
        <v>0</v>
      </c>
      <c r="AN12" s="143">
        <v>0</v>
      </c>
      <c r="AO12" s="143">
        <f>Control!$D$78</f>
        <v>0</v>
      </c>
      <c r="AP12" s="143">
        <f>Control!$D$79</f>
        <v>6.7299999999999999E-2</v>
      </c>
      <c r="AQ12" s="143">
        <f>IF(INDEX(Control!$Q$3:$S$62,MATCH($Z12,Control!$Q$3:$Q$62,0),MATCH(AQ$9,Control!$Q$3:$S$3,0))=1,Control!$D$81*Control!$E$81,0)</f>
        <v>0</v>
      </c>
      <c r="AR12" s="143">
        <f>IF(INDEX(Control!$Q$3:$S$62,MATCH($Z12,Control!$Q$3:$Q$62,0),MATCH(AR$9,Control!$Q$3:$S$3,0))=1,Control!$D$82/$AB12,0)</f>
        <v>0</v>
      </c>
      <c r="AS12" s="143"/>
      <c r="AT12" s="143">
        <f>IF(AND(L12="Chiriqui Grande",V12="Puerto Armuelles"),Control!$G$93,0)</f>
        <v>0</v>
      </c>
      <c r="AU12" s="149">
        <f t="shared" si="6"/>
        <v>0.26284246575342468</v>
      </c>
      <c r="AV12" s="149">
        <f t="shared" si="2"/>
        <v>1.9583274657534249</v>
      </c>
      <c r="AW12" s="149" t="e">
        <f t="shared" si="3"/>
        <v>#VALUE!</v>
      </c>
      <c r="AX12" s="149">
        <v>0</v>
      </c>
      <c r="AY12" s="149"/>
      <c r="AZ12" s="499" t="e">
        <f t="shared" si="4"/>
        <v>#VALUE!</v>
      </c>
      <c r="BC12" s="153" t="e">
        <f>INDEX('[1]Transit Time'!$A:$DZ,MATCH(I12,'[1]Transit Time'!$A:$A,0),MATCH(L12,'[1]Transit Time'!$A$1:$DZ$1,0))+INDEX('[1]Transit Time'!$A:$DZ,MATCH(L12,'[1]Transit Time'!$A:$A,0),MATCH(V12,'[1]Transit Time'!$A$1:$DZ$1,0))+INDEX('[1]Transit Time'!$A:$DZ,MATCH(V12,'[1]Transit Time'!$A:$A,0),MATCH(Z12,'[1]Transit Time'!$A$1:$DZ$1,0))</f>
        <v>#N/A</v>
      </c>
      <c r="BD12" s="163" t="e">
        <f t="shared" si="7"/>
        <v>#N/A</v>
      </c>
      <c r="BE12" s="163" t="str">
        <f t="shared" si="8"/>
        <v/>
      </c>
      <c r="BF12" s="163"/>
      <c r="BG12" s="163"/>
      <c r="BH12" s="163"/>
    </row>
    <row r="13" spans="1:74" ht="15.75" hidden="1" customHeight="1" outlineLevel="1" x14ac:dyDescent="0.35">
      <c r="A13" s="230">
        <f t="shared" si="9"/>
        <v>46334</v>
      </c>
      <c r="B13" s="230">
        <f t="shared" si="10"/>
        <v>46336</v>
      </c>
      <c r="D13" s="229">
        <f>IF(AL13=0,0,VLOOKUP(Y13,Control!$G$41:$J$44,4,FALSE))</f>
        <v>0</v>
      </c>
      <c r="E13" s="229"/>
      <c r="F13"/>
      <c r="G13"/>
      <c r="H13"/>
      <c r="I13"/>
      <c r="J13"/>
      <c r="K13"/>
      <c r="L13"/>
      <c r="M13"/>
      <c r="N13"/>
      <c r="O13"/>
      <c r="P13"/>
      <c r="Q13"/>
      <c r="T13" s="220">
        <f>INDEX('[2]Flat Rates 2025'!$A:$DZ,MATCH(V13,'[2]Flat Rates 2025'!$A:$A,0),MATCH(Z13,'[2]Flat Rates 2025'!$A$1:$DZ$1,0))</f>
        <v>5.93</v>
      </c>
      <c r="U13" s="220">
        <f>INDEX(Control!$E$17:$J$21,MATCH(Y13,Control!$E$17:$E$21,0),MATCH(V13,Control!$E$17:$J$17,0))</f>
        <v>0.5</v>
      </c>
      <c r="V13" s="220" t="s">
        <v>63</v>
      </c>
      <c r="W13" s="213">
        <f>INDEX(Vessel_Minimum_MT,MATCH(Y13,Control!$E$11:$E$15,0),MATCH(V13,Control!$E$11:$J$11,0))</f>
        <v>50000</v>
      </c>
      <c r="X13" s="222">
        <f>AB13/Control!$D$84</f>
        <v>61137.22826086956</v>
      </c>
      <c r="Y13" s="215" t="s">
        <v>22</v>
      </c>
      <c r="Z13" s="212" t="s">
        <v>94</v>
      </c>
      <c r="AA13" s="212" t="str">
        <f t="shared" si="1"/>
        <v>Panama WC/PAMPILLA</v>
      </c>
      <c r="AB13" s="214">
        <v>475000</v>
      </c>
      <c r="AC13" s="214">
        <v>1001</v>
      </c>
      <c r="AD13" s="224">
        <v>700000</v>
      </c>
      <c r="AE13" s="225">
        <f t="shared" si="5"/>
        <v>1.4736842105263157</v>
      </c>
      <c r="AF13" s="226">
        <v>0</v>
      </c>
      <c r="AG13" s="214" t="e">
        <f>IF(INDEX(Index,MATCH(Z13,TVM_PortList,0),MATCH("Type",Control!$Q$3:$U$3,0))="BL",INDEX(Index,MATCH(Z13,TVM_PortList,0),MATCH("Payment",Control!$Q$3:$U$3,0))-INDEX(Index,MATCH(V13,TVM_PortList,0),MATCH("Payment",Control!$Q$3:$U$3,0)),BC13+INDEX(Index,MATCH(Z13,TVM_PortList,0),MATCH("Payment",Control!$Q$3:$U$3,0))-INDEX(Index,MATCH(V13,TVM_PortList,0),MATCH("Payment",Control!$Q$3:$U$3,0)))</f>
        <v>#N/A</v>
      </c>
      <c r="AH13" s="214"/>
      <c r="AI13" s="227">
        <f>AF13*VLOOKUP($Y13,Control!$F$75:$H$79,3,FALSE)/$AB13</f>
        <v>0</v>
      </c>
      <c r="AJ13" s="227" t="e">
        <f>IF(AG13&lt;0,0,$AG13*Control!$D$77)</f>
        <v>#N/A</v>
      </c>
      <c r="AK13" s="227"/>
      <c r="AL13" s="227">
        <f>INDEX(Lightering,MATCH($V13,Control!$AB$3:$AB$29,0),MATCH(WTI!$Y13,Control!$AB$3:$AF$3,0))*($AB13/Control!$D$85)*Control!$H$90/$AB13</f>
        <v>0</v>
      </c>
      <c r="AM13" s="227">
        <f>IF(I13="Corpus Christi",Control!$D$76,0)</f>
        <v>0</v>
      </c>
      <c r="AN13" s="227">
        <v>0</v>
      </c>
      <c r="AO13" s="227">
        <f>Control!$D$78</f>
        <v>0</v>
      </c>
      <c r="AP13" s="227">
        <f>Control!$D$79</f>
        <v>6.7299999999999999E-2</v>
      </c>
      <c r="AQ13" s="227">
        <f>IF(INDEX(Control!$Q$3:$S$62,MATCH($Z13,Control!$Q$3:$Q$62,0),MATCH(AQ$9,Control!$Q$3:$S$3,0))=1,Control!$D$81*Control!$E$81,0)</f>
        <v>0</v>
      </c>
      <c r="AR13" s="227">
        <f>IF(INDEX(Control!$Q$3:$S$62,MATCH($Z13,Control!$Q$3:$Q$62,0),MATCH(AR$9,Control!$Q$3:$S$3,0))=1,Control!$D$82/$AB13,0)</f>
        <v>0</v>
      </c>
      <c r="AS13" s="227"/>
      <c r="AT13" s="227">
        <f>IF(AND(L13="Chiriqui Grande",V13="Puerto Armuelles"),Control!$G$93,0)</f>
        <v>0</v>
      </c>
      <c r="AU13" s="225" t="e">
        <f t="shared" si="6"/>
        <v>#N/A</v>
      </c>
      <c r="AV13" s="225" t="e">
        <f t="shared" si="2"/>
        <v>#N/A</v>
      </c>
      <c r="AW13" s="225" t="e">
        <f t="shared" si="3"/>
        <v>#VALUE!</v>
      </c>
      <c r="AX13" s="225">
        <v>0</v>
      </c>
      <c r="AY13" s="225"/>
      <c r="AZ13" s="498" t="e">
        <f t="shared" si="4"/>
        <v>#N/A</v>
      </c>
      <c r="BB13" s="220"/>
      <c r="BC13" s="229" t="e">
        <f>INDEX('[1]Transit Time'!$A:$DZ,MATCH(I13,'[1]Transit Time'!$A:$A,0),MATCH(L13,'[1]Transit Time'!$A$1:$DZ$1,0))+INDEX('[1]Transit Time'!$A:$DZ,MATCH(L13,'[1]Transit Time'!$A:$A,0),MATCH(V13,'[1]Transit Time'!$A$1:$DZ$1,0))+INDEX('[1]Transit Time'!$A:$DZ,MATCH(V13,'[1]Transit Time'!$A:$A,0),MATCH(Z13,'[1]Transit Time'!$A$1:$DZ$1,0))</f>
        <v>#N/A</v>
      </c>
      <c r="BD13" s="230" t="e">
        <f t="shared" si="7"/>
        <v>#N/A</v>
      </c>
      <c r="BE13" s="230" t="str">
        <f t="shared" si="8"/>
        <v/>
      </c>
      <c r="BF13" s="230"/>
      <c r="BG13" s="230"/>
      <c r="BH13" s="230"/>
    </row>
    <row r="14" spans="1:74" ht="15.75" hidden="1" customHeight="1" outlineLevel="1" x14ac:dyDescent="0.35">
      <c r="A14" s="163">
        <f t="shared" si="9"/>
        <v>46334</v>
      </c>
      <c r="B14" s="163">
        <f t="shared" si="10"/>
        <v>46336</v>
      </c>
      <c r="D14" s="153">
        <f>IF(AL14=0,0,VLOOKUP(Y14,Control!$G$41:$J$44,4,FALSE))</f>
        <v>0</v>
      </c>
      <c r="E14" s="153"/>
      <c r="F14"/>
      <c r="G14"/>
      <c r="H14"/>
      <c r="I14"/>
      <c r="J14"/>
      <c r="K14"/>
      <c r="L14"/>
      <c r="M14"/>
      <c r="N14"/>
      <c r="O14"/>
      <c r="P14"/>
      <c r="Q14"/>
      <c r="T14" s="138">
        <f>INDEX('[2]Flat Rates 2025'!$A:$DZ,MATCH(V14,'[2]Flat Rates 2025'!$A:$A,0),MATCH(Z14,'[2]Flat Rates 2025'!$A$1:$DZ$1,0))</f>
        <v>5.93</v>
      </c>
      <c r="U14" s="138">
        <f>INDEX(Control!$E$17:$J$21,MATCH(Y14,Control!$E$17:$E$21,0),MATCH(V14,Control!$E$17:$J$17,0))</f>
        <v>0.5</v>
      </c>
      <c r="V14" s="138" t="s">
        <v>63</v>
      </c>
      <c r="W14" s="116">
        <f>INDEX(Vessel_Minimum_MT,MATCH(Y14,Control!$E$11:$E$15,0),MATCH(V14,Control!$E$11:$J$11,0))</f>
        <v>70000</v>
      </c>
      <c r="X14" s="140">
        <f>AB14/Control!$D$84</f>
        <v>84948.569794050345</v>
      </c>
      <c r="Y14" s="147" t="s">
        <v>23</v>
      </c>
      <c r="Z14" s="142" t="s">
        <v>94</v>
      </c>
      <c r="AA14" s="142" t="str">
        <f t="shared" si="1"/>
        <v>Panama WC/PAMPILLA</v>
      </c>
      <c r="AB14" s="141">
        <v>660000</v>
      </c>
      <c r="AC14" s="141">
        <v>205</v>
      </c>
      <c r="AD14" s="151">
        <v>0</v>
      </c>
      <c r="AE14" s="149">
        <f t="shared" si="5"/>
        <v>1.4269941581071006</v>
      </c>
      <c r="AF14" s="144">
        <v>0</v>
      </c>
      <c r="AG14" s="141" t="e">
        <f>IF(INDEX(Index,MATCH(Z14,TVM_PortList,0),MATCH("Type",Control!$Q$3:$U$3,0))="BL",INDEX(Index,MATCH(Z14,TVM_PortList,0),MATCH("Payment",Control!$Q$3:$U$3,0))-INDEX(Index,MATCH(V14,TVM_PortList,0),MATCH("Payment",Control!$Q$3:$U$3,0)),BC14+INDEX(Index,MATCH(Z14,TVM_PortList,0),MATCH("Payment",Control!$Q$3:$U$3,0))-INDEX(Index,MATCH(V14,TVM_PortList,0),MATCH("Payment",Control!$Q$3:$U$3,0)))</f>
        <v>#N/A</v>
      </c>
      <c r="AH14" s="141"/>
      <c r="AI14" s="143">
        <f>AF14*VLOOKUP($Y14,Control!$F$75:$H$79,3,FALSE)/$AB14</f>
        <v>0</v>
      </c>
      <c r="AJ14" s="143" t="e">
        <f>IF(AG14&lt;0,0,$AG14*Control!$D$77)</f>
        <v>#N/A</v>
      </c>
      <c r="AK14" s="143"/>
      <c r="AL14" s="143">
        <f>INDEX(Lightering,MATCH($V14,Control!$AB$3:$AB$29,0),MATCH(WTI!$Y14,Control!$AB$3:$AF$3,0))*($AB14/Control!$D$85)*Control!$H$90/$AB14</f>
        <v>0</v>
      </c>
      <c r="AM14" s="143">
        <f>IF(I14="Corpus Christi",Control!$D$76,0)</f>
        <v>0</v>
      </c>
      <c r="AN14" s="143">
        <v>0</v>
      </c>
      <c r="AO14" s="143">
        <f>Control!$D$78</f>
        <v>0</v>
      </c>
      <c r="AP14" s="143">
        <f>Control!$D$79</f>
        <v>6.7299999999999999E-2</v>
      </c>
      <c r="AQ14" s="143">
        <f>IF(INDEX(Control!$Q$3:$S$62,MATCH($Z14,Control!$Q$3:$Q$62,0),MATCH(AQ$9,Control!$Q$3:$S$3,0))=1,Control!$D$81*Control!$E$81,0)</f>
        <v>0</v>
      </c>
      <c r="AR14" s="143">
        <f>IF(INDEX(Control!$Q$3:$S$62,MATCH($Z14,Control!$Q$3:$Q$62,0),MATCH(AR$9,Control!$Q$3:$S$3,0))=1,Control!$D$82/$AB14,0)</f>
        <v>0</v>
      </c>
      <c r="AS14" s="143"/>
      <c r="AT14" s="143">
        <f>IF(AND(L14="Chiriqui Grande",V14="Puerto Armuelles"),Control!$G$93,0)</f>
        <v>0</v>
      </c>
      <c r="AU14" s="149" t="e">
        <f t="shared" si="6"/>
        <v>#N/A</v>
      </c>
      <c r="AV14" s="149" t="e">
        <f t="shared" si="2"/>
        <v>#N/A</v>
      </c>
      <c r="AW14" s="149" t="e">
        <f t="shared" si="3"/>
        <v>#VALUE!</v>
      </c>
      <c r="AX14" s="149">
        <v>0</v>
      </c>
      <c r="AY14" s="149"/>
      <c r="AZ14" s="499" t="e">
        <f t="shared" si="4"/>
        <v>#N/A</v>
      </c>
      <c r="BC14" s="153" t="e">
        <f>INDEX('[1]Transit Time'!$A:$DZ,MATCH(I14,'[1]Transit Time'!$A:$A,0),MATCH(L14,'[1]Transit Time'!$A$1:$DZ$1,0))+INDEX('[1]Transit Time'!$A:$DZ,MATCH(L14,'[1]Transit Time'!$A:$A,0),MATCH(V14,'[1]Transit Time'!$A$1:$DZ$1,0))+INDEX('[1]Transit Time'!$A:$DZ,MATCH(V14,'[1]Transit Time'!$A:$A,0),MATCH(Z14,'[1]Transit Time'!$A$1:$DZ$1,0))</f>
        <v>#N/A</v>
      </c>
      <c r="BD14" s="163" t="e">
        <f t="shared" si="7"/>
        <v>#N/A</v>
      </c>
      <c r="BE14" s="163" t="str">
        <f t="shared" si="8"/>
        <v/>
      </c>
      <c r="BF14" s="163"/>
      <c r="BG14" s="163"/>
      <c r="BH14" s="163"/>
    </row>
    <row r="15" spans="1:74" ht="15.75" hidden="1" customHeight="1" outlineLevel="1" x14ac:dyDescent="0.35">
      <c r="A15" s="230">
        <f t="shared" si="9"/>
        <v>46334</v>
      </c>
      <c r="B15" s="230">
        <f t="shared" si="10"/>
        <v>46336</v>
      </c>
      <c r="D15" s="229">
        <f>IF(AL15=0,0,VLOOKUP(Y15,Control!$G$41:$J$44,4,FALSE))</f>
        <v>0</v>
      </c>
      <c r="E15" s="229"/>
      <c r="F15"/>
      <c r="G15"/>
      <c r="H15"/>
      <c r="I15"/>
      <c r="J15"/>
      <c r="K15"/>
      <c r="L15"/>
      <c r="M15"/>
      <c r="N15"/>
      <c r="O15"/>
      <c r="P15"/>
      <c r="Q15"/>
      <c r="T15" s="220" t="e">
        <f>INDEX('[2]Flat Rates 2025'!$A:$DZ,MATCH(V15,'[2]Flat Rates 2025'!$A:$A,0),MATCH(Z15,'[2]Flat Rates 2025'!$A$1:$DZ$1,0))</f>
        <v>#N/A</v>
      </c>
      <c r="U15" s="220">
        <f>INDEX(Control!$E$17:$J$21,MATCH(Y15,Control!$E$17:$E$21,0),MATCH(V15,Control!$E$17:$J$17,0))</f>
        <v>0.5</v>
      </c>
      <c r="V15" s="220" t="s">
        <v>63</v>
      </c>
      <c r="W15" s="213">
        <f>INDEX(Vessel_Minimum_MT,MATCH(Y15,Control!$E$11:$E$15,0),MATCH(V15,Control!$E$11:$J$11,0))</f>
        <v>50000</v>
      </c>
      <c r="X15" s="222">
        <f>AB15/Control!$D$84</f>
        <v>51355.271739130432</v>
      </c>
      <c r="Y15" s="215" t="s">
        <v>22</v>
      </c>
      <c r="Z15" s="212" t="s">
        <v>199</v>
      </c>
      <c r="AA15" s="212" t="e">
        <f t="shared" si="1"/>
        <v>#N/A</v>
      </c>
      <c r="AB15" s="214">
        <v>399000</v>
      </c>
      <c r="AC15" s="214">
        <v>1001</v>
      </c>
      <c r="AD15" s="224">
        <v>700000</v>
      </c>
      <c r="AE15" s="225">
        <f t="shared" si="5"/>
        <v>1.7543859649122806</v>
      </c>
      <c r="AF15" s="226">
        <v>0</v>
      </c>
      <c r="AG15" s="214" t="e">
        <f>IF(INDEX(Index,MATCH(Z15,TVM_PortList,0),MATCH("Type",Control!$Q$3:$U$3,0))="BL",INDEX(Index,MATCH(Z15,TVM_PortList,0),MATCH("Payment",Control!$Q$3:$U$3,0))-INDEX(Index,MATCH(V15,TVM_PortList,0),MATCH("Payment",Control!$Q$3:$U$3,0)),BC15+INDEX(Index,MATCH(Z15,TVM_PortList,0),MATCH("Payment",Control!$Q$3:$U$3,0))-INDEX(Index,MATCH(V15,TVM_PortList,0),MATCH("Payment",Control!$Q$3:$U$3,0)))</f>
        <v>#N/A</v>
      </c>
      <c r="AH15" s="214"/>
      <c r="AI15" s="227">
        <f>AF15*VLOOKUP($Y15,Control!$F$75:$H$79,3,FALSE)/$AB15</f>
        <v>0</v>
      </c>
      <c r="AJ15" s="227" t="e">
        <f>IF(AG15&lt;0,0,$AG15*Control!$D$77)</f>
        <v>#N/A</v>
      </c>
      <c r="AK15" s="227"/>
      <c r="AL15" s="227">
        <f>INDEX(Lightering,MATCH($V15,Control!$AB$3:$AB$29,0),MATCH(WTI!$Y15,Control!$AB$3:$AF$3,0))*($AB15/Control!$D$85)*Control!$H$90/$AB15</f>
        <v>0</v>
      </c>
      <c r="AM15" s="227">
        <f>IF(I15="Corpus Christi",Control!$D$76,0)</f>
        <v>0</v>
      </c>
      <c r="AN15" s="227">
        <v>0</v>
      </c>
      <c r="AO15" s="227">
        <f>Control!$D$78</f>
        <v>0</v>
      </c>
      <c r="AP15" s="227">
        <f>Control!$D$79</f>
        <v>6.7299999999999999E-2</v>
      </c>
      <c r="AQ15" s="227" t="e">
        <f>IF(INDEX(Control!$Q$3:$S$62,MATCH($Z15,Control!$Q$3:$Q$62,0),MATCH(AQ$9,Control!$Q$3:$S$3,0))=1,Control!$D$81*Control!$E$81,0)</f>
        <v>#N/A</v>
      </c>
      <c r="AR15" s="227" t="e">
        <f>IF(INDEX(Control!$Q$3:$S$62,MATCH($Z15,Control!$Q$3:$Q$62,0),MATCH(AR$9,Control!$Q$3:$S$3,0))=1,Control!$D$82/$AB15,0)</f>
        <v>#N/A</v>
      </c>
      <c r="AS15" s="227"/>
      <c r="AT15" s="227">
        <f>IF(AND(L15="Chiriqui Grande",V15="Puerto Armuelles"),Control!$G$93,0)</f>
        <v>0</v>
      </c>
      <c r="AU15" s="225" t="e">
        <f t="shared" si="6"/>
        <v>#N/A</v>
      </c>
      <c r="AV15" s="225" t="e">
        <f t="shared" si="2"/>
        <v>#N/A</v>
      </c>
      <c r="AW15" s="225" t="e">
        <f t="shared" si="3"/>
        <v>#VALUE!</v>
      </c>
      <c r="AX15" s="225">
        <v>0</v>
      </c>
      <c r="AY15" s="225"/>
      <c r="AZ15" s="498" t="e">
        <f t="shared" si="4"/>
        <v>#N/A</v>
      </c>
      <c r="BB15" s="220"/>
      <c r="BC15" s="229" t="e">
        <f>INDEX('[1]Transit Time'!$A:$DZ,MATCH(I15,'[1]Transit Time'!$A:$A,0),MATCH(L15,'[1]Transit Time'!$A$1:$DZ$1,0))+INDEX('[1]Transit Time'!$A:$DZ,MATCH(L15,'[1]Transit Time'!$A:$A,0),MATCH(V15,'[1]Transit Time'!$A$1:$DZ$1,0))+INDEX('[1]Transit Time'!$A:$DZ,MATCH(V15,'[1]Transit Time'!$A:$A,0),MATCH(Z15,'[1]Transit Time'!$A$1:$DZ$1,0))</f>
        <v>#N/A</v>
      </c>
      <c r="BD15" s="230" t="e">
        <f t="shared" si="7"/>
        <v>#N/A</v>
      </c>
      <c r="BE15" s="230" t="str">
        <f t="shared" si="8"/>
        <v/>
      </c>
      <c r="BF15" s="230"/>
      <c r="BG15" s="230"/>
      <c r="BH15" s="230"/>
    </row>
    <row r="16" spans="1:74" ht="15.75" hidden="1" customHeight="1" outlineLevel="1" x14ac:dyDescent="0.35">
      <c r="A16" s="163">
        <f t="shared" si="9"/>
        <v>46334</v>
      </c>
      <c r="B16" s="163">
        <f t="shared" si="10"/>
        <v>46336</v>
      </c>
      <c r="D16" s="153">
        <f>IF(AL16=0,0,VLOOKUP(Y16,Control!$G$41:$J$44,4,FALSE))</f>
        <v>0</v>
      </c>
      <c r="E16" s="153"/>
      <c r="F16"/>
      <c r="G16"/>
      <c r="H16"/>
      <c r="I16"/>
      <c r="J16"/>
      <c r="K16"/>
      <c r="L16"/>
      <c r="M16"/>
      <c r="N16"/>
      <c r="O16"/>
      <c r="P16"/>
      <c r="Q16"/>
      <c r="T16" s="138" t="e">
        <f>INDEX('[2]Flat Rates 2025'!$A:$DZ,MATCH(V16,'[2]Flat Rates 2025'!$A:$A,0),MATCH(Z16,'[2]Flat Rates 2025'!$A$1:$DZ$1,0))</f>
        <v>#N/A</v>
      </c>
      <c r="U16" s="138">
        <f>INDEX(Control!$E$17:$J$21,MATCH(Y16,Control!$E$17:$E$21,0),MATCH(V16,Control!$E$17:$J$17,0))</f>
        <v>0</v>
      </c>
      <c r="V16" s="138" t="s">
        <v>55</v>
      </c>
      <c r="W16" s="116">
        <f>INDEX(Vessel_Minimum_MT,MATCH(Y16,Control!$E$11:$E$15,0),MATCH(V16,Control!$E$11:$J$11,0))</f>
        <v>70000</v>
      </c>
      <c r="X16" s="140">
        <f>AB16/Control!$D$84</f>
        <v>64354.977116704802</v>
      </c>
      <c r="Y16" s="147" t="s">
        <v>23</v>
      </c>
      <c r="Z16" s="142" t="s">
        <v>112</v>
      </c>
      <c r="AA16" s="142" t="str">
        <f t="shared" si="1"/>
        <v>CARIBS/CARIBS</v>
      </c>
      <c r="AB16" s="141">
        <v>500000</v>
      </c>
      <c r="AC16" s="141">
        <v>180</v>
      </c>
      <c r="AD16" s="151">
        <v>325</v>
      </c>
      <c r="AE16" s="149" t="e">
        <f t="shared" si="5"/>
        <v>#N/A</v>
      </c>
      <c r="AF16" s="144">
        <v>0</v>
      </c>
      <c r="AG16" s="141" t="e">
        <f>IF(INDEX(Index,MATCH(Z16,TVM_PortList,0),MATCH("Type",Control!$Q$3:$U$3,0))="BL",INDEX(Index,MATCH(Z16,TVM_PortList,0),MATCH("Payment",Control!$Q$3:$U$3,0))-INDEX(Index,MATCH(V16,TVM_PortList,0),MATCH("Payment",Control!$Q$3:$U$3,0)),BC16+INDEX(Index,MATCH(Z16,TVM_PortList,0),MATCH("Payment",Control!$Q$3:$U$3,0))-INDEX(Index,MATCH(V16,TVM_PortList,0),MATCH("Payment",Control!$Q$3:$U$3,0)))</f>
        <v>#N/A</v>
      </c>
      <c r="AH16" s="141"/>
      <c r="AI16" s="143">
        <f>AF16*VLOOKUP($Y16,Control!$F$75:$H$79,3,FALSE)/$AB16</f>
        <v>0</v>
      </c>
      <c r="AJ16" s="143" t="e">
        <f>IF(AG16&lt;0,0,$AG16*Control!$D$77)</f>
        <v>#N/A</v>
      </c>
      <c r="AK16" s="143"/>
      <c r="AL16" s="143">
        <f>INDEX(Lightering,MATCH($V16,Control!$AB$3:$AB$29,0),MATCH(WTI!$Y16,Control!$AB$3:$AF$3,0))*($AB16/Control!$D$85)*Control!$H$90/$AB16</f>
        <v>0</v>
      </c>
      <c r="AM16" s="143">
        <f>IF(I16="Corpus Christi",Control!$D$76,0)</f>
        <v>0</v>
      </c>
      <c r="AN16" s="143">
        <v>0</v>
      </c>
      <c r="AO16" s="143">
        <f>Control!$D$78</f>
        <v>0</v>
      </c>
      <c r="AP16" s="143">
        <f>Control!$D$79</f>
        <v>6.7299999999999999E-2</v>
      </c>
      <c r="AQ16" s="143">
        <f>IF(INDEX(Control!$Q$3:$S$62,MATCH($Z16,Control!$Q$3:$Q$62,0),MATCH(AQ$9,Control!$Q$3:$S$3,0))=1,Control!$D$81*Control!$E$81,0)</f>
        <v>0.2</v>
      </c>
      <c r="AR16" s="143">
        <f>IF(INDEX(Control!$Q$3:$S$62,MATCH($Z16,Control!$Q$3:$Q$62,0),MATCH(AR$9,Control!$Q$3:$S$3,0))=1,Control!$D$82/$AB16,0)</f>
        <v>0</v>
      </c>
      <c r="AS16" s="143"/>
      <c r="AT16" s="143">
        <f>IF(AND(L16="Chiriqui Grande",V16="Puerto Armuelles"),Control!$G$93,0)</f>
        <v>0</v>
      </c>
      <c r="AU16" s="149" t="e">
        <f t="shared" si="6"/>
        <v>#N/A</v>
      </c>
      <c r="AV16" s="149" t="e">
        <f t="shared" si="2"/>
        <v>#N/A</v>
      </c>
      <c r="AW16" s="149" t="e">
        <f t="shared" si="3"/>
        <v>#VALUE!</v>
      </c>
      <c r="AX16" s="149">
        <v>0</v>
      </c>
      <c r="AY16" s="149"/>
      <c r="AZ16" s="499" t="e">
        <f t="shared" si="4"/>
        <v>#N/A</v>
      </c>
      <c r="BC16" s="153" t="e">
        <f>INDEX('[1]Transit Time'!$A:$DZ,MATCH(I16,'[1]Transit Time'!$A:$A,0),MATCH(L16,'[1]Transit Time'!$A$1:$DZ$1,0))+INDEX('[1]Transit Time'!$A:$DZ,MATCH(L16,'[1]Transit Time'!$A:$A,0),MATCH(V16,'[1]Transit Time'!$A$1:$DZ$1,0))+INDEX('[1]Transit Time'!$A:$DZ,MATCH(V16,'[1]Transit Time'!$A:$A,0),MATCH(Z16,'[1]Transit Time'!$A$1:$DZ$1,0))</f>
        <v>#N/A</v>
      </c>
      <c r="BD16" s="163" t="e">
        <f t="shared" si="7"/>
        <v>#N/A</v>
      </c>
      <c r="BE16" s="163" t="str">
        <f t="shared" si="8"/>
        <v/>
      </c>
      <c r="BF16" s="163"/>
      <c r="BG16" s="163"/>
      <c r="BH16" s="163"/>
    </row>
    <row r="17" spans="1:74" ht="16" hidden="1" outlineLevel="1" thickBot="1" x14ac:dyDescent="0.4">
      <c r="A17" s="319" t="s">
        <v>159</v>
      </c>
      <c r="B17" s="320" t="e">
        <f t="shared" ref="B17" si="11">IF(ISBLANK(A17),"",A17+2)</f>
        <v>#VALUE!</v>
      </c>
      <c r="D17" s="338">
        <f>IF(AL17=0,0,VLOOKUP(Y17,Control!$G$41:$J$44,4,FALSE))</f>
        <v>0</v>
      </c>
      <c r="E17" s="515" t="e">
        <f>AVERAGE(A17:B17)+D17</f>
        <v>#VALUE!</v>
      </c>
      <c r="F17"/>
      <c r="G17"/>
      <c r="H17"/>
      <c r="I17"/>
      <c r="J17"/>
      <c r="K17"/>
      <c r="L17"/>
      <c r="M17"/>
      <c r="N17"/>
      <c r="O17"/>
      <c r="P17"/>
      <c r="Q17"/>
      <c r="T17" s="330">
        <f>INDEX('[2]Flat Rates 2025'!$A:$DZ,MATCH(V17,'[2]Flat Rates 2025'!$A:$A,0),MATCH(Z17,'[2]Flat Rates 2025'!$A$1:$DZ$1,0))</f>
        <v>0</v>
      </c>
      <c r="U17" s="330">
        <f>INDEX(Control!$E$17:$J$21,MATCH(Y17,Control!$E$17:$E$21,0),MATCH(V17,Control!$E$17:$J$17,0))</f>
        <v>0</v>
      </c>
      <c r="V17" s="330" t="s">
        <v>45</v>
      </c>
      <c r="W17" s="323">
        <f>INDEX(Vessel_Minimum_MT,MATCH(Y17,Control!$E$11:$E$15,0),MATCH(V17,Control!$E$11:$J$11,0))</f>
        <v>70000</v>
      </c>
      <c r="X17" s="331">
        <f>AB17/Control!$D$84</f>
        <v>96532.465675057203</v>
      </c>
      <c r="Y17" s="325" t="s">
        <v>23</v>
      </c>
      <c r="Z17" s="322" t="s">
        <v>110</v>
      </c>
      <c r="AA17" s="322" t="str">
        <f t="shared" ref="AA17:AA22" si="12">IF(Z17=V17,"",CONCATENATE(CONCATENATE(VLOOKUP(V17,Zones,2,FALSE),"/",VLOOKUP(Z17,Zones,2,FALSE))))</f>
        <v>USGC/LATAM WEST</v>
      </c>
      <c r="AB17" s="324">
        <v>750000</v>
      </c>
      <c r="AC17" s="324">
        <v>1001</v>
      </c>
      <c r="AD17" s="333">
        <v>1600000</v>
      </c>
      <c r="AE17" s="334">
        <f t="shared" si="5"/>
        <v>2.1333333333333333</v>
      </c>
      <c r="AF17" s="335">
        <v>3</v>
      </c>
      <c r="AG17" s="324">
        <f>IF(INDEX(Index,MATCH(Z17,TVM_PortList,0),MATCH("Type",Control!$Q$3:$U$3,0))="BL",INDEX(Index,MATCH(Z17,TVM_PortList,0),MATCH("Payment",Control!$Q$3:$U$3,0))-INDEX(Index,MATCH(V17,TVM_PortList,0),MATCH("Payment",Control!$Q$3:$U$3,0)),BC17+INDEX(Index,MATCH(Z17,TVM_PortList,0),MATCH("Payment",Control!$Q$3:$U$3,0))-INDEX(Index,MATCH(V17,TVM_PortList,0),MATCH("Payment",Control!$Q$3:$U$3,0)))</f>
        <v>0</v>
      </c>
      <c r="AH17" s="324"/>
      <c r="AI17" s="336">
        <f>AF17*VLOOKUP($Y17,Control!$F$75:$H$79,3,FALSE)/$AB17</f>
        <v>0.32</v>
      </c>
      <c r="AJ17" s="336">
        <f>IF(AG17&lt;0,0,$AG17*Control!$D$77)</f>
        <v>0</v>
      </c>
      <c r="AK17" s="336"/>
      <c r="AL17" s="336">
        <f>INDEX(Lightering,MATCH($V17,Control!$AB$3:$AB$29,0),MATCH(WTI!$Y17,Control!$AB$3:$AF$3,0))*($AB17/Control!$D$85)*Control!$H$90/$AB17</f>
        <v>0</v>
      </c>
      <c r="AM17" s="336">
        <f>IF(I17="Corpus Christi",Control!$D$76,0)</f>
        <v>0</v>
      </c>
      <c r="AN17" s="336">
        <v>0</v>
      </c>
      <c r="AO17" s="336">
        <f>Control!$D$78</f>
        <v>0</v>
      </c>
      <c r="AP17" s="336">
        <f>Control!$D$79</f>
        <v>6.7299999999999999E-2</v>
      </c>
      <c r="AQ17" s="336">
        <f>IF(INDEX(Control!$Q$3:$S$62,MATCH($Z17,Control!$Q$3:$Q$62,0),MATCH(AQ$9,Control!$Q$3:$S$3,0))=1,Control!$D$81*Control!$E$81,0)</f>
        <v>0</v>
      </c>
      <c r="AR17" s="336">
        <f>IF(INDEX(Control!$Q$3:$S$62,MATCH($Z17,Control!$Q$3:$Q$62,0),MATCH(AR$9,Control!$Q$3:$S$3,0))=1,Control!$D$82/$AB17,0)</f>
        <v>0</v>
      </c>
      <c r="AS17" s="336"/>
      <c r="AT17" s="336">
        <f>IF(AND(L17="Chiriqui Grande",V17="Puerto Armuelles"),Control!$G$93,0)</f>
        <v>0</v>
      </c>
      <c r="AU17" s="334">
        <f t="shared" ref="AU17" si="13">SUM(AI17:AT17)</f>
        <v>0.38729999999999998</v>
      </c>
      <c r="AV17" s="334">
        <f t="shared" si="2"/>
        <v>2.5206333333333335</v>
      </c>
      <c r="AW17" s="334" t="e">
        <f t="shared" ref="AW17:AW18" si="14">IF((MONTH(A17)=MONTH(BH17)),0,IF(((MONTH(BH17))-MONTH(A17))+12*YEAR(BG17)-YEAR(A17)&gt;1,SUMIFS($BD$4:$BG$4,$BD$3:$BG$3,"&lt;="&amp;EOMONTH(BG17,-1),$BD$3:$BG$3,"&gt;="&amp;EOMONTH(A17,0)),VLOOKUP("Spreads",$BC$3:$BG$4,MATCH(EOMONTH(A17,0),$BC$3:$BG$3,0))))</f>
        <v>#VALUE!</v>
      </c>
      <c r="AX17" s="334" t="e">
        <f t="shared" ref="AX17:AX18" si="15">+IF($BC$3=1,HLOOKUP(EOMONTH(BE17,0),$BD$3:$BG$6,4,FALSE),IF($BC$3=2,-HLOOKUP(EOMONTH(BE17,0),$BD$3:$BG$6,3,FALSE),0))</f>
        <v>#VALUE!</v>
      </c>
      <c r="AY17" s="314"/>
      <c r="AZ17" s="498" t="e">
        <f t="shared" si="4"/>
        <v>#VALUE!</v>
      </c>
      <c r="BB17" s="330"/>
      <c r="BC17" s="338">
        <f>+INDEX('[1]Transit Time'!$A:$DZ,MATCH(V17,'[1]Transit Time'!$A:$A,0),MATCH(Z17,'[1]Transit Time'!$A$1:$DZ$1,0))</f>
        <v>18</v>
      </c>
      <c r="BD17" s="320" t="e">
        <f t="shared" ref="BD17:BD20" si="16">IF(ISBLANK(A17),"",A17+$BC17+D17)</f>
        <v>#VALUE!</v>
      </c>
      <c r="BE17" s="339" t="str">
        <f t="shared" si="8"/>
        <v/>
      </c>
      <c r="BF17" s="320" t="e">
        <f t="shared" ref="BF17:BF18" si="17">HLOOKUP($BC$3,$AV$3:$AX$3,2,FALSE)</f>
        <v>#N/A</v>
      </c>
      <c r="BG17" s="491" t="e">
        <f t="shared" ref="BG17:BG18" si="18">IF($BC$8=0,IF(BF17="ICE Brent",EOMONTH(BE17,2),EOMONTH(BE17,0)),IF(BF17="ICE Brent",EOMONTH(BE17,1),EOMONTH(BE17,-1)))</f>
        <v>#N/A</v>
      </c>
      <c r="BH17" s="491" t="e">
        <f t="shared" ref="BH17:BH18" si="19">IF($BC$8=1,EOMONTH(BE17,-1),EOMONTH(BE17,0))</f>
        <v>#VALUE!</v>
      </c>
    </row>
    <row r="18" spans="1:74" ht="16" hidden="1" outlineLevel="1" thickBot="1" x14ac:dyDescent="0.4">
      <c r="A18" s="340">
        <f t="shared" ref="A18:A22" si="20">+$A$10</f>
        <v>46334</v>
      </c>
      <c r="B18" s="341">
        <f t="shared" ref="B18:B19" si="21">IF(ISBLANK(A18),"",A18+2)</f>
        <v>46336</v>
      </c>
      <c r="D18" s="359">
        <f>IF(AL18=0,0,VLOOKUP(Y18,Control!$G$41:$J$44,4,FALSE))</f>
        <v>0</v>
      </c>
      <c r="E18" s="516">
        <f t="shared" ref="E18:E22" si="22">AVERAGE(A18:B18)+D18</f>
        <v>46335</v>
      </c>
      <c r="F18"/>
      <c r="G18"/>
      <c r="H18"/>
      <c r="I18"/>
      <c r="J18"/>
      <c r="K18"/>
      <c r="L18"/>
      <c r="M18"/>
      <c r="N18"/>
      <c r="O18"/>
      <c r="P18"/>
      <c r="Q18"/>
      <c r="T18" s="351">
        <f>INDEX('[2]Flat Rates 2025'!$A:$DZ,MATCH(V18,'[2]Flat Rates 2025'!$A:$A,0),MATCH(Z18,'[2]Flat Rates 2025'!$A$1:$DZ$1,0))</f>
        <v>0</v>
      </c>
      <c r="U18" s="351">
        <f>INDEX(Control!$E$17:$J$21,MATCH(Y18,Control!$E$17:$E$21,0),MATCH(V18,Control!$E$17:$J$17,0))</f>
        <v>0</v>
      </c>
      <c r="V18" s="351" t="s">
        <v>45</v>
      </c>
      <c r="W18" s="344">
        <f>INDEX(Vessel_Minimum_MT,MATCH(Y18,Control!$E$11:$E$15,0),MATCH(V18,Control!$E$11:$J$11,0))</f>
        <v>70000</v>
      </c>
      <c r="X18" s="352">
        <f>AB18/Control!$D$84</f>
        <v>96532.465675057203</v>
      </c>
      <c r="Y18" s="346" t="s">
        <v>23</v>
      </c>
      <c r="Z18" s="343" t="s">
        <v>35</v>
      </c>
      <c r="AA18" s="343" t="str">
        <f t="shared" si="12"/>
        <v>USGC/BAYOVAR+T</v>
      </c>
      <c r="AB18" s="345">
        <v>750000</v>
      </c>
      <c r="AC18" s="345"/>
      <c r="AD18" s="354">
        <v>190</v>
      </c>
      <c r="AE18" s="355">
        <f t="shared" si="5"/>
        <v>0</v>
      </c>
      <c r="AF18" s="356">
        <v>2</v>
      </c>
      <c r="AG18" s="345">
        <f>IF(INDEX(Index,MATCH(Z18,TVM_PortList,0),MATCH("Type",Control!$Q$3:$U$3,0))="BL",INDEX(Index,MATCH(Z18,TVM_PortList,0),MATCH("Payment",Control!$Q$3:$U$3,0))-INDEX(Index,MATCH(V18,TVM_PortList,0),MATCH("Payment",Control!$Q$3:$U$3,0)),BC18+INDEX(Index,MATCH(Z18,TVM_PortList,0),MATCH("Payment",Control!$Q$3:$U$3,0))-INDEX(Index,MATCH(V18,TVM_PortList,0),MATCH("Payment",Control!$Q$3:$U$3,0)))</f>
        <v>2</v>
      </c>
      <c r="AH18" s="345"/>
      <c r="AI18" s="357">
        <f>AF18*VLOOKUP($Y18,Control!$F$75:$H$79,3,FALSE)/$AB18</f>
        <v>0.21333333333333335</v>
      </c>
      <c r="AJ18" s="357">
        <f>IF(AG18&lt;0,0,$AG18*Control!$D$77)</f>
        <v>2.6072328767123291E-2</v>
      </c>
      <c r="AK18" s="357"/>
      <c r="AL18" s="357">
        <f>INDEX(Lightering,MATCH($V18,Control!$AB$3:$AB$29,0),MATCH(WTI!$Y18,Control!$AB$3:$AF$3,0))*($AB18/Control!$D$85)*Control!$H$90/$AB18</f>
        <v>0</v>
      </c>
      <c r="AM18" s="357">
        <f>IF(I18="Corpus Christi",Control!$D$76,0)</f>
        <v>0</v>
      </c>
      <c r="AN18" s="357">
        <v>0.62666666666666671</v>
      </c>
      <c r="AO18" s="357">
        <f>Control!$D$78</f>
        <v>0</v>
      </c>
      <c r="AP18" s="357">
        <f>Control!$D$79</f>
        <v>6.7299999999999999E-2</v>
      </c>
      <c r="AQ18" s="357">
        <f>IF(INDEX(Control!$Q$3:$S$62,MATCH($Z18,Control!$Q$3:$Q$62,0),MATCH(AQ$9,Control!$Q$3:$S$3,0))=1,Control!$D$81*Control!$E$81,0)</f>
        <v>0</v>
      </c>
      <c r="AR18" s="357">
        <f>IF(INDEX(Control!$Q$3:$S$62,MATCH($Z18,Control!$Q$3:$Q$62,0),MATCH(AR$9,Control!$Q$3:$S$3,0))=1,Control!$D$82/$AB18,0)</f>
        <v>0</v>
      </c>
      <c r="AS18" s="357"/>
      <c r="AT18" s="357">
        <f>IF(AND(L18="Chiriqui Grande",V18="Puerto Armuelles"),Control!$G$93,0)</f>
        <v>0</v>
      </c>
      <c r="AU18" s="355">
        <f t="shared" ref="AU18:AU19" si="23">SUM(AI18:AT18)</f>
        <v>0.93337232876712339</v>
      </c>
      <c r="AV18" s="355">
        <f t="shared" si="2"/>
        <v>0.93337232876712339</v>
      </c>
      <c r="AW18" s="355" t="e">
        <f t="shared" si="14"/>
        <v>#N/A</v>
      </c>
      <c r="AX18" s="355">
        <f t="shared" si="15"/>
        <v>-1.7</v>
      </c>
      <c r="AY18" s="50"/>
      <c r="AZ18" s="501" t="e">
        <f t="shared" si="4"/>
        <v>#N/A</v>
      </c>
      <c r="BB18" s="350"/>
      <c r="BC18" s="359">
        <f>+INDEX('[1]Transit Time'!$A:$DZ,MATCH(V18,'[1]Transit Time'!$A:$A,0),MATCH(Z18,'[1]Transit Time'!$A$1:$DZ$1,0))</f>
        <v>19</v>
      </c>
      <c r="BD18" s="341">
        <f t="shared" si="16"/>
        <v>46353</v>
      </c>
      <c r="BE18" s="360">
        <f t="shared" si="8"/>
        <v>46355</v>
      </c>
      <c r="BF18" s="341" t="e">
        <f t="shared" si="17"/>
        <v>#N/A</v>
      </c>
      <c r="BG18" s="492" t="e">
        <f t="shared" si="18"/>
        <v>#N/A</v>
      </c>
      <c r="BH18" s="492">
        <f t="shared" si="19"/>
        <v>46326</v>
      </c>
    </row>
    <row r="19" spans="1:74" ht="16" hidden="1" collapsed="1" thickBot="1" x14ac:dyDescent="0.4">
      <c r="A19" s="209">
        <f t="shared" si="20"/>
        <v>46334</v>
      </c>
      <c r="B19" s="209">
        <f t="shared" si="21"/>
        <v>46336</v>
      </c>
      <c r="D19" s="318">
        <f>IF(AL19=0,0,VLOOKUP(Y19,Control!$G$41:$J$44,4,FALSE))</f>
        <v>0</v>
      </c>
      <c r="E19" s="517">
        <f t="shared" si="22"/>
        <v>46335</v>
      </c>
      <c r="F19"/>
      <c r="G19"/>
      <c r="H19"/>
      <c r="I19"/>
      <c r="J19"/>
      <c r="K19"/>
      <c r="L19"/>
      <c r="M19"/>
      <c r="N19"/>
      <c r="O19"/>
      <c r="P19"/>
      <c r="Q19"/>
      <c r="T19" s="220">
        <f>INDEX('[2]Flat Rates 2025'!$A:$DZ,MATCH(V19,'[2]Flat Rates 2025'!$A:$A,0),MATCH(Z19,'[2]Flat Rates 2025'!$A$1:$DZ$1,0))</f>
        <v>0</v>
      </c>
      <c r="U19" s="220">
        <f>INDEX(Control!$E$17:$J$21,MATCH(Y19,Control!$E$17:$E$21,0),MATCH(V19,Control!$E$17:$J$17,0))</f>
        <v>0.5</v>
      </c>
      <c r="V19" s="220" t="s">
        <v>45</v>
      </c>
      <c r="W19" s="213">
        <f>INDEX(Vessel_Minimum_MT,MATCH(Y19,Control!$E$11:$E$15,0),MATCH(V19,Control!$E$11:$J$11,0))</f>
        <v>145000</v>
      </c>
      <c r="X19" s="222">
        <f>AB19/Control!$D$84</f>
        <v>109403.46109839817</v>
      </c>
      <c r="Y19" s="258" t="s">
        <v>24</v>
      </c>
      <c r="Z19" s="311" t="s">
        <v>35</v>
      </c>
      <c r="AA19" s="311" t="str">
        <f t="shared" si="12"/>
        <v>USGC/BAYOVAR+T</v>
      </c>
      <c r="AB19" s="312">
        <v>850000</v>
      </c>
      <c r="AC19" s="312"/>
      <c r="AD19" s="378">
        <v>90</v>
      </c>
      <c r="AE19" s="314">
        <f t="shared" si="5"/>
        <v>0</v>
      </c>
      <c r="AF19" s="315">
        <v>2</v>
      </c>
      <c r="AG19" s="312">
        <f>IF(INDEX(Index,MATCH(Z19,TVM_PortList,0),MATCH("Type",Control!$Q$3:$U$3,0))="BL",INDEX(Index,MATCH(Z19,TVM_PortList,0),MATCH("Payment",Control!$Q$3:$U$3,0))-INDEX(Index,MATCH(V19,TVM_PortList,0),MATCH("Payment",Control!$Q$3:$U$3,0)),BC19+INDEX(Index,MATCH(Z19,TVM_PortList,0),MATCH("Payment",Control!$Q$3:$U$3,0))-INDEX(Index,MATCH(V19,TVM_PortList,0),MATCH("Payment",Control!$Q$3:$U$3,0)))</f>
        <v>2</v>
      </c>
      <c r="AH19" s="312"/>
      <c r="AI19" s="316">
        <f>ABH364*VLOOKUP($Y19,Control!$F$75:$H$79,3,FALSE)/$AB19</f>
        <v>0</v>
      </c>
      <c r="AJ19" s="316">
        <f>IF(AG19&lt;0,0,$AG19*Control!$D$77)</f>
        <v>2.6072328767123291E-2</v>
      </c>
      <c r="AK19" s="316"/>
      <c r="AL19" s="316"/>
      <c r="AM19" s="316">
        <f>IF(I19="Corpus Christi",Control!$D$76,0)</f>
        <v>0</v>
      </c>
      <c r="AN19" s="316">
        <v>0</v>
      </c>
      <c r="AO19" s="316">
        <f>Control!$D$78</f>
        <v>0</v>
      </c>
      <c r="AP19" s="316">
        <f>Control!$D$79</f>
        <v>6.7299999999999999E-2</v>
      </c>
      <c r="AQ19" s="316">
        <f>IF(INDEX(Control!$Q$3:$S$62,MATCH($Z19,Control!$Q$3:$Q$62,0),MATCH(AQ$9,Control!$Q$3:$S$3,0))=1,Control!$D$81*Control!$E$81,0)</f>
        <v>0</v>
      </c>
      <c r="AR19" s="316">
        <f>IF(INDEX(Control!$Q$3:$S$62,MATCH($Z19,Control!$Q$3:$Q$62,0),MATCH(AR$9,Control!$Q$3:$S$3,0))=1,Control!$D$82/$AB19,0)</f>
        <v>0</v>
      </c>
      <c r="AS19" s="316"/>
      <c r="AT19" s="316">
        <f>IF(AND(L19="Chiriqui Grande",V19="Puerto Armuelles"),Control!$G$93,0)</f>
        <v>0</v>
      </c>
      <c r="AU19" s="314">
        <f t="shared" si="23"/>
        <v>9.3372328767123286E-2</v>
      </c>
      <c r="AV19" s="314">
        <f t="shared" si="2"/>
        <v>9.3372328767123286E-2</v>
      </c>
      <c r="AW19" s="314">
        <f t="shared" ref="AW19:AW22" si="24">IF((MONTH(A19)=MONTH(BH19)),0,IF(((MONTH(BH19))-MONTH(A19))+12*YEAR(BG19)-YEAR(A19)&gt;1,SUMIFS($BD$4:$BH$4,$BD$3:$BH$3,"&lt;="&amp;EOMONTH(BG19,-1),$BD$3:$BH$3,"&gt;="&amp;EOMONTH(A19,0)),VLOOKUP("Spreads",$BC$3:$BH$4,MATCH(EOMONTH(A19,0),$BC$3:$BH$3,0))))</f>
        <v>0</v>
      </c>
      <c r="AX19" s="314"/>
      <c r="AY19" s="314"/>
      <c r="AZ19" s="498">
        <f t="shared" si="4"/>
        <v>-3.5066276712328768</v>
      </c>
      <c r="BB19" s="220"/>
      <c r="BC19" s="318">
        <f>+INDEX('[1]Transit Time'!$A:$DZ,MATCH(V19,'[1]Transit Time'!$A:$A,0),MATCH(Z19,'[1]Transit Time'!$A$1:$DZ$1,0))</f>
        <v>19</v>
      </c>
      <c r="BD19" s="209">
        <f t="shared" si="16"/>
        <v>46353</v>
      </c>
      <c r="BE19" s="209">
        <f t="shared" ref="BE19:BE22" si="25">BD19+2</f>
        <v>46355</v>
      </c>
      <c r="BF19" s="209" t="s">
        <v>155</v>
      </c>
      <c r="BG19" s="493">
        <f t="shared" ref="BG19:BG22" si="26">BH19</f>
        <v>46356</v>
      </c>
      <c r="BH19" s="493">
        <f>EOMONTH(BE19,0)</f>
        <v>46356</v>
      </c>
    </row>
    <row r="20" spans="1:74" ht="16" hidden="1" thickBot="1" x14ac:dyDescent="0.4">
      <c r="A20" s="163">
        <f t="shared" si="20"/>
        <v>46334</v>
      </c>
      <c r="B20" s="163">
        <f t="shared" ref="B20" si="27">IF(ISBLANK(A20),"",A20+2)</f>
        <v>46336</v>
      </c>
      <c r="D20" s="153">
        <f>IF(AL20=0,0,VLOOKUP(Y20,Control!$G$41:$J$44,4,FALSE))</f>
        <v>0</v>
      </c>
      <c r="E20" s="518">
        <f t="shared" si="22"/>
        <v>46335</v>
      </c>
      <c r="F20"/>
      <c r="G20"/>
      <c r="H20"/>
      <c r="I20"/>
      <c r="J20"/>
      <c r="K20"/>
      <c r="L20"/>
      <c r="M20"/>
      <c r="N20"/>
      <c r="O20"/>
      <c r="P20"/>
      <c r="Q20"/>
      <c r="T20" s="138">
        <f>INDEX('[2]Flat Rates 2025'!$A:$DZ,MATCH(V20,'[2]Flat Rates 2025'!$A:$A,0),MATCH(Z20,'[2]Flat Rates 2025'!$A$1:$DZ$1,0))</f>
        <v>0</v>
      </c>
      <c r="U20" s="138">
        <f>INDEX(Control!$E$17:$J$21,MATCH(Y20,Control!$E$17:$E$21,0),MATCH(V20,Control!$E$17:$J$17,0))</f>
        <v>0</v>
      </c>
      <c r="V20" s="138" t="s">
        <v>45</v>
      </c>
      <c r="W20" s="116">
        <f>INDEX(Vessel_Minimum_MT,MATCH(Y20,Control!$E$11:$E$15,0),MATCH(V20,Control!$E$11:$J$11,0))</f>
        <v>70000</v>
      </c>
      <c r="X20" s="140">
        <f>AB20/Control!$D$84</f>
        <v>90096.96796338672</v>
      </c>
      <c r="Y20" s="147" t="s">
        <v>23</v>
      </c>
      <c r="Z20" s="142" t="s">
        <v>13</v>
      </c>
      <c r="AA20" s="142" t="str">
        <f t="shared" si="12"/>
        <v>USGC/ECC</v>
      </c>
      <c r="AB20" s="141">
        <v>700000</v>
      </c>
      <c r="AC20" s="141"/>
      <c r="AD20" s="263">
        <f>AD21</f>
        <v>927.5</v>
      </c>
      <c r="AE20" s="149">
        <f t="shared" si="5"/>
        <v>0</v>
      </c>
      <c r="AF20" s="144">
        <v>1</v>
      </c>
      <c r="AG20" s="141">
        <f>IF(INDEX(Index,MATCH(Z20,TVM_PortList,0),MATCH("Type",Control!$Q$3:$U$3,0))="BL",INDEX(Index,MATCH(Z20,TVM_PortList,0),MATCH("Payment",Control!$Q$3:$U$3,0))-INDEX(Index,MATCH(V20,TVM_PortList,0),MATCH("Payment",Control!$Q$3:$U$3,0)),BC20+INDEX(Index,MATCH(Z20,TVM_PortList,0),MATCH("Payment",Control!$Q$3:$U$3,0))-INDEX(Index,MATCH(V20,TVM_PortList,0),MATCH("Payment",Control!$Q$3:$U$3,0)))</f>
        <v>0</v>
      </c>
      <c r="AH20" s="141"/>
      <c r="AI20" s="143">
        <f>ABH365*VLOOKUP($Y20,Control!$F$75:$H$79,3,FALSE)/$AB20</f>
        <v>0</v>
      </c>
      <c r="AJ20" s="143">
        <f>IF(AG20&lt;0,0,$AG20*Control!$D$77)</f>
        <v>0</v>
      </c>
      <c r="AK20" s="143"/>
      <c r="AL20" s="143"/>
      <c r="AM20" s="143">
        <f>IF(I20="Corpus Christi",Control!$D$76,0)</f>
        <v>0</v>
      </c>
      <c r="AN20" s="143">
        <v>0</v>
      </c>
      <c r="AO20" s="143">
        <f>Control!$D$78</f>
        <v>0</v>
      </c>
      <c r="AP20" s="143">
        <f>Control!$D$79</f>
        <v>6.7299999999999999E-2</v>
      </c>
      <c r="AQ20" s="143">
        <f>IF(INDEX(Control!$Q$3:$S$62,MATCH($Z20,Control!$Q$3:$Q$62,0),MATCH(AQ$9,Control!$Q$3:$S$3,0))=1,Control!$D$81*Control!$E$81,0)</f>
        <v>0</v>
      </c>
      <c r="AR20" s="143">
        <f>IF(INDEX(Control!$Q$3:$S$62,MATCH($Z20,Control!$Q$3:$Q$62,0),MATCH(AR$9,Control!$Q$3:$S$3,0))=1,Control!$D$82/$AB20,0)</f>
        <v>0</v>
      </c>
      <c r="AS20" s="143"/>
      <c r="AT20" s="143">
        <f>IF(AND(L20="Chiriqui Grande",V20="Puerto Armuelles"),Control!$G$93,0)</f>
        <v>0</v>
      </c>
      <c r="AU20" s="149">
        <f t="shared" ref="AU20" si="28">SUM(AI20:AT20)</f>
        <v>6.7299999999999999E-2</v>
      </c>
      <c r="AV20" s="149">
        <f t="shared" si="2"/>
        <v>6.7299999999999999E-2</v>
      </c>
      <c r="AW20" s="149">
        <f t="shared" si="24"/>
        <v>0</v>
      </c>
      <c r="AX20" s="149"/>
      <c r="AY20" s="149"/>
      <c r="AZ20" s="501">
        <f t="shared" si="4"/>
        <v>-3.5327000000000002</v>
      </c>
      <c r="BC20" s="153">
        <f>+INDEX('[1]Transit Time'!$A:$DZ,MATCH(V20,'[1]Transit Time'!$A:$A,0),MATCH(Z20,'[1]Transit Time'!$A$1:$DZ$1,0))</f>
        <v>8</v>
      </c>
      <c r="BD20" s="163">
        <f t="shared" si="16"/>
        <v>46342</v>
      </c>
      <c r="BE20" s="163">
        <f t="shared" si="25"/>
        <v>46344</v>
      </c>
      <c r="BF20" s="163" t="s">
        <v>155</v>
      </c>
      <c r="BG20" s="490">
        <f t="shared" si="26"/>
        <v>46356</v>
      </c>
      <c r="BH20" s="490">
        <f t="shared" ref="BH20:BH22" si="29">EOMONTH(BE20,0)</f>
        <v>46356</v>
      </c>
    </row>
    <row r="21" spans="1:74" ht="18" hidden="1" customHeight="1" thickBot="1" x14ac:dyDescent="0.4">
      <c r="A21" s="82">
        <f t="shared" ref="A21:B21" si="30">A9</f>
        <v>46334</v>
      </c>
      <c r="B21" s="82">
        <f t="shared" si="30"/>
        <v>46336</v>
      </c>
      <c r="D21" s="153">
        <f>IF(AL21=0,0,VLOOKUP(Y21,Control!$G$41:$J$44,4,FALSE))</f>
        <v>0</v>
      </c>
      <c r="E21" s="518">
        <f t="shared" si="22"/>
        <v>46335</v>
      </c>
      <c r="F21"/>
      <c r="G21"/>
      <c r="H21"/>
      <c r="I21"/>
      <c r="J21"/>
      <c r="K21"/>
      <c r="L21"/>
      <c r="M21"/>
      <c r="N21"/>
      <c r="O21"/>
      <c r="P21"/>
      <c r="Q21"/>
      <c r="T21" s="140">
        <f>T22</f>
        <v>12.01</v>
      </c>
      <c r="U21" s="138">
        <f>INDEX(Control!$E$17:$J$21,MATCH(Y21,Control!$E$17:$E$21,0),MATCH(V21,Control!$E$17:$J$17,0))</f>
        <v>0</v>
      </c>
      <c r="V21" s="138" t="s">
        <v>45</v>
      </c>
      <c r="W21" s="116">
        <f>INDEX(Vessel_Minimum_MT,MATCH(Y21,Control!$E$11:$E$15,0),MATCH(V21,Control!$E$11:$J$11,0))</f>
        <v>70000</v>
      </c>
      <c r="X21" s="140">
        <f>AB21/Control!$D$84</f>
        <v>90096.96796338672</v>
      </c>
      <c r="Y21" s="48" t="s">
        <v>23</v>
      </c>
      <c r="Z21" s="639" t="s">
        <v>13</v>
      </c>
      <c r="AA21" s="142" t="str">
        <f t="shared" si="12"/>
        <v>USGC/ECC</v>
      </c>
      <c r="AB21" s="379">
        <v>700000</v>
      </c>
      <c r="AC21" s="141">
        <v>70</v>
      </c>
      <c r="AD21" s="654">
        <f>AD52+7.5</f>
        <v>927.5</v>
      </c>
      <c r="AE21" s="149">
        <f>IF(AC21&gt;1000,IF(AD21=0,AC21,AD21)/AB21,((W21*T21*(IF(AD21=0,AC21,AD21)/100))+IF(X21&lt;W21,0,(X21-W21)*T21*IF(AD21=0,AC21,AD21)/100*U21))/AB21)</f>
        <v>11.139275</v>
      </c>
      <c r="AF21" s="141">
        <v>0</v>
      </c>
      <c r="AG21" s="155">
        <f>AG52</f>
        <v>-10</v>
      </c>
      <c r="AH21" s="155">
        <f>AH52</f>
        <v>0</v>
      </c>
      <c r="AI21" s="143">
        <f>AF21*VLOOKUP($Y21,Control!$F$75:$H$87,3,FALSE)/$AB21</f>
        <v>0</v>
      </c>
      <c r="AJ21" s="144">
        <f>IF($AK$3=1,$AG21*Control!$D$77,0)</f>
        <v>0</v>
      </c>
      <c r="AK21" s="144">
        <f>IF($AK$4=1,$AH21*Control!$D$77,0)</f>
        <v>0</v>
      </c>
      <c r="AL21" s="143"/>
      <c r="AM21" s="143"/>
      <c r="AN21" s="143"/>
      <c r="AO21" s="143"/>
      <c r="AP21" s="143"/>
      <c r="AQ21" s="143">
        <f>IF(INDEX(Control!$Q$3:$S$62,MATCH($Z21,Control!$Q$3:$Q$62,0),MATCH(AQ$9,Control!$Q$3:$S$3,0))=1,Control!$D$81*Control!$E$81,0)</f>
        <v>0</v>
      </c>
      <c r="AR21" s="143">
        <f>IF(INDEX(Control!$Q$3:$S$62,MATCH($Z21,Control!$Q$3:$Q$62,0),MATCH(AR$9,Control!$Q$3:$S$3,0))=1,INDEX(Control!$AK$3:$AO$69,MATCH(WTI!Z21,Control!$AK$3:$AK$29,0),MATCH(WTI!Y21,Control!$AK$3:$AO$3,0))/AB21*1000,0)</f>
        <v>0</v>
      </c>
      <c r="AS21" s="143">
        <f>52000/AB21</f>
        <v>7.4285714285714288E-2</v>
      </c>
      <c r="AT21" s="143"/>
      <c r="AU21" s="149">
        <f>SUM(AI21:AT21)</f>
        <v>7.4285714285714288E-2</v>
      </c>
      <c r="AV21" s="149">
        <f t="shared" si="2"/>
        <v>11.213560714285714</v>
      </c>
      <c r="AW21" s="98">
        <f t="shared" si="24"/>
        <v>0</v>
      </c>
      <c r="AX21" s="149"/>
      <c r="AY21" s="149"/>
      <c r="AZ21" s="638">
        <f t="shared" si="4"/>
        <v>7.6135607142857147</v>
      </c>
      <c r="BC21" s="153">
        <f>+INDEX('[1]Transit Time'!$A:$DZ,MATCH(V21,'[1]Transit Time'!$A:$A,0),MATCH(Z21,'[1]Transit Time'!$A$1:$DZ$1,0))</f>
        <v>8</v>
      </c>
      <c r="BD21" s="163">
        <f t="shared" ref="BD21" si="31">E21+BC21</f>
        <v>46343</v>
      </c>
      <c r="BE21" s="163">
        <f t="shared" si="25"/>
        <v>46345</v>
      </c>
      <c r="BF21" s="163" t="str">
        <f>BF22</f>
        <v>ICE Brent</v>
      </c>
      <c r="BG21" s="490">
        <f t="shared" ref="BG21" si="32">EOMONTH(BE21,0)</f>
        <v>46356</v>
      </c>
      <c r="BH21" s="490">
        <f t="shared" ref="BH21" si="33">BG21</f>
        <v>46356</v>
      </c>
      <c r="BI21" s="735">
        <f t="shared" ref="BI21" si="34">AE21*AB21</f>
        <v>7797492.5</v>
      </c>
      <c r="BJ21" s="735"/>
      <c r="BK21" s="735">
        <f t="shared" ref="BK21" si="35">AI21*AB21</f>
        <v>0</v>
      </c>
      <c r="BL21" s="735">
        <f t="shared" ref="BL21" si="36">(AU21-AI21-AJ21)*AB21</f>
        <v>52000</v>
      </c>
      <c r="BM21" s="735">
        <f t="shared" ref="BM21" si="37">AJ21*AB21</f>
        <v>0</v>
      </c>
      <c r="BN21" s="735"/>
      <c r="BO21" s="735"/>
      <c r="BP21" s="735">
        <f t="shared" ref="BP21" si="38">(AV21-AJ21)*AB21</f>
        <v>7849492.5</v>
      </c>
      <c r="BQ21" s="769">
        <f t="shared" ref="BQ21" si="39">BP21-BM21</f>
        <v>7849492.5</v>
      </c>
      <c r="BU21"/>
      <c r="BV21"/>
    </row>
    <row r="22" spans="1:74" ht="16" hidden="1" thickBot="1" x14ac:dyDescent="0.4">
      <c r="A22" s="163">
        <f t="shared" si="20"/>
        <v>46334</v>
      </c>
      <c r="B22" s="163">
        <f t="shared" ref="B22" si="40">IF(ISBLANK(A22),"",A22+2)</f>
        <v>46336</v>
      </c>
      <c r="D22" s="153">
        <f>IF(AL22=0,0,VLOOKUP(Y22,Control!$G$41:$J$44,4,FALSE))</f>
        <v>0</v>
      </c>
      <c r="E22" s="518">
        <f t="shared" si="22"/>
        <v>46335</v>
      </c>
      <c r="F22"/>
      <c r="G22"/>
      <c r="H22"/>
      <c r="I22"/>
      <c r="J22"/>
      <c r="K22"/>
      <c r="L22"/>
      <c r="M22"/>
      <c r="N22"/>
      <c r="O22"/>
      <c r="P22"/>
      <c r="Q22"/>
      <c r="T22" s="138">
        <v>12.01</v>
      </c>
      <c r="U22" s="138">
        <f>INDEX(Control!$E$17:$J$21,MATCH(Y22,Control!$E$17:$E$21,0),MATCH(V22,Control!$E$17:$J$17,0))</f>
        <v>0.5</v>
      </c>
      <c r="V22" s="138" t="s">
        <v>45</v>
      </c>
      <c r="W22" s="116">
        <f>INDEX(Vessel_Minimum_MT,MATCH(Y22,Control!$E$11:$E$15,0),MATCH(V22,Control!$E$11:$J$11,0))</f>
        <v>145000</v>
      </c>
      <c r="X22" s="140">
        <f>AB22/Control!$D$84</f>
        <v>94601.816361556062</v>
      </c>
      <c r="Y22" s="147" t="s">
        <v>24</v>
      </c>
      <c r="Z22" s="142" t="s">
        <v>13</v>
      </c>
      <c r="AA22" s="142" t="str">
        <f t="shared" si="12"/>
        <v>USGC/ECC</v>
      </c>
      <c r="AB22" s="141">
        <v>735000</v>
      </c>
      <c r="AC22" s="141"/>
      <c r="AD22" s="151">
        <v>72</v>
      </c>
      <c r="AE22" s="149">
        <f t="shared" si="5"/>
        <v>1.7059102040816327</v>
      </c>
      <c r="AF22" s="144">
        <v>0</v>
      </c>
      <c r="AG22" s="141">
        <f t="shared" ref="AG22:AH22" si="41">AG21</f>
        <v>-10</v>
      </c>
      <c r="AH22" s="141">
        <f t="shared" si="41"/>
        <v>0</v>
      </c>
      <c r="AI22" s="143">
        <f>ABH367*VLOOKUP($Y22,Control!$F$75:$H$79,3,FALSE)/$AB22</f>
        <v>0</v>
      </c>
      <c r="AJ22" s="143">
        <f>IF(AG22&lt;0,0,$AG22*Control!$D$77)</f>
        <v>0</v>
      </c>
      <c r="AK22" s="143"/>
      <c r="AL22" s="143"/>
      <c r="AM22" s="143">
        <f>IF(I22="Corpus Christi",Control!$D$76,0)</f>
        <v>0</v>
      </c>
      <c r="AN22" s="143">
        <v>0</v>
      </c>
      <c r="AO22" s="143">
        <f>Control!$D$78</f>
        <v>0</v>
      </c>
      <c r="AP22" s="143"/>
      <c r="AQ22" s="143">
        <f>IF(INDEX(Control!$Q$3:$S$62,MATCH($Z22,Control!$Q$3:$Q$62,0),MATCH(AQ$9,Control!$Q$3:$S$3,0))=1,Control!$D$81*Control!$E$81,0)</f>
        <v>0</v>
      </c>
      <c r="AR22" s="143">
        <f>IF(INDEX(Control!$Q$3:$S$62,MATCH($Z22,Control!$Q$3:$Q$62,0),MATCH(AR$9,Control!$Q$3:$S$3,0))=1,Control!$D$82/$AB22,0)</f>
        <v>0</v>
      </c>
      <c r="AS22" s="143">
        <f>52000/AB22</f>
        <v>7.0748299319727898E-2</v>
      </c>
      <c r="AT22" s="143">
        <f>IF(AND(L22="Chiriqui Grande",V22="Puerto Armuelles"),Control!$G$93,0)</f>
        <v>0</v>
      </c>
      <c r="AU22" s="149">
        <f t="shared" ref="AU22" si="42">SUM(AI22:AT22)</f>
        <v>7.0748299319727898E-2</v>
      </c>
      <c r="AV22" s="149">
        <f t="shared" si="2"/>
        <v>1.7766585034013607</v>
      </c>
      <c r="AW22" s="149">
        <f t="shared" si="24"/>
        <v>0</v>
      </c>
      <c r="AX22" s="149"/>
      <c r="AY22" s="149"/>
      <c r="AZ22" s="501">
        <f t="shared" si="4"/>
        <v>-1.8233414965986394</v>
      </c>
      <c r="BC22" s="153">
        <f>+INDEX('[1]Transit Time'!$A:$DZ,MATCH(V22,'[1]Transit Time'!$A:$A,0),MATCH(Z22,'[1]Transit Time'!$A$1:$DZ$1,0))</f>
        <v>8</v>
      </c>
      <c r="BD22" s="163">
        <f>IF(ISBLANK(A22),"",A22+$BC22+D22)</f>
        <v>46342</v>
      </c>
      <c r="BE22" s="163">
        <f t="shared" si="25"/>
        <v>46344</v>
      </c>
      <c r="BF22" s="163" t="s">
        <v>155</v>
      </c>
      <c r="BG22" s="490">
        <f t="shared" si="26"/>
        <v>46356</v>
      </c>
      <c r="BH22" s="490">
        <f t="shared" si="29"/>
        <v>46356</v>
      </c>
      <c r="BI22" s="133"/>
      <c r="BJ22" s="133"/>
      <c r="BL22" s="268"/>
      <c r="BM22" s="268"/>
      <c r="BN22" s="268"/>
      <c r="BO22" s="268"/>
      <c r="BT22" s="34"/>
    </row>
    <row r="23" spans="1:74" ht="29.5" hidden="1" customHeight="1" x14ac:dyDescent="0.35">
      <c r="A23" s="1013" t="s">
        <v>167</v>
      </c>
      <c r="B23" s="1014"/>
      <c r="D23" s="137" t="str">
        <f>D9</f>
        <v>STS Time</v>
      </c>
      <c r="E23" s="521" t="str">
        <f>E9</f>
        <v>Depart</v>
      </c>
      <c r="F23"/>
      <c r="G23"/>
      <c r="H23"/>
      <c r="I23"/>
      <c r="J23"/>
      <c r="K23"/>
      <c r="L23"/>
      <c r="M23"/>
      <c r="N23"/>
      <c r="O23"/>
      <c r="P23"/>
      <c r="Q23"/>
      <c r="T23" s="120" t="s">
        <v>172</v>
      </c>
      <c r="U23" s="120" t="e">
        <f>INDEX(Control!$E$17:$J$21,MATCH(Y23,Control!$E$17:$E$21,0),MATCH(V23,Control!$E$17:$J$17,0))</f>
        <v>#N/A</v>
      </c>
      <c r="V23" s="120" t="s">
        <v>173</v>
      </c>
      <c r="W23" s="152" t="str">
        <f>$W$9</f>
        <v>Vessel MT</v>
      </c>
      <c r="X23" s="120" t="s">
        <v>175</v>
      </c>
      <c r="Y23" s="571" t="s">
        <v>176</v>
      </c>
      <c r="Z23" s="571" t="s">
        <v>177</v>
      </c>
      <c r="AA23" s="571" t="s">
        <v>178</v>
      </c>
      <c r="AB23" s="571" t="s">
        <v>200</v>
      </c>
      <c r="AC23" s="578" t="s">
        <v>201</v>
      </c>
      <c r="AD23" s="128" t="s">
        <v>202</v>
      </c>
      <c r="AE23" s="579" t="s">
        <v>203</v>
      </c>
      <c r="AF23" s="580" t="s">
        <v>204</v>
      </c>
      <c r="AG23" s="578" t="s">
        <v>205</v>
      </c>
      <c r="AH23" s="578" t="str">
        <f>AH9</f>
        <v>Ext. TVM</v>
      </c>
      <c r="AI23" s="580" t="s">
        <v>206</v>
      </c>
      <c r="AJ23" s="783" t="str">
        <f t="shared" ref="AJ23:AK23" si="43">AG23</f>
        <v>ATA tvm</v>
      </c>
      <c r="AK23" s="783" t="str">
        <f t="shared" si="43"/>
        <v>Ext. TVM</v>
      </c>
      <c r="AL23" s="580" t="str">
        <f>AL9</f>
        <v>STS</v>
      </c>
      <c r="AM23" s="580" t="s">
        <v>186</v>
      </c>
      <c r="AN23" s="580" t="s">
        <v>187</v>
      </c>
      <c r="AO23" s="580" t="s">
        <v>141</v>
      </c>
      <c r="AP23" s="580" t="s">
        <v>188</v>
      </c>
      <c r="AQ23" s="580" t="s">
        <v>17</v>
      </c>
      <c r="AR23" s="580" t="s">
        <v>207</v>
      </c>
      <c r="AS23" s="580" t="s">
        <v>143</v>
      </c>
      <c r="AT23" s="580" t="s">
        <v>152</v>
      </c>
      <c r="AU23" s="579" t="s">
        <v>208</v>
      </c>
      <c r="AV23" s="579" t="s">
        <v>209</v>
      </c>
      <c r="AW23" s="579" t="s">
        <v>210</v>
      </c>
      <c r="AX23" s="579" t="str">
        <f>AX9</f>
        <v>Basis</v>
      </c>
      <c r="AY23" s="579"/>
      <c r="AZ23" s="137" t="s">
        <v>211</v>
      </c>
      <c r="BC23" s="137" t="s">
        <v>195</v>
      </c>
      <c r="BD23" s="1005" t="s">
        <v>196</v>
      </c>
      <c r="BE23" s="1005"/>
      <c r="BF23" s="488" t="str">
        <f>BF9</f>
        <v>Basis</v>
      </c>
      <c r="BG23" s="582" t="str">
        <f>BG9</f>
        <v>Pricing Month</v>
      </c>
      <c r="BH23" s="582" t="str">
        <f>BH9</f>
        <v>Delivery Month</v>
      </c>
      <c r="BL23" s="35"/>
      <c r="BM23" s="35"/>
      <c r="BN23" s="35"/>
      <c r="BO23" s="35"/>
      <c r="BP23" s="735" t="s">
        <v>212</v>
      </c>
      <c r="BQ23" s="2" t="s">
        <v>213</v>
      </c>
      <c r="BS23" s="2" t="s">
        <v>126</v>
      </c>
      <c r="BT23" s="2" t="s">
        <v>10</v>
      </c>
    </row>
    <row r="24" spans="1:74" ht="18" hidden="1" customHeight="1" x14ac:dyDescent="0.35">
      <c r="A24" s="701">
        <f>A22</f>
        <v>46334</v>
      </c>
      <c r="B24" s="702">
        <f>B9</f>
        <v>46336</v>
      </c>
      <c r="C24" s="270"/>
      <c r="D24" s="703"/>
      <c r="E24" s="704">
        <f t="shared" ref="E24:E31" si="44">AVERAGE(A24:B24)+D24</f>
        <v>46335</v>
      </c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665">
        <f>INDEX('[2]Flat Rates 2025'!$A:$DZ,MATCH(V24,'[2]Flat Rates 2025'!$A:$A,0),MATCH(Z24,'[2]Flat Rates 2025'!$A$1:$DZ$1,0))</f>
        <v>0</v>
      </c>
      <c r="U24" s="665">
        <f>INDEX(Control!$E$17:$J$21,MATCH(Y24,Control!$E$17:$E$21,0),MATCH(V24,Control!$E$17:$J$17,0))</f>
        <v>0</v>
      </c>
      <c r="V24" s="665" t="s">
        <v>45</v>
      </c>
      <c r="W24" s="666">
        <f>INDEX(Vessel_Minimum_MT,MATCH(Y24,Control!$E$11:$E$15,0),MATCH(V24,Control!$E$11:$J$11,0))</f>
        <v>70000</v>
      </c>
      <c r="X24" s="667">
        <f>AB24/Control!$D$84</f>
        <v>96532.465675057203</v>
      </c>
      <c r="Y24" s="705" t="s">
        <v>23</v>
      </c>
      <c r="Z24" s="706" t="s">
        <v>106</v>
      </c>
      <c r="AA24" s="706" t="str">
        <f t="shared" ref="AA24:AA44" si="45">IF(Z24=V24,"",CONCATENATE(CONCATENATE(VLOOKUP(V24,Zones,2,FALSE),"/",VLOOKUP(Z24,Zones,2,FALSE))))</f>
        <v>USGC/KOREA</v>
      </c>
      <c r="AB24" s="707">
        <v>750000</v>
      </c>
      <c r="AC24" s="707">
        <v>1001</v>
      </c>
      <c r="AD24" s="708">
        <v>6700000</v>
      </c>
      <c r="AE24" s="709">
        <f t="shared" ref="AE24:AE47" si="46">IF(AC24&gt;1000,IF(AD24=0,AC24,AD24)/AB24,((W24*T24*(IF(AD24=0,AC24,AD24)/100))+IF(X24&lt;W24,0,(X24-W24)*T24*IF(AD24=0,AC24,AD24)/100*U24))/AB24)</f>
        <v>8.9333333333333336</v>
      </c>
      <c r="AF24" s="760">
        <v>5</v>
      </c>
      <c r="AG24" s="710">
        <f>IF(INDEX(Index,MATCH(Z24,TVM_PortList,0),MATCH("Type",Control!$Q$3:$U$3,0))="BL",INDEX(Index,MATCH(Z24,TVM_PortList,0),MATCH("Payment",Control!$Q$3:$U$3,0))-INDEX(Index,MATCH(V24,TVM_PortList,0),MATCH("Payment",Control!$Q$3:$U$3,0)),BC24+INDEX(Index,MATCH(Z24,TVM_PortList,0),MATCH("Payment",Control!$Q$3:$U$3,0))-INDEX(Index,MATCH(V24,TVM_PortList,0),MATCH("Payment",Control!$Q$3:$U$3,0)))</f>
        <v>19</v>
      </c>
      <c r="AH24" s="710"/>
      <c r="AI24" s="711">
        <f>AF24*VLOOKUP($Y24,Control!$F$75:$H$87,3,FALSE)/$AB24</f>
        <v>0.53333333333333333</v>
      </c>
      <c r="AJ24" s="711">
        <f>$AG24*Control!$D$77</f>
        <v>0.24768712328767126</v>
      </c>
      <c r="AK24" s="711"/>
      <c r="AL24" s="711">
        <f>IF(((AB24-VLOOKUP(Y24,Control!$J$76:$K$80,2,FALSE))/Control!$D$85)&lt;=0,0,ROUNDUP(((AB24-VLOOKUP(Y24,Control!$J$76:$K$80,2,FALSE))/Control!$D$85),0)*Control!$H$90/AB24)</f>
        <v>0</v>
      </c>
      <c r="AM24" s="711">
        <f>IF(I24="Corpus Christi",Control!$D$76,0)</f>
        <v>0</v>
      </c>
      <c r="AN24" s="711">
        <v>0</v>
      </c>
      <c r="AO24" s="711">
        <f>Control!$D$78</f>
        <v>0</v>
      </c>
      <c r="AP24" s="711">
        <f>Control!$D$79</f>
        <v>6.7299999999999999E-2</v>
      </c>
      <c r="AQ24" s="711">
        <f>IF(INDEX(Control!$Q$3:$S$62,MATCH($Z24,Control!$Q$3:$Q$62,0),MATCH(AQ$9,Control!$Q$3:$S$3,0))=1,Control!$D$81*Control!$E$81,0)</f>
        <v>0.2</v>
      </c>
      <c r="AR24" s="711"/>
      <c r="AS24" s="711">
        <f>IF(AND(Y24="VLCC",Control!$K$79=1200000),Control!$D$83/AB24,0)</f>
        <v>0</v>
      </c>
      <c r="AT24" s="711"/>
      <c r="AU24" s="712">
        <f t="shared" ref="AU24:AU25" si="47">SUM(AI24:AT24)</f>
        <v>1.0483204566210047</v>
      </c>
      <c r="AV24" s="712">
        <f t="shared" ref="AV24:AV47" si="48">+R24+AE24+AU24</f>
        <v>9.9816537899543381</v>
      </c>
      <c r="AW24" s="712">
        <f t="shared" ref="AW24:AW25" si="49">IF((MONTH(A24)=MONTH(BH24)),0,IF(((MONTH(BH24))-MONTH(A24))+12*YEAR(BG24)-YEAR(A24)&gt;1,SUMIFS($BD$4:$BG$4,$BD$3:$BG$3,"&lt;="&amp;EOMONTH(BG24,-1),$BD$3:$BG$3,"&gt;="&amp;EOMONTH(A24,0)),VLOOKUP("Spreads",$BC$3:$BG$4,MATCH(EOMONTH(A24,0),$BC$3:$BG$3,0))))</f>
        <v>0</v>
      </c>
      <c r="AX24" s="712">
        <f>+IF($BC$3=1,HLOOKUP(EOMONTH(BG24,0),$BD$3:$BH$6,4,FALSE),IF($BC$3=2,-HLOOKUP(EOMONTH(BG24,0),$BC$3:$BH$6,3,FALSE),0))</f>
        <v>-1.7</v>
      </c>
      <c r="AY24" s="712"/>
      <c r="AZ24" s="713">
        <f t="shared" ref="AZ24:AZ31" si="50">$Y$3+AV24+AW24+AX24</f>
        <v>4.6816537899543382</v>
      </c>
      <c r="BB24" s="329"/>
      <c r="BC24" s="703">
        <v>39</v>
      </c>
      <c r="BD24" s="702">
        <f t="shared" ref="BD24:BD31" si="51">IF(ISBLANK(A24),"",A24+$BC24+D24)</f>
        <v>46373</v>
      </c>
      <c r="BE24" s="702">
        <f>BD24+2</f>
        <v>46375</v>
      </c>
      <c r="BF24" s="702" t="str">
        <f>HLOOKUP($BC$3,$AV$4:$AX$5,2,FALSE)</f>
        <v>Dubai</v>
      </c>
      <c r="BG24" s="714">
        <f t="shared" ref="BG24:BG47" si="52">IF($BC$8=0,IF(BF24="ICE Brent",EOMONTH(BE24,2),EOMONTH(BE24,0)),IF(BF24="ICE Brent",EOMONTH(BE24,1),EOMONTH(BE24,-1)))</f>
        <v>46356</v>
      </c>
      <c r="BH24" s="715">
        <f t="shared" ref="BH24:BH47" si="53">IF($BC$8=1,EOMONTH(BE24,-1),EOMONTH(BE24,0))</f>
        <v>46356</v>
      </c>
      <c r="BK24" s="361"/>
    </row>
    <row r="25" spans="1:74" ht="18" hidden="1" customHeight="1" thickBot="1" x14ac:dyDescent="0.4">
      <c r="A25" s="716">
        <f t="shared" ref="A25:A47" si="54">+$A$10</f>
        <v>46334</v>
      </c>
      <c r="B25" s="717">
        <f t="shared" ref="B25:B31" si="55">IF(ISBLANK(A25),"",A25+2)</f>
        <v>46336</v>
      </c>
      <c r="C25" s="275"/>
      <c r="D25" s="718"/>
      <c r="E25" s="719">
        <f t="shared" si="44"/>
        <v>46335</v>
      </c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720">
        <f>INDEX('[2]Flat Rates 2025'!$A:$DZ,MATCH(V25,'[2]Flat Rates 2025'!$A:$A,0),MATCH(Z25,'[2]Flat Rates 2025'!$A$1:$DZ$1,0))</f>
        <v>0</v>
      </c>
      <c r="U25" s="720">
        <f>INDEX(Control!$E$17:$J$21,MATCH(Y25,Control!$E$17:$E$21,0),MATCH(V25,Control!$E$17:$J$17,0))</f>
        <v>0.5</v>
      </c>
      <c r="V25" s="720" t="s">
        <v>45</v>
      </c>
      <c r="W25" s="721">
        <f>INDEX(Vessel_Minimum_MT,MATCH(Y25,Control!$E$11:$E$15,0),MATCH(V25,Control!$E$11:$J$11,0))</f>
        <v>145000</v>
      </c>
      <c r="X25" s="722">
        <f>AB25/Control!$D$84</f>
        <v>109403.46109839817</v>
      </c>
      <c r="Y25" s="723" t="s">
        <v>24</v>
      </c>
      <c r="Z25" s="724" t="s">
        <v>106</v>
      </c>
      <c r="AA25" s="724" t="str">
        <f t="shared" si="45"/>
        <v>USGC/KOREA</v>
      </c>
      <c r="AB25" s="725">
        <v>850000</v>
      </c>
      <c r="AC25" s="725">
        <v>1001</v>
      </c>
      <c r="AD25" s="726">
        <v>7500000</v>
      </c>
      <c r="AE25" s="727">
        <f t="shared" si="46"/>
        <v>8.8235294117647065</v>
      </c>
      <c r="AF25" s="761">
        <v>2</v>
      </c>
      <c r="AG25" s="725">
        <f>IF(INDEX(Index,MATCH(Z25,TVM_PortList,0),MATCH("Type",Control!$Q$3:$U$3,0))="BL",INDEX(Index,MATCH(Z25,TVM_PortList,0),MATCH("Payment",Control!$Q$3:$U$3,0))-INDEX(Index,MATCH(V25,TVM_PortList,0),MATCH("Payment",Control!$Q$3:$U$3,0)),BC25+INDEX(Index,MATCH(Z25,TVM_PortList,0),MATCH("Payment",Control!$Q$3:$U$3,0))-INDEX(Index,MATCH(V25,TVM_PortList,0),MATCH("Payment",Control!$Q$3:$U$3,0)))</f>
        <v>21</v>
      </c>
      <c r="AH25" s="725"/>
      <c r="AI25" s="728">
        <f>AF25*VLOOKUP($Y25,Control!$F$75:$H$87,3,FALSE)/$AB25</f>
        <v>0.22352941176470589</v>
      </c>
      <c r="AJ25" s="728">
        <f>$AG25*Control!$D$77</f>
        <v>0.27375945205479457</v>
      </c>
      <c r="AK25" s="728"/>
      <c r="AL25" s="728">
        <f>IF(((AB25-VLOOKUP(Y25,Control!$J$76:$K$80,2,FALSE))/Control!$D$85)&lt;=0,0,ROUNDUP(((AB25-VLOOKUP(Y25,Control!$J$76:$K$80,2,FALSE))/Control!$D$85),0)*Control!$H$90/AB25)</f>
        <v>0</v>
      </c>
      <c r="AM25" s="728">
        <f>IF(I25="Corpus Christi",Control!$D$76,0)</f>
        <v>0</v>
      </c>
      <c r="AN25" s="728">
        <v>0</v>
      </c>
      <c r="AO25" s="728">
        <f>Control!$D$78</f>
        <v>0</v>
      </c>
      <c r="AP25" s="728">
        <f>Control!$D$79</f>
        <v>6.7299999999999999E-2</v>
      </c>
      <c r="AQ25" s="728">
        <f>IF(INDEX(Control!$Q$3:$S$62,MATCH($Z25,Control!$Q$3:$Q$62,0),MATCH(AQ$9,Control!$Q$3:$S$3,0))=1,Control!$D$81*Control!$E$81,0)</f>
        <v>0.2</v>
      </c>
      <c r="AR25" s="728"/>
      <c r="AS25" s="728">
        <f>IF(AND(Y25="VLCC",Control!$K$79=1200000),Control!$D$83/AB25,0)</f>
        <v>0</v>
      </c>
      <c r="AT25" s="728"/>
      <c r="AU25" s="727">
        <f t="shared" si="47"/>
        <v>0.76458886381950042</v>
      </c>
      <c r="AV25" s="727">
        <f t="shared" si="48"/>
        <v>9.5881182755842076</v>
      </c>
      <c r="AW25" s="727">
        <f t="shared" si="49"/>
        <v>0</v>
      </c>
      <c r="AX25" s="727">
        <f t="shared" ref="AX25:AX38" si="56">+IF($BC$3=1,HLOOKUP(EOMONTH(BG25,0),$BD$3:$BH$6,4,FALSE),IF($BC$3=2,-HLOOKUP(EOMONTH(BG25,0),$BC$3:$BH$6,3,FALSE),0))</f>
        <v>-1.7</v>
      </c>
      <c r="AY25" s="727"/>
      <c r="AZ25" s="729">
        <f t="shared" si="50"/>
        <v>4.2881182755842078</v>
      </c>
      <c r="BB25" s="720"/>
      <c r="BC25" s="718">
        <f>BC24+AF25</f>
        <v>41</v>
      </c>
      <c r="BD25" s="717">
        <f t="shared" si="51"/>
        <v>46375</v>
      </c>
      <c r="BE25" s="717">
        <f t="shared" ref="BE25:BE47" si="57">BD25+2</f>
        <v>46377</v>
      </c>
      <c r="BF25" s="717" t="str">
        <f t="shared" ref="BF25:BF45" si="58">HLOOKUP($BC$3,$AV$4:$AX$5,2,FALSE)</f>
        <v>Dubai</v>
      </c>
      <c r="BG25" s="730">
        <f t="shared" si="52"/>
        <v>46356</v>
      </c>
      <c r="BH25" s="731">
        <f t="shared" si="53"/>
        <v>46356</v>
      </c>
      <c r="BI25"/>
      <c r="BJ25"/>
      <c r="BK25"/>
      <c r="BL25"/>
      <c r="BM25"/>
      <c r="BN25"/>
      <c r="BO25"/>
      <c r="BQ25"/>
      <c r="BR25"/>
      <c r="BS25"/>
      <c r="BT25"/>
      <c r="BU25"/>
      <c r="BV25"/>
    </row>
    <row r="26" spans="1:74" ht="18" hidden="1" customHeight="1" outlineLevel="1" thickBot="1" x14ac:dyDescent="0.5">
      <c r="A26" s="659"/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T26" s="220"/>
      <c r="U26" s="220"/>
      <c r="V26" s="220"/>
      <c r="W26" s="524"/>
      <c r="X26" s="525"/>
      <c r="Y26" s="1019" t="s">
        <v>214</v>
      </c>
      <c r="Z26" s="1020"/>
      <c r="AA26" s="1020"/>
      <c r="AB26" s="1020"/>
      <c r="AC26" s="1020"/>
      <c r="AD26" s="1020"/>
      <c r="AE26" s="1020"/>
      <c r="AF26" s="1020"/>
      <c r="AG26" s="1020"/>
      <c r="AH26" s="1020"/>
      <c r="AI26" s="1020"/>
      <c r="AJ26" s="1020"/>
      <c r="AK26" s="1020"/>
      <c r="AL26" s="1020"/>
      <c r="AM26" s="1020"/>
      <c r="AN26" s="1020"/>
      <c r="AO26" s="1020"/>
      <c r="AP26" s="1020"/>
      <c r="AQ26" s="1020"/>
      <c r="AR26" s="1020"/>
      <c r="AS26" s="1020"/>
      <c r="AT26" s="1020"/>
      <c r="AU26" s="1020"/>
      <c r="AV26" s="1020"/>
      <c r="AW26" s="1020"/>
      <c r="AX26" s="1020"/>
      <c r="AY26" s="1020"/>
      <c r="AZ26" s="1021"/>
      <c r="BB26" s="220"/>
      <c r="BC26" s="659"/>
      <c r="BD26" s="659"/>
      <c r="BE26" s="659"/>
      <c r="BF26" s="659"/>
      <c r="BG26" s="660"/>
      <c r="BH26" s="660"/>
      <c r="BI26" t="s">
        <v>203</v>
      </c>
      <c r="BJ26"/>
      <c r="BK26" t="s">
        <v>137</v>
      </c>
      <c r="BL26" t="s">
        <v>98</v>
      </c>
      <c r="BM26" t="s">
        <v>127</v>
      </c>
      <c r="BN26" t="s">
        <v>128</v>
      </c>
      <c r="BO26" t="s">
        <v>215</v>
      </c>
      <c r="BQ26"/>
      <c r="BR26"/>
      <c r="BS26"/>
      <c r="BT26"/>
      <c r="BU26"/>
      <c r="BV26"/>
    </row>
    <row r="27" spans="1:74" ht="18" hidden="1" customHeight="1" outlineLevel="1" x14ac:dyDescent="0.35">
      <c r="A27" s="661">
        <f t="shared" si="54"/>
        <v>46334</v>
      </c>
      <c r="B27" s="662">
        <f t="shared" si="55"/>
        <v>46336</v>
      </c>
      <c r="C27" s="270"/>
      <c r="D27" s="663">
        <f>IF(AL27=0,0,VLOOKUP(Y27,Control!$G$41:$J$44,4,FALSE))</f>
        <v>3</v>
      </c>
      <c r="E27" s="664">
        <f t="shared" si="44"/>
        <v>46338</v>
      </c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665">
        <v>0</v>
      </c>
      <c r="U27" s="665" t="e">
        <f>INDEX(Control!$E$17:$J$21,MATCH(Y27,Control!$E$17:$E$21,0),MATCH(V27,Control!$E$17:$J$17,0))</f>
        <v>#N/A</v>
      </c>
      <c r="V27" s="665" t="s">
        <v>38</v>
      </c>
      <c r="W27" s="666">
        <v>270000</v>
      </c>
      <c r="X27" s="667">
        <f>AB27/Control!$D$84</f>
        <v>257419.90846681921</v>
      </c>
      <c r="Y27" s="566" t="s">
        <v>26</v>
      </c>
      <c r="Z27" s="138" t="s">
        <v>51</v>
      </c>
      <c r="AA27" s="566">
        <f>AA38</f>
        <v>0</v>
      </c>
      <c r="AB27" s="526">
        <v>2000000</v>
      </c>
      <c r="AC27" s="744">
        <v>1001</v>
      </c>
      <c r="AD27" s="745">
        <f>AD28</f>
        <v>55000000</v>
      </c>
      <c r="AE27" s="529">
        <f t="shared" si="46"/>
        <v>27.5</v>
      </c>
      <c r="AF27" s="762">
        <v>2</v>
      </c>
      <c r="AG27" s="793">
        <f>AG40</f>
        <v>-9.5</v>
      </c>
      <c r="AH27" s="794">
        <f>INDEX(Control!$AS$36:$AY$118,MATCH(WTI!$Z27,Control!$AS$36:$AS$118,0),MATCH(WTI!AH$23,Control!$AS$36:$AY$36,0))-6</f>
        <v>30.5</v>
      </c>
      <c r="AI27" s="812">
        <f>AF27*VLOOKUP($Y27,Control!$F$75:$H$87,3,FALSE)/$AB27</f>
        <v>0.45</v>
      </c>
      <c r="AJ27" s="785">
        <f>IF($AK$3=1,$AG27*Control!$D$77,0)</f>
        <v>0</v>
      </c>
      <c r="AK27" s="786">
        <f>IF($AK$4=1,$AH27*Control!$D$77,0)</f>
        <v>0.39760301369863016</v>
      </c>
      <c r="AL27" s="748">
        <f>IF(((AB27-VLOOKUP(Y27,Control!$J$76:$K$82,2,FALSE))/AN27)&lt;=0,0,ROUNDUP(((AB27-VLOOKUP(Y27,Control!$J$76:$K$82,2,FALSE))/Control!$D$86),0)*IF(AN27=Control!$D$86,Control!$H$91,Control!$H$90)/AB27)</f>
        <v>0.92500000000000004</v>
      </c>
      <c r="AM27" s="744">
        <f>IF(I27="Corpus Christi",Control!$D$76,0)</f>
        <v>0</v>
      </c>
      <c r="AN27" s="744">
        <f>IF(AND(Control!$D$85-ROUNDUP(((AB27-VLOOKUP(Y27,Control!$J$76:$K$82,2,FALSE))),0)&gt;0,Control!$D$85-ROUNDUP(((AB27-VLOOKUP(Y27,Control!$J$76:$K$82,2,FALSE))),0)&lt;Control!$D$86-ROUNDUP(((AB27-VLOOKUP(Y27,Control!$J$76:$K$82,2,FALSE))),0)),Control!$D$85,Control!$D$86)</f>
        <v>750000</v>
      </c>
      <c r="AO27" s="748">
        <f>Control!$D$78</f>
        <v>0</v>
      </c>
      <c r="AP27" s="748">
        <f>Control!$D$79</f>
        <v>6.7299999999999999E-2</v>
      </c>
      <c r="AQ27" s="748">
        <f>IF(INDEX(Control!$Q$3:$S$62,MATCH($Z27,Control!$Q$3:$Q$62,0),MATCH(AQ$9,Control!$Q$3:$S$3,0))=1,Control!$D$81*Control!$E$81,0)</f>
        <v>0.2</v>
      </c>
      <c r="AR27" s="748"/>
      <c r="AS27" s="748">
        <f>Control!$D$83/AB27</f>
        <v>0.15</v>
      </c>
      <c r="AT27" s="748"/>
      <c r="AU27" s="529">
        <f>SUM(AI27:AM27,AO27:AT27)</f>
        <v>2.1899030136986299</v>
      </c>
      <c r="AV27" s="529">
        <f t="shared" si="48"/>
        <v>29.689903013698629</v>
      </c>
      <c r="AW27" s="529">
        <f>IF((MONTH(A27)=MONTH(BH27)),0,IF(((MONTH(BH27))-MONTH(A27))+12*YEAR(BG27)-YEAR(A27)&gt;1,SUMIFS($BD$4:$BH$4,$BD$3:$BH$3,"&lt;="&amp;EOMONTH(BG27,-1),$BD$3:$BH$3,"&gt;="&amp;EOMONTH(A27,0)),VLOOKUP("Spreads",$BC$3:$BH$4,MATCH(EOMONTH(A27,0),$BC$3:$BH$3,0))))</f>
        <v>0</v>
      </c>
      <c r="AX27" s="529">
        <f t="shared" si="56"/>
        <v>-1.7</v>
      </c>
      <c r="AY27" s="529"/>
      <c r="AZ27" s="750">
        <f t="shared" si="50"/>
        <v>24.389903013698628</v>
      </c>
      <c r="BB27" s="329"/>
      <c r="BC27" s="663">
        <f>BC40</f>
        <v>40</v>
      </c>
      <c r="BD27" s="662">
        <f>IF(ISBLANK(A27),"",A27+$BC27+D27)</f>
        <v>46377</v>
      </c>
      <c r="BE27" s="662">
        <f t="shared" si="57"/>
        <v>46379</v>
      </c>
      <c r="BF27" s="662" t="str">
        <f t="shared" si="58"/>
        <v>Dubai</v>
      </c>
      <c r="BG27" s="669">
        <f t="shared" si="52"/>
        <v>46356</v>
      </c>
      <c r="BH27" s="670">
        <f t="shared" si="53"/>
        <v>46356</v>
      </c>
      <c r="BI27" s="735">
        <f>AE27*AB27</f>
        <v>55000000</v>
      </c>
      <c r="BJ27" s="735"/>
      <c r="BK27" s="735">
        <f>AI27*AB27</f>
        <v>900000</v>
      </c>
      <c r="BL27" s="735">
        <f>AL27*AB27</f>
        <v>1850000</v>
      </c>
      <c r="BM27" s="735">
        <f>AJ27*AB27</f>
        <v>0</v>
      </c>
      <c r="BN27" s="735">
        <f>AK27*AB27</f>
        <v>795206.0273972603</v>
      </c>
      <c r="BO27" s="735">
        <f>(AU27-AL27-AK27-AJ27-AI27)*AB27</f>
        <v>834599.99999999942</v>
      </c>
      <c r="BP27" s="776">
        <f t="shared" ref="BP27:BP32" si="59">SUM(BI27:BM27)</f>
        <v>57750000</v>
      </c>
      <c r="BQ27" s="776">
        <f t="shared" ref="BQ27:BQ31" si="60">BP27-BM27</f>
        <v>57750000</v>
      </c>
    </row>
    <row r="28" spans="1:74" ht="18" hidden="1" customHeight="1" outlineLevel="1" x14ac:dyDescent="0.35">
      <c r="A28" s="671">
        <f t="shared" si="54"/>
        <v>46334</v>
      </c>
      <c r="B28" s="551">
        <f t="shared" si="55"/>
        <v>46336</v>
      </c>
      <c r="C28" s="552"/>
      <c r="D28" s="553">
        <f>IF(AL28=0,0,VLOOKUP(Y28,Control!$G$41:$J$44,4,FALSE))</f>
        <v>3</v>
      </c>
      <c r="E28" s="554">
        <f t="shared" si="44"/>
        <v>46338</v>
      </c>
      <c r="F28"/>
      <c r="G28"/>
      <c r="H28"/>
      <c r="I28"/>
      <c r="J28"/>
      <c r="K28"/>
      <c r="L28"/>
      <c r="M28"/>
      <c r="N28"/>
      <c r="O28"/>
      <c r="P28"/>
      <c r="Q28"/>
      <c r="T28" s="556">
        <v>0</v>
      </c>
      <c r="U28" s="556" t="e">
        <f>INDEX(Control!$E$17:$J$21,MATCH(Y28,Control!$E$17:$E$21,0),MATCH(V28,Control!$E$17:$J$17,0))</f>
        <v>#N/A</v>
      </c>
      <c r="V28" s="556" t="s">
        <v>38</v>
      </c>
      <c r="W28" s="557">
        <v>270000</v>
      </c>
      <c r="X28" s="558">
        <f>AB28/Control!$D$84</f>
        <v>267073.15503432491</v>
      </c>
      <c r="Y28" s="559" t="s">
        <v>26</v>
      </c>
      <c r="Z28" s="572" t="s">
        <v>106</v>
      </c>
      <c r="AA28" s="556" t="str">
        <f>AA43</f>
        <v>USGC/KOREA</v>
      </c>
      <c r="AB28" s="304">
        <f>AB43</f>
        <v>2075000</v>
      </c>
      <c r="AC28" s="557">
        <v>1001</v>
      </c>
      <c r="AD28" s="734">
        <f>AD43</f>
        <v>55000000</v>
      </c>
      <c r="AE28" s="561">
        <f t="shared" si="46"/>
        <v>26.506024096385541</v>
      </c>
      <c r="AF28" s="763">
        <v>2</v>
      </c>
      <c r="AG28" s="795">
        <f>AG43</f>
        <v>-9.5</v>
      </c>
      <c r="AH28" s="796">
        <f>INDEX(Control!$AS$36:$AY$118,MATCH(WTI!$Z28,Control!$AS$36:$AS$118,0),MATCH(WTI!AH$23,Control!$AS$36:$AY$36,0))-6</f>
        <v>32.5</v>
      </c>
      <c r="AI28" s="811">
        <f>AF28*VLOOKUP($Y28,Control!$F$75:$H$87,3,FALSE)/$AB28</f>
        <v>0.43373493975903615</v>
      </c>
      <c r="AJ28" s="787">
        <f>IF($AK$3=1,$AG28*Control!$D$77,0)</f>
        <v>0</v>
      </c>
      <c r="AK28" s="788">
        <f>IF($AK$4=1,$AH28*Control!$D$77,0)</f>
        <v>0.4236753424657535</v>
      </c>
      <c r="AL28" s="562">
        <f>IF(((AB28-VLOOKUP(Y28,Control!$J$76:$K$82,2,FALSE))/AN28)&lt;=0,0,ROUNDUP(((AB28-VLOOKUP(Y28,Control!$J$76:$K$82,2,FALSE))/Control!$D$86),0)*IF(AN28=Control!$D$86,Control!$H$91,Control!$H$90)/AB28)</f>
        <v>0.89156626506024095</v>
      </c>
      <c r="AM28" s="557">
        <f>IF(I28="Corpus Christi",Control!$D$76,0)</f>
        <v>0</v>
      </c>
      <c r="AN28" s="557">
        <f>IF(AND(Control!$D$85-ROUNDUP(((AB28-VLOOKUP(Y28,Control!$J$76:$K$82,2,FALSE))),0)&gt;0,Control!$D$85-ROUNDUP(((AB28-VLOOKUP(Y28,Control!$J$76:$K$82,2,FALSE))),0)&lt;Control!$D$86-ROUNDUP(((AB28-VLOOKUP(Y28,Control!$J$76:$K$82,2,FALSE))),0)),Control!$D$85,Control!$D$86)</f>
        <v>750000</v>
      </c>
      <c r="AO28" s="562">
        <f>Control!$D$78</f>
        <v>0</v>
      </c>
      <c r="AP28" s="562">
        <f>Control!$D$79</f>
        <v>6.7299999999999999E-2</v>
      </c>
      <c r="AQ28" s="562"/>
      <c r="AR28" s="562"/>
      <c r="AS28" s="562">
        <f>Control!$D$83/AB28</f>
        <v>0.14457831325301204</v>
      </c>
      <c r="AT28" s="562"/>
      <c r="AU28" s="561">
        <f t="shared" ref="AU28:AU31" si="61">SUM(AI28:AM28,AO28:AT28)</f>
        <v>1.9608548605380425</v>
      </c>
      <c r="AV28" s="561">
        <f t="shared" si="48"/>
        <v>28.466878956923583</v>
      </c>
      <c r="AW28" s="561">
        <f t="shared" ref="AW28:AW31" si="62">IF((MONTH(A28)=MONTH(BH28)),0,IF(((MONTH(BH28))-MONTH(A28))+12*YEAR(BG28)-YEAR(A28)&gt;1,SUMIFS($BD$4:$BH$4,$BD$3:$BH$3,"&lt;="&amp;EOMONTH(BG28,-1),$BD$3:$BH$3,"&gt;="&amp;EOMONTH(A28,0)),VLOOKUP("Spreads",$BC$3:$BH$4,MATCH(EOMONTH(A28,0),$BC$3:$BH$3,0))))</f>
        <v>2.9</v>
      </c>
      <c r="AX28" s="588">
        <f t="shared" si="56"/>
        <v>-0.9</v>
      </c>
      <c r="AY28" s="588"/>
      <c r="AZ28" s="563">
        <f t="shared" si="50"/>
        <v>26.866878956923582</v>
      </c>
      <c r="BB28" s="556"/>
      <c r="BC28" s="553">
        <f>BC43</f>
        <v>52</v>
      </c>
      <c r="BD28" s="551">
        <f t="shared" si="51"/>
        <v>46389</v>
      </c>
      <c r="BE28" s="551">
        <f t="shared" si="57"/>
        <v>46391</v>
      </c>
      <c r="BF28" s="649" t="str">
        <f t="shared" si="58"/>
        <v>Dubai</v>
      </c>
      <c r="BG28" s="564">
        <f t="shared" si="52"/>
        <v>46387</v>
      </c>
      <c r="BH28" s="672">
        <f t="shared" si="53"/>
        <v>46387</v>
      </c>
      <c r="BI28" s="735">
        <f>AE28*AB28</f>
        <v>55000000</v>
      </c>
      <c r="BJ28" s="735"/>
      <c r="BK28" s="735">
        <f>AI28*AB28</f>
        <v>900000</v>
      </c>
      <c r="BL28" s="735">
        <f t="shared" ref="BL28:BL38" si="63">AL28*AB28</f>
        <v>1850000</v>
      </c>
      <c r="BM28" s="735">
        <f t="shared" ref="BM28:BM38" si="64">AJ28*AB28</f>
        <v>0</v>
      </c>
      <c r="BN28" s="735">
        <f t="shared" ref="BN28:BN38" si="65">AK28*AB28</f>
        <v>879126.33561643853</v>
      </c>
      <c r="BO28" s="735">
        <f t="shared" ref="BO28:BO31" si="66">(AU28-AL28-AK28-AJ28-AI28)*AB28</f>
        <v>439647.49999999953</v>
      </c>
      <c r="BP28" s="777">
        <f t="shared" si="59"/>
        <v>57750000</v>
      </c>
      <c r="BQ28" s="777">
        <f t="shared" si="60"/>
        <v>57750000</v>
      </c>
      <c r="BR28" s="2">
        <f>+BQ28/2100000</f>
        <v>27.5</v>
      </c>
    </row>
    <row r="29" spans="1:74" ht="18" hidden="1" customHeight="1" outlineLevel="1" x14ac:dyDescent="0.35">
      <c r="A29" s="673">
        <f t="shared" si="54"/>
        <v>46334</v>
      </c>
      <c r="B29" s="530">
        <f t="shared" si="55"/>
        <v>46336</v>
      </c>
      <c r="D29" s="531">
        <f>IF(AL29=0,0,VLOOKUP(Y29,Control!$G$41:$J$44,4,FALSE))</f>
        <v>3</v>
      </c>
      <c r="E29" s="532">
        <f t="shared" si="44"/>
        <v>46338</v>
      </c>
      <c r="F29"/>
      <c r="G29"/>
      <c r="H29"/>
      <c r="I29"/>
      <c r="J29"/>
      <c r="K29"/>
      <c r="L29"/>
      <c r="M29"/>
      <c r="N29"/>
      <c r="O29"/>
      <c r="P29"/>
      <c r="Q29"/>
      <c r="T29" s="138">
        <v>0</v>
      </c>
      <c r="U29" s="138" t="e">
        <f>INDEX(Control!$E$17:$J$21,MATCH(Y29,Control!$E$17:$E$21,0),MATCH(V29,Control!$E$17:$J$17,0))</f>
        <v>#N/A</v>
      </c>
      <c r="V29" s="138" t="s">
        <v>38</v>
      </c>
      <c r="W29" s="526">
        <v>270000</v>
      </c>
      <c r="X29" s="527">
        <f>AB29/Control!$D$84</f>
        <v>267073.15503432491</v>
      </c>
      <c r="Y29" s="48" t="s">
        <v>26</v>
      </c>
      <c r="Z29" s="674" t="s">
        <v>114</v>
      </c>
      <c r="AA29" s="138" t="str">
        <f>AA44</f>
        <v>USGC/Singapore</v>
      </c>
      <c r="AB29" s="526">
        <f>AB28</f>
        <v>2075000</v>
      </c>
      <c r="AC29" s="526">
        <v>1001</v>
      </c>
      <c r="AD29" s="481">
        <f>AD28-1000000</f>
        <v>54000000</v>
      </c>
      <c r="AE29" s="529">
        <f t="shared" si="46"/>
        <v>26.024096385542169</v>
      </c>
      <c r="AF29" s="762">
        <v>2</v>
      </c>
      <c r="AG29" s="797">
        <f>AG44</f>
        <v>-9.5</v>
      </c>
      <c r="AH29" s="798">
        <f>INDEX(Control!$AS$36:$AY$118,MATCH(WTI!$Z29,Control!$AS$36:$AS$118,0),MATCH(WTI!AH$23,Control!$AS$36:$AY$36,0))-6</f>
        <v>22.5</v>
      </c>
      <c r="AI29" s="812">
        <f>AF29*VLOOKUP($Y29,Control!$F$75:$H$87,3,FALSE)/$AB29</f>
        <v>0.43373493975903615</v>
      </c>
      <c r="AJ29" s="789">
        <f>IF($AK$3=1,$AG29*Control!$D$77,0)</f>
        <v>0</v>
      </c>
      <c r="AK29" s="790">
        <f>IF($AK$4=1,$AH29*Control!$D$77,0)</f>
        <v>0.29331369863013701</v>
      </c>
      <c r="AL29" s="533">
        <f>IF(((AB29-VLOOKUP(Y29,Control!$J$76:$K$82,2,FALSE))/AN29)&lt;=0,0,ROUNDUP(((AB29-VLOOKUP(Y29,Control!$J$76:$K$82,2,FALSE))/Control!$D$86),0)*IF(AN29=Control!$D$86,Control!$H$91,Control!$H$90)/AB29)</f>
        <v>0.89156626506024095</v>
      </c>
      <c r="AM29" s="744">
        <f>IF(I29="Corpus Christi",Control!$D$76,0)</f>
        <v>0</v>
      </c>
      <c r="AN29" s="744">
        <f>IF(AND(Control!$D$85-ROUNDUP(((AB29-VLOOKUP(Y29,Control!$J$76:$K$82,2,FALSE))),0)&gt;0,Control!$D$85-ROUNDUP(((AB29-VLOOKUP(Y29,Control!$J$76:$K$82,2,FALSE))),0)&lt;Control!$D$86-ROUNDUP(((AB29-VLOOKUP(Y29,Control!$J$76:$K$82,2,FALSE))),0)),Control!$D$85,Control!$D$86)</f>
        <v>750000</v>
      </c>
      <c r="AO29" s="533">
        <f>Control!$D$78</f>
        <v>0</v>
      </c>
      <c r="AP29" s="533">
        <f>Control!$D$79</f>
        <v>6.7299999999999999E-2</v>
      </c>
      <c r="AQ29" s="533">
        <f>IF(INDEX(Control!$Q$3:$S$62,MATCH($Z29,Control!$Q$3:$Q$62,0),MATCH(AQ$9,Control!$Q$3:$S$3,0))=1,Control!$D$81*Control!$E$81,0)</f>
        <v>0.2</v>
      </c>
      <c r="AR29" s="533"/>
      <c r="AS29" s="533">
        <f>Control!$D$83/AB29</f>
        <v>0.14457831325301204</v>
      </c>
      <c r="AT29" s="533"/>
      <c r="AU29" s="529">
        <f t="shared" si="61"/>
        <v>2.0304932167024261</v>
      </c>
      <c r="AV29" s="529">
        <f t="shared" si="48"/>
        <v>28.054589602244594</v>
      </c>
      <c r="AW29" s="529">
        <f t="shared" si="62"/>
        <v>0</v>
      </c>
      <c r="AX29" s="529">
        <f>-HLOOKUP(EOMONTH(BG29,0),$BC$3:$BH$6,3,FALSE)</f>
        <v>-5.28</v>
      </c>
      <c r="AY29" s="529"/>
      <c r="AZ29" s="534">
        <f t="shared" si="50"/>
        <v>19.174589602244591</v>
      </c>
      <c r="BC29" s="531">
        <f t="shared" ref="BC29" si="67">BC44</f>
        <v>44</v>
      </c>
      <c r="BD29" s="530">
        <f t="shared" si="51"/>
        <v>46381</v>
      </c>
      <c r="BE29" s="530">
        <f t="shared" si="57"/>
        <v>46383</v>
      </c>
      <c r="BF29" s="650" t="s">
        <v>157</v>
      </c>
      <c r="BG29" s="675">
        <f>IF($BH$8=0,IF(BF29="ICE Brent",EOMONTH(BE29,2),EOMONTH(BE29,0)),IF(BF29="ICE Brent",EOMONTH(BE29,1),EOMONTH(BE29,-1)))</f>
        <v>46356</v>
      </c>
      <c r="BH29" s="676">
        <f t="shared" ref="BH29" si="68">BG29</f>
        <v>46356</v>
      </c>
      <c r="BI29" s="735">
        <f>AE29*AB29</f>
        <v>54000000</v>
      </c>
      <c r="BJ29" s="735"/>
      <c r="BK29" s="735">
        <f>AI29*AB29</f>
        <v>900000</v>
      </c>
      <c r="BL29" s="735">
        <f t="shared" si="63"/>
        <v>1850000</v>
      </c>
      <c r="BM29" s="735">
        <f t="shared" si="64"/>
        <v>0</v>
      </c>
      <c r="BN29" s="735">
        <f t="shared" si="65"/>
        <v>608625.92465753434</v>
      </c>
      <c r="BO29" s="735">
        <f t="shared" si="66"/>
        <v>854647.49999999988</v>
      </c>
      <c r="BP29" s="778">
        <f t="shared" si="59"/>
        <v>56750000</v>
      </c>
      <c r="BQ29" s="778">
        <f t="shared" si="60"/>
        <v>56750000</v>
      </c>
    </row>
    <row r="30" spans="1:74" ht="18" hidden="1" customHeight="1" outlineLevel="1" x14ac:dyDescent="0.35">
      <c r="A30" s="671">
        <f t="shared" si="54"/>
        <v>46334</v>
      </c>
      <c r="B30" s="551">
        <f t="shared" ref="B30" si="69">IF(ISBLANK(A30),"",A30+2)</f>
        <v>46336</v>
      </c>
      <c r="C30" s="552"/>
      <c r="D30" s="553">
        <f>IF(AL30=0,0,VLOOKUP(Y30,Control!$G$41:$J$44,4,FALSE))</f>
        <v>3</v>
      </c>
      <c r="E30" s="554">
        <f t="shared" ref="E30" si="70">AVERAGE(A30:B30)+D30</f>
        <v>46338</v>
      </c>
      <c r="F30"/>
      <c r="G30"/>
      <c r="H30"/>
      <c r="I30"/>
      <c r="J30"/>
      <c r="K30"/>
      <c r="L30"/>
      <c r="M30"/>
      <c r="N30"/>
      <c r="O30"/>
      <c r="P30"/>
      <c r="Q30"/>
      <c r="T30" s="556">
        <v>0</v>
      </c>
      <c r="U30" s="556" t="e">
        <f>INDEX(Control!$E$17:$J$21,MATCH(Y30,Control!$E$17:$E$21,0),MATCH(V30,Control!$E$17:$J$17,0))</f>
        <v>#N/A</v>
      </c>
      <c r="V30" s="556" t="s">
        <v>38</v>
      </c>
      <c r="W30" s="557">
        <v>270000</v>
      </c>
      <c r="X30" s="558">
        <f>AB30/Control!$D$84</f>
        <v>267073.15503432491</v>
      </c>
      <c r="Y30" s="559" t="s">
        <v>26</v>
      </c>
      <c r="Z30" s="573" t="s">
        <v>86</v>
      </c>
      <c r="AA30" s="556" t="str">
        <f>AA46</f>
        <v>USGC/INDIA</v>
      </c>
      <c r="AB30" s="557">
        <f>AB46</f>
        <v>2075000</v>
      </c>
      <c r="AC30" s="557">
        <v>1001</v>
      </c>
      <c r="AD30" s="560">
        <f>AD29</f>
        <v>54000000</v>
      </c>
      <c r="AE30" s="561">
        <f t="shared" ref="AE30" si="71">IF(AC30&gt;1000,IF(AD30=0,AC30,AD30)/AB30,((W30*T30*(IF(AD30=0,AC30,AD30)/100))+IF(X30&lt;W30,0,(X30-W30)*T30*IF(AD30=0,AC30,AD30)/100*U30))/AB30)</f>
        <v>26.024096385542169</v>
      </c>
      <c r="AF30" s="763">
        <v>2</v>
      </c>
      <c r="AG30" s="795">
        <f>AG46</f>
        <v>-9.5</v>
      </c>
      <c r="AH30" s="796">
        <f>INDEX(Control!$AS$36:$AY$118,MATCH(WTI!$Z30,Control!$AS$36:$AS$118,0),MATCH(WTI!AH$23,Control!$AS$36:$AY$36,0))-6</f>
        <v>19.5</v>
      </c>
      <c r="AI30" s="811">
        <f>AF30*VLOOKUP($Y30,Control!$F$75:$H$87,3,FALSE)/$AB30</f>
        <v>0.43373493975903615</v>
      </c>
      <c r="AJ30" s="787">
        <f>IF($AK$3=1,$AG30*Control!$D$77,0)</f>
        <v>0</v>
      </c>
      <c r="AK30" s="788">
        <f>IF($AK$4=1,$AH30*Control!$D$77,0)</f>
        <v>0.25420520547945208</v>
      </c>
      <c r="AL30" s="562">
        <f>IF(((AB30-VLOOKUP(Y30,Control!$J$76:$K$82,2,FALSE))/AN30)&lt;=0,0,ROUNDUP(((AB30-VLOOKUP(Y30,Control!$J$76:$K$82,2,FALSE))/Control!$D$86),0)*IF(AN30=Control!$D$86,Control!$H$91,Control!$H$90)/AB30)</f>
        <v>0.89156626506024095</v>
      </c>
      <c r="AM30" s="557">
        <f>IF(I30="Corpus Christi",Control!$D$76,0)</f>
        <v>0</v>
      </c>
      <c r="AN30" s="557">
        <f>IF(AND(Control!$D$85-ROUNDUP(((AB30-VLOOKUP(Y30,Control!$J$76:$K$82,2,FALSE))),0)&gt;0,Control!$D$85-ROUNDUP(((AB30-VLOOKUP(Y30,Control!$J$76:$K$82,2,FALSE))),0)&lt;Control!$D$86-ROUNDUP(((AB30-VLOOKUP(Y30,Control!$J$76:$K$82,2,FALSE))),0)),Control!$D$85,Control!$D$86)</f>
        <v>750000</v>
      </c>
      <c r="AO30" s="562">
        <f>Control!$D$78</f>
        <v>0</v>
      </c>
      <c r="AP30" s="562">
        <f>Control!$D$79</f>
        <v>6.7299999999999999E-2</v>
      </c>
      <c r="AQ30" s="562">
        <f>IF(INDEX(Control!$Q$3:$S$62,MATCH($Z30,Control!$Q$3:$Q$62,0),MATCH(AQ$9,Control!$Q$3:$S$3,0))=1,Control!$D$81*Control!$E$81,0)</f>
        <v>0.2</v>
      </c>
      <c r="AR30" s="562"/>
      <c r="AS30" s="562">
        <f>Control!$D$83/AB30</f>
        <v>0.14457831325301204</v>
      </c>
      <c r="AT30" s="562"/>
      <c r="AU30" s="561">
        <f t="shared" si="61"/>
        <v>1.991384723551741</v>
      </c>
      <c r="AV30" s="561">
        <f t="shared" si="48"/>
        <v>28.015481109093908</v>
      </c>
      <c r="AW30" s="561">
        <f t="shared" si="62"/>
        <v>0</v>
      </c>
      <c r="AX30" s="588">
        <f>-HLOOKUP(EOMONTH(BG30,0),$BC$3:$BH$6,3,FALSE)</f>
        <v>-5.28</v>
      </c>
      <c r="AY30" s="588"/>
      <c r="AZ30" s="565">
        <f t="shared" si="50"/>
        <v>19.135481109093906</v>
      </c>
      <c r="BB30" s="556"/>
      <c r="BC30" s="553">
        <f>BC46</f>
        <v>43</v>
      </c>
      <c r="BD30" s="551">
        <f t="shared" si="51"/>
        <v>46380</v>
      </c>
      <c r="BE30" s="551">
        <f t="shared" ref="BE30" si="72">BD30+2</f>
        <v>46382</v>
      </c>
      <c r="BF30" s="651" t="s">
        <v>157</v>
      </c>
      <c r="BG30" s="564">
        <f t="shared" si="52"/>
        <v>46356</v>
      </c>
      <c r="BH30" s="672">
        <f t="shared" si="53"/>
        <v>46356</v>
      </c>
      <c r="BI30" s="735">
        <f>AE30*AB30</f>
        <v>54000000</v>
      </c>
      <c r="BJ30" s="735"/>
      <c r="BK30" s="735">
        <f>AI30*AB30</f>
        <v>900000</v>
      </c>
      <c r="BL30" s="735">
        <f t="shared" si="63"/>
        <v>1850000</v>
      </c>
      <c r="BM30" s="735">
        <f t="shared" si="64"/>
        <v>0</v>
      </c>
      <c r="BN30" s="735">
        <f t="shared" si="65"/>
        <v>527475.8013698631</v>
      </c>
      <c r="BO30" s="735">
        <f t="shared" si="66"/>
        <v>854647.49999999942</v>
      </c>
      <c r="BP30" s="779">
        <f t="shared" si="59"/>
        <v>56750000</v>
      </c>
      <c r="BQ30" s="779">
        <f t="shared" si="60"/>
        <v>56750000</v>
      </c>
    </row>
    <row r="31" spans="1:74" ht="18" hidden="1" customHeight="1" outlineLevel="1" thickBot="1" x14ac:dyDescent="0.4">
      <c r="A31" s="677">
        <f t="shared" si="54"/>
        <v>46334</v>
      </c>
      <c r="B31" s="678">
        <f t="shared" si="55"/>
        <v>46336</v>
      </c>
      <c r="C31" s="275"/>
      <c r="D31" s="679">
        <f>IF(AL31=0,0,VLOOKUP(Y31,Control!$G$41:$J$44,4,FALSE))</f>
        <v>3</v>
      </c>
      <c r="E31" s="680">
        <f t="shared" si="44"/>
        <v>46338</v>
      </c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351">
        <v>0</v>
      </c>
      <c r="U31" s="351" t="e">
        <f>INDEX(Control!$E$17:$J$21,MATCH(Y31,Control!$E$17:$E$21,0),MATCH(V31,Control!$E$17:$J$17,0))</f>
        <v>#N/A</v>
      </c>
      <c r="V31" s="351" t="s">
        <v>38</v>
      </c>
      <c r="W31" s="344">
        <v>270000</v>
      </c>
      <c r="X31" s="352">
        <f>AB31/Control!$D$84</f>
        <v>267073.15503432491</v>
      </c>
      <c r="Y31" s="48" t="s">
        <v>26</v>
      </c>
      <c r="Z31" s="751" t="s">
        <v>43</v>
      </c>
      <c r="AA31" s="138" t="str">
        <f>AA43</f>
        <v>USGC/KOREA</v>
      </c>
      <c r="AB31" s="526">
        <f>AB37</f>
        <v>2075000</v>
      </c>
      <c r="AC31" s="526">
        <v>1001</v>
      </c>
      <c r="AD31" s="481">
        <f>AD47</f>
        <v>54650000</v>
      </c>
      <c r="AE31" s="529">
        <f t="shared" si="46"/>
        <v>26.337349397590362</v>
      </c>
      <c r="AF31" s="762">
        <v>2</v>
      </c>
      <c r="AG31" s="799">
        <f>AG47</f>
        <v>-9.5</v>
      </c>
      <c r="AH31" s="800">
        <f>INDEX(Control!$AS$36:$AY$118,MATCH(WTI!$Z31,Control!$AS$36:$AS$118,0),MATCH(WTI!AH$23,Control!$AS$36:$AY$36,0))-6</f>
        <v>24.5</v>
      </c>
      <c r="AI31" s="813">
        <f>AF31*VLOOKUP($Y31,Control!$F$75:$H$87,3,FALSE)/$AB31</f>
        <v>0.43373493975903615</v>
      </c>
      <c r="AJ31" s="791">
        <f>IF($AK$3=1,$AG31*Control!$D$77,0)</f>
        <v>0</v>
      </c>
      <c r="AK31" s="792">
        <f>IF($AK$4=1,$AH31*Control!$D$77,0)</f>
        <v>0.3193860273972603</v>
      </c>
      <c r="AL31" s="547">
        <f>IF(((AB31-VLOOKUP(Y31,Control!$J$76:$K$82,2,FALSE))/AN31)&lt;=0,0,ROUNDUP(((AB31-VLOOKUP(Y31,Control!$J$76:$K$82,2,FALSE))/Control!$D$86),0)*IF(AN31=Control!$D$86,Control!$H$91,Control!$H$90)/AB31)</f>
        <v>0.89156626506024095</v>
      </c>
      <c r="AM31" s="526">
        <f>IF(I31="Corpus Christi",Control!$D$76,0)</f>
        <v>0</v>
      </c>
      <c r="AN31" s="526">
        <f>IF(AND(Control!$D$85-ROUNDUP(((AB31-VLOOKUP(Y31,Control!$J$76:$K$82,2,FALSE))),0)&gt;0,Control!$D$85-ROUNDUP(((AB31-VLOOKUP(Y31,Control!$J$76:$K$82,2,FALSE))),0)&lt;Control!$D$86-ROUNDUP(((AB31-VLOOKUP(Y31,Control!$J$76:$K$82,2,FALSE))),0)),Control!$D$85,Control!$D$86)</f>
        <v>750000</v>
      </c>
      <c r="AO31" s="533">
        <f>Control!$D$78</f>
        <v>0</v>
      </c>
      <c r="AP31" s="562">
        <f>Control!$D$79</f>
        <v>6.7299999999999999E-2</v>
      </c>
      <c r="AQ31" s="533"/>
      <c r="AR31" s="533"/>
      <c r="AS31" s="533">
        <f>Control!$D$83/AB31</f>
        <v>0.14457831325301204</v>
      </c>
      <c r="AT31" s="533"/>
      <c r="AU31" s="529">
        <f t="shared" si="61"/>
        <v>1.8565655454695493</v>
      </c>
      <c r="AV31" s="529">
        <f t="shared" si="48"/>
        <v>28.193914943059912</v>
      </c>
      <c r="AW31" s="529">
        <f t="shared" si="62"/>
        <v>2.9</v>
      </c>
      <c r="AX31" s="754">
        <f>-HLOOKUP(EOMONTH(BG31,0),$BC$3:$BH$6,3,FALSE)</f>
        <v>-3.98</v>
      </c>
      <c r="AY31" s="529"/>
      <c r="AZ31" s="752">
        <f t="shared" si="50"/>
        <v>23.513914943059909</v>
      </c>
      <c r="BB31" s="350"/>
      <c r="BC31" s="679">
        <v>49</v>
      </c>
      <c r="BD31" s="678">
        <f t="shared" si="51"/>
        <v>46386</v>
      </c>
      <c r="BE31" s="678">
        <f t="shared" si="57"/>
        <v>46388</v>
      </c>
      <c r="BF31" s="756" t="s">
        <v>157</v>
      </c>
      <c r="BG31" s="757">
        <f t="shared" si="52"/>
        <v>46387</v>
      </c>
      <c r="BH31" s="690">
        <f t="shared" si="53"/>
        <v>46387</v>
      </c>
      <c r="BI31" s="735">
        <f>AE31*AB31</f>
        <v>54650000</v>
      </c>
      <c r="BJ31" s="735"/>
      <c r="BK31" s="735">
        <f>AI31*AB31</f>
        <v>900000</v>
      </c>
      <c r="BL31" s="735">
        <f t="shared" si="63"/>
        <v>1850000</v>
      </c>
      <c r="BM31" s="735">
        <f t="shared" si="64"/>
        <v>0</v>
      </c>
      <c r="BN31" s="735">
        <f t="shared" si="65"/>
        <v>662726.00684931513</v>
      </c>
      <c r="BO31" s="735">
        <f t="shared" si="66"/>
        <v>439647.49999999977</v>
      </c>
      <c r="BP31" s="780">
        <f t="shared" si="59"/>
        <v>57400000</v>
      </c>
      <c r="BQ31" s="780">
        <f t="shared" si="60"/>
        <v>57400000</v>
      </c>
    </row>
    <row r="32" spans="1:74" ht="18" customHeight="1" collapsed="1" thickBot="1" x14ac:dyDescent="0.5">
      <c r="A32" s="535" t="s">
        <v>159</v>
      </c>
      <c r="B32" s="530"/>
      <c r="D32" s="531"/>
      <c r="E32" s="532"/>
      <c r="F32"/>
      <c r="G32"/>
      <c r="H32"/>
      <c r="I32"/>
      <c r="J32"/>
      <c r="K32"/>
      <c r="L32"/>
      <c r="M32"/>
      <c r="N32"/>
      <c r="O32"/>
      <c r="P32"/>
      <c r="Q32"/>
      <c r="T32" s="138"/>
      <c r="U32" s="138"/>
      <c r="V32" s="138"/>
      <c r="W32" s="526"/>
      <c r="X32" s="527"/>
      <c r="Y32" s="1022" t="s">
        <v>216</v>
      </c>
      <c r="Z32" s="1023"/>
      <c r="AA32" s="1023"/>
      <c r="AB32" s="1023"/>
      <c r="AC32" s="1023"/>
      <c r="AD32" s="1023"/>
      <c r="AE32" s="1023"/>
      <c r="AF32" s="1023"/>
      <c r="AG32" s="1024"/>
      <c r="AH32" s="1024"/>
      <c r="AI32" s="1023"/>
      <c r="AJ32" s="1024"/>
      <c r="AK32" s="1024"/>
      <c r="AL32" s="1023"/>
      <c r="AM32" s="1023"/>
      <c r="AN32" s="1023"/>
      <c r="AO32" s="1023"/>
      <c r="AP32" s="1023"/>
      <c r="AQ32" s="1023"/>
      <c r="AR32" s="1023"/>
      <c r="AS32" s="1023"/>
      <c r="AT32" s="1023"/>
      <c r="AU32" s="1023"/>
      <c r="AV32" s="1023"/>
      <c r="AW32" s="1023"/>
      <c r="AX32" s="1023"/>
      <c r="AY32" s="1023"/>
      <c r="AZ32" s="1025"/>
      <c r="BB32" s="529"/>
      <c r="BC32" s="531"/>
      <c r="BD32" s="530"/>
      <c r="BE32" s="530"/>
      <c r="BF32" s="530"/>
      <c r="BG32" s="658"/>
      <c r="BH32" s="536"/>
      <c r="BI32" s="735" t="s">
        <v>203</v>
      </c>
      <c r="BJ32" s="735" t="s">
        <v>217</v>
      </c>
      <c r="BK32" s="735" t="s">
        <v>137</v>
      </c>
      <c r="BL32" s="735" t="s">
        <v>98</v>
      </c>
      <c r="BM32" s="735" t="s">
        <v>185</v>
      </c>
      <c r="BN32" s="735" t="s">
        <v>215</v>
      </c>
      <c r="BO32" s="735"/>
      <c r="BP32" s="267">
        <f t="shared" si="59"/>
        <v>0</v>
      </c>
      <c r="BQ32" s="267"/>
    </row>
    <row r="33" spans="1:73" ht="18" customHeight="1" x14ac:dyDescent="0.35">
      <c r="A33" s="661">
        <f t="shared" si="54"/>
        <v>46334</v>
      </c>
      <c r="B33" s="662">
        <f t="shared" ref="B33:B37" si="73">IF(ISBLANK(A33),"",A33+2)</f>
        <v>46336</v>
      </c>
      <c r="C33" s="270"/>
      <c r="D33" s="663">
        <v>3</v>
      </c>
      <c r="E33" s="664">
        <f>A33+2+D33</f>
        <v>46339</v>
      </c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665">
        <v>0</v>
      </c>
      <c r="U33" s="665" t="e">
        <f>INDEX(Control!$E$17:$J$21,MATCH(Y33,Control!$E$17:$E$21,0),MATCH(V33,Control!$E$17:$J$17,0))</f>
        <v>#N/A</v>
      </c>
      <c r="V33" s="665" t="s">
        <v>41</v>
      </c>
      <c r="W33" s="666">
        <v>270000</v>
      </c>
      <c r="X33" s="667">
        <f>AB33/Control!$D$84</f>
        <v>267073.15503432491</v>
      </c>
      <c r="Y33" s="566" t="s">
        <v>26</v>
      </c>
      <c r="Z33" s="138" t="s">
        <v>51</v>
      </c>
      <c r="AA33" s="566" t="str">
        <f>AA44</f>
        <v>USGC/Singapore</v>
      </c>
      <c r="AB33" s="526">
        <f>AB34</f>
        <v>2075000</v>
      </c>
      <c r="AC33" s="744">
        <v>1001</v>
      </c>
      <c r="AD33" s="745">
        <f>AD34+200000</f>
        <v>55200000</v>
      </c>
      <c r="AE33" s="529">
        <f t="shared" ref="AE33:AE37" si="74">IF(AC33&gt;1000,IF(AD33=0,AC33,AD33)/AB33,((W33*T33*(IF(AD33=0,AC33,AD33)/100))+IF(X33&lt;W33,0,(X33-W33)*T33*IF(AD33=0,AC33,AD33)/100*U33))/AB33)</f>
        <v>26.602409638554217</v>
      </c>
      <c r="AF33" s="762">
        <v>2</v>
      </c>
      <c r="AG33" s="793">
        <f>AG27</f>
        <v>-9.5</v>
      </c>
      <c r="AH33" s="794">
        <f>AH34+1</f>
        <v>33.5</v>
      </c>
      <c r="AI33" s="812">
        <f>AF33*VLOOKUP($Y33,Control!$F$75:$H$87,3,FALSE)/$AB33</f>
        <v>0.43373493975903615</v>
      </c>
      <c r="AJ33" s="785"/>
      <c r="AK33" s="786">
        <f>IF($AK$4=1,$AH33*Control!$D$77,0)</f>
        <v>0.43671150684931515</v>
      </c>
      <c r="AL33" s="748">
        <f>IF(((AB33-VLOOKUP(Y33,Control!$J$76:$K$82,2,FALSE))/AN33)&lt;=0,0,ROUNDUP(((AB33-VLOOKUP(Y33,Control!$J$76:$K$82,2,FALSE))/Control!$D$86),0)*IF(AN33=Control!$D$86,Control!$H$91,Control!$H$90)/AB33)</f>
        <v>0.89156626506024095</v>
      </c>
      <c r="AM33" s="748">
        <f>IF(I33="Corpus Christi",Control!$D$76,0)</f>
        <v>0</v>
      </c>
      <c r="AN33" s="749">
        <f>IF(AND(Control!$D$85-ROUNDUP(((AB33-VLOOKUP(Y33,Control!$J$76:$K$82,2,FALSE))),0)&gt;0,Control!$D$85-ROUNDUP(((AB33-VLOOKUP(Y33,Control!$J$76:$K$82,2,FALSE))),0)&lt;Control!$D$86-ROUNDUP(((AB33-VLOOKUP(Y33,Control!$J$76:$K$82,2,FALSE))),0)),Control!$D$85,Control!$D$86)</f>
        <v>750000</v>
      </c>
      <c r="AO33" s="748">
        <f>Control!$D$78</f>
        <v>0</v>
      </c>
      <c r="AP33" s="748">
        <v>7.0000000000000007E-2</v>
      </c>
      <c r="AQ33" s="748">
        <f>IF(INDEX(Control!$Q$3:$S$62,MATCH($Z33,Control!$Q$3:$Q$62,0),MATCH(AQ$9,Control!$Q$3:$S$3,0))=1,Control!$D$81*Control!$E$81,0)</f>
        <v>0.2</v>
      </c>
      <c r="AR33" s="748"/>
      <c r="AS33" s="748">
        <f>Control!$D$83/AB33</f>
        <v>0.14457831325301204</v>
      </c>
      <c r="AT33" s="748"/>
      <c r="AU33" s="529">
        <f>SUM(AI33:AM33,AO33:AT33)</f>
        <v>2.1765910249216045</v>
      </c>
      <c r="AV33" s="529">
        <f t="shared" ref="AV33:AV37" si="75">+R33+AE33+AU33</f>
        <v>28.77900066347582</v>
      </c>
      <c r="AW33" s="529">
        <f t="shared" ref="AW33" si="76">IF((MONTH(A33)=MONTH(BH33)),0,IF(((MONTH(BH33))-MONTH(A33))+12*YEAR(BG33)-YEAR(A33)&gt;1,SUMIFS($BD$4:$BH$4,$BD$3:$BH$3,"&lt;="&amp;EOMONTH(BG33,-1),$BD$3:$BH$3,"&gt;="&amp;EOMONTH(A33,0)),VLOOKUP("Spreads",$BC$3:$BH$4,MATCH(EOMONTH(A33,0),$BC$3:$BH$3,0))))</f>
        <v>2.9</v>
      </c>
      <c r="AX33" s="647">
        <f>+IF(BF33="Dated",-INDEX($BC$3:$BH$6,MATCH(BF33,$BC$3:$BC$6,0),MATCH(BG33,$BC$3:$BH$3,0)),INDEX($BC$3:$BH$6,MATCH(BF33,$BC$3:$BC$6,0),MATCH(BG33,$BC$3:$BH$3,0)))</f>
        <v>-0.9</v>
      </c>
      <c r="AY33" s="846">
        <f t="shared" ref="AY33" si="77">1/INDEX($BC$3:$BH$7,MATCH("CMA",$BC$3:$BC$7,0),MATCH(BG33,$BC$3:$BH$3,0))*INDEX($BC$3:$BH$7,MATCH("Spreads",$BC$3:$BC$7,0),MATCH(BG33,$BC$3:$BH$3,0))</f>
        <v>9.7826086956521729E-2</v>
      </c>
      <c r="AZ33" s="750">
        <f>$Y$3+AV33+AW33+AX33+AY33</f>
        <v>27.276826750432342</v>
      </c>
      <c r="BB33" s="329"/>
      <c r="BC33" s="663">
        <f>BC34+1</f>
        <v>53</v>
      </c>
      <c r="BD33" s="662">
        <f>IF(ISBLANK(A33),"",E33+$BC33)</f>
        <v>46392</v>
      </c>
      <c r="BE33" s="662">
        <f t="shared" ref="BE33:BE37" si="78">BD33+2</f>
        <v>46394</v>
      </c>
      <c r="BF33" s="662" t="str">
        <f t="shared" si="58"/>
        <v>Dubai</v>
      </c>
      <c r="BG33" s="669">
        <f t="shared" ref="BG33:BG37" si="79">IF($BC$8=0,IF(BF33="ICE Brent",EOMONTH(BE33,2),EOMONTH(BE33,0)),IF(BF33="ICE Brent",EOMONTH(BE33,1),EOMONTH(BE33,-1)))</f>
        <v>46387</v>
      </c>
      <c r="BH33" s="670">
        <f t="shared" ref="BH33:BH37" si="80">IF($BC$8=1,EOMONTH(BE33,-1),EOMONTH(BE33,0))</f>
        <v>46387</v>
      </c>
      <c r="BI33" s="735">
        <f>(AE33*AB33)/1000</f>
        <v>55200</v>
      </c>
      <c r="BJ33" s="735">
        <v>0</v>
      </c>
      <c r="BK33" s="735">
        <f>AI33*AB33/1000</f>
        <v>900</v>
      </c>
      <c r="BL33" s="735">
        <f>AL33*AB33/1000</f>
        <v>1850</v>
      </c>
      <c r="BM33" s="735">
        <f>(AJ33+AK33)*AB33/1000</f>
        <v>906.17637671232887</v>
      </c>
      <c r="BN33" s="735">
        <f>(AU33-AI33-AJ33-AK33-AL33)*AB33/1000</f>
        <v>860.25000000000011</v>
      </c>
      <c r="BO33"/>
      <c r="BP33"/>
      <c r="BQ33"/>
      <c r="BR33"/>
    </row>
    <row r="34" spans="1:73" ht="18" customHeight="1" x14ac:dyDescent="0.35">
      <c r="A34" s="671">
        <f t="shared" si="54"/>
        <v>46334</v>
      </c>
      <c r="B34" s="551">
        <f t="shared" si="73"/>
        <v>46336</v>
      </c>
      <c r="C34" s="552"/>
      <c r="D34" s="553">
        <v>3</v>
      </c>
      <c r="E34" s="554">
        <f t="shared" ref="E34:E37" si="81">A34+2+D34</f>
        <v>46339</v>
      </c>
      <c r="F34"/>
      <c r="G34"/>
      <c r="H34"/>
      <c r="I34"/>
      <c r="J34"/>
      <c r="K34"/>
      <c r="L34"/>
      <c r="M34"/>
      <c r="N34"/>
      <c r="O34"/>
      <c r="P34"/>
      <c r="Q34"/>
      <c r="T34" s="556">
        <v>0</v>
      </c>
      <c r="U34" s="556" t="e">
        <f>INDEX(Control!$E$17:$J$21,MATCH(Y34,Control!$E$17:$E$21,0),MATCH(V34,Control!$E$17:$J$17,0))</f>
        <v>#N/A</v>
      </c>
      <c r="V34" s="556" t="s">
        <v>41</v>
      </c>
      <c r="W34" s="557">
        <v>270000</v>
      </c>
      <c r="X34" s="558">
        <f>AB34/Control!$D$84</f>
        <v>267073.15503432491</v>
      </c>
      <c r="Y34" s="559" t="s">
        <v>27</v>
      </c>
      <c r="Z34" s="572" t="s">
        <v>106</v>
      </c>
      <c r="AA34" s="556" t="str">
        <f>AA47</f>
        <v>USGC/KOREA</v>
      </c>
      <c r="AB34" s="304">
        <v>2075000</v>
      </c>
      <c r="AC34" s="557">
        <v>1001</v>
      </c>
      <c r="AD34" s="734">
        <f>AD43</f>
        <v>55000000</v>
      </c>
      <c r="AE34" s="561">
        <f t="shared" si="74"/>
        <v>26.506024096385541</v>
      </c>
      <c r="AF34" s="763">
        <v>2</v>
      </c>
      <c r="AG34" s="795">
        <f>AG28</f>
        <v>-9.5</v>
      </c>
      <c r="AH34" s="796">
        <f>INDEX(Control!$AS$36:$AY$118,MATCH(WTI!$Z34,Control!$AS$36:$AS$118,0),MATCH(WTI!AH$23,Control!$AS$36:$AY$36,0))-6</f>
        <v>32.5</v>
      </c>
      <c r="AI34" s="811">
        <f>AF34*VLOOKUP($Y34,Control!$F$75:$H$87,3,FALSE)/$AB34</f>
        <v>0.43373493975903615</v>
      </c>
      <c r="AJ34" s="787">
        <f>IF($AK$3=1,$AG34*Control!$D$77,0)</f>
        <v>0</v>
      </c>
      <c r="AK34" s="788">
        <f>IF($AK$4=1,$AH34*Control!$D$77,0)</f>
        <v>0.4236753424657535</v>
      </c>
      <c r="AL34" s="562">
        <f>IF(((AB34-VLOOKUP(Y34,Control!$J$76:$K$82,2,FALSE))/AN34)&lt;=0,0,ROUNDUP(((AB34-VLOOKUP(Y34,Control!$J$76:$K$82,2,FALSE))/Control!$D$86),0)*IF(AN34=Control!$D$86,Control!$H$91,Control!$H$90)/AB34)</f>
        <v>0.89156626506024095</v>
      </c>
      <c r="AM34" s="562">
        <f>IF(I34="Corpus Christi",Control!$D$76,0)</f>
        <v>0</v>
      </c>
      <c r="AN34" s="584">
        <f>IF(AND(Control!$D$85-ROUNDUP(((AB34-VLOOKUP(Y34,Control!$J$76:$K$82,2,FALSE))),0)&gt;0,Control!$D$85-ROUNDUP(((AB34-VLOOKUP(Y34,Control!$J$76:$K$82,2,FALSE))),0)&lt;Control!$D$86-ROUNDUP(((AB34-VLOOKUP(Y34,Control!$J$76:$K$82,2,FALSE))),0)),Control!$D$85,Control!$D$86)</f>
        <v>750000</v>
      </c>
      <c r="AO34" s="562">
        <f>Control!$D$78</f>
        <v>0</v>
      </c>
      <c r="AP34" s="562">
        <v>7.0000000000000007E-2</v>
      </c>
      <c r="AQ34" s="562">
        <v>0.09</v>
      </c>
      <c r="AR34" s="562"/>
      <c r="AS34" s="562">
        <f>Control!$D$83/AB34</f>
        <v>0.14457831325301204</v>
      </c>
      <c r="AT34" s="562"/>
      <c r="AU34" s="561">
        <f t="shared" ref="AU34:AU37" si="82">SUM(AI34:AM34,AO34:AT34)</f>
        <v>2.0535548605380427</v>
      </c>
      <c r="AV34" s="561">
        <f t="shared" si="75"/>
        <v>28.559578956923584</v>
      </c>
      <c r="AW34" s="561">
        <f t="shared" ref="AW34:AW36" si="83">IF((MONTH(A34)=MONTH(BH34)),0,IF(((MONTH(BH34))-MONTH(A34))+12*YEAR(BG34)-YEAR(A34)&gt;1,SUMIFS($BD$4:$BH$4,$BD$3:$BH$3,"&lt;="&amp;EOMONTH(BG34,-1),$BD$3:$BH$3,"&gt;="&amp;EOMONTH(A34,0)),VLOOKUP("Spreads",$BC$3:$BH$4,MATCH(EOMONTH(A34,0),$BC$3:$BH$3,0))))</f>
        <v>2.9</v>
      </c>
      <c r="AX34" s="588">
        <f>+IF(BF34="Dated",-INDEX($BC$3:$BH$6,MATCH(BF34,$BC$3:$BC$6,0),MATCH(BG34,$BC$3:$BH$3,0)),INDEX($BC$3:$BH$6,MATCH(BF34,$BC$3:$BC$6,0),MATCH(BG34,$BC$3:$BH$3,0)))</f>
        <v>-0.9</v>
      </c>
      <c r="AY34" s="588">
        <f>1/INDEX($BC$3:$BH$7,MATCH("CMA",$BC$3:$BC$7,0),MATCH(BG34,$BC$3:$BH$3,0))*INDEX($BC$3:$BH$7,MATCH("Spreads",$BC$3:$BC$7,0),MATCH(BG34,$BC$3:$BH$3,0))</f>
        <v>9.7826086956521729E-2</v>
      </c>
      <c r="AZ34" s="563">
        <f>$Y$3+AV34+AW34+AX34+AY34</f>
        <v>27.057405043880106</v>
      </c>
      <c r="BB34" s="556"/>
      <c r="BC34" s="553">
        <f>BC43</f>
        <v>52</v>
      </c>
      <c r="BD34" s="551">
        <f t="shared" ref="BD34:BD37" si="84">IF(ISBLANK(A34),"",$BC34+E34)</f>
        <v>46391</v>
      </c>
      <c r="BE34" s="551">
        <f t="shared" si="78"/>
        <v>46393</v>
      </c>
      <c r="BF34" s="649" t="s">
        <v>156</v>
      </c>
      <c r="BG34" s="988">
        <f t="shared" si="79"/>
        <v>46387</v>
      </c>
      <c r="BH34" s="672">
        <f t="shared" si="80"/>
        <v>46387</v>
      </c>
      <c r="BI34" s="735">
        <f t="shared" ref="BI34:BI37" si="85">(AE34*AB34)/1000</f>
        <v>55000</v>
      </c>
      <c r="BJ34" s="735">
        <v>0</v>
      </c>
      <c r="BK34" s="735">
        <f t="shared" ref="BK34:BK37" si="86">AI34*AB34/1000</f>
        <v>900</v>
      </c>
      <c r="BL34" s="735">
        <f t="shared" ref="BL34:BL37" si="87">AL34*AB34/1000</f>
        <v>1850</v>
      </c>
      <c r="BM34" s="735">
        <f t="shared" ref="BM34:BM37" si="88">(AJ34+AK34)*AB34/1000</f>
        <v>879.1263356164385</v>
      </c>
      <c r="BN34" s="735">
        <f t="shared" ref="BN34:BN37" si="89">(AU34-AI34-AJ34-AK34-AL34)*AB34/1000</f>
        <v>631.99999999999989</v>
      </c>
      <c r="BO34"/>
      <c r="BP34"/>
      <c r="BQ34"/>
      <c r="BR34"/>
    </row>
    <row r="35" spans="1:73" ht="18" customHeight="1" x14ac:dyDescent="0.35">
      <c r="A35" s="673">
        <f t="shared" si="54"/>
        <v>46334</v>
      </c>
      <c r="B35" s="530">
        <f t="shared" si="73"/>
        <v>46336</v>
      </c>
      <c r="D35" s="531">
        <f>D29</f>
        <v>3</v>
      </c>
      <c r="E35" s="532">
        <f t="shared" si="81"/>
        <v>46339</v>
      </c>
      <c r="F35"/>
      <c r="G35"/>
      <c r="H35"/>
      <c r="I35"/>
      <c r="J35"/>
      <c r="K35"/>
      <c r="L35"/>
      <c r="M35"/>
      <c r="N35"/>
      <c r="O35"/>
      <c r="P35"/>
      <c r="Q35"/>
      <c r="T35" s="138">
        <v>0</v>
      </c>
      <c r="U35" s="138" t="e">
        <f>INDEX(Control!$E$17:$J$21,MATCH(Y35,Control!$E$17:$E$21,0),MATCH(V35,Control!$E$17:$J$17,0))</f>
        <v>#N/A</v>
      </c>
      <c r="V35" s="138" t="s">
        <v>41</v>
      </c>
      <c r="W35" s="526">
        <v>270000</v>
      </c>
      <c r="X35" s="527">
        <f>AB35/Control!$D$84</f>
        <v>267073.15503432491</v>
      </c>
      <c r="Y35" s="48" t="s">
        <v>27</v>
      </c>
      <c r="Z35" s="674" t="s">
        <v>114</v>
      </c>
      <c r="AA35" s="138" t="str">
        <f>AA42</f>
        <v>USGC/KOREA</v>
      </c>
      <c r="AB35" s="526">
        <f>AB34</f>
        <v>2075000</v>
      </c>
      <c r="AC35" s="526">
        <v>1001</v>
      </c>
      <c r="AD35" s="481">
        <f>AD44</f>
        <v>54000000</v>
      </c>
      <c r="AE35" s="529">
        <f t="shared" si="74"/>
        <v>26.024096385542169</v>
      </c>
      <c r="AF35" s="762">
        <v>2</v>
      </c>
      <c r="AG35" s="801">
        <f>AG29</f>
        <v>-9.5</v>
      </c>
      <c r="AH35" s="802">
        <f>INDEX(Control!$AS$36:$AY$118,MATCH(WTI!$Z35,Control!$AS$36:$AS$118,0),MATCH(WTI!AH$23,Control!$AS$36:$AY$36,0))-6</f>
        <v>22.5</v>
      </c>
      <c r="AI35" s="812">
        <f>AF35*VLOOKUP($Y35,Control!$F$75:$H$87,3,FALSE)/$AB35</f>
        <v>0.43373493975903615</v>
      </c>
      <c r="AJ35" s="803">
        <f>IF($AK$3=1,$AG35*Control!$D$77,0)</f>
        <v>0</v>
      </c>
      <c r="AK35" s="790">
        <f>IF($AK$4=1,$AH35*Control!$D$77,0)</f>
        <v>0.29331369863013701</v>
      </c>
      <c r="AL35" s="533">
        <f>IF(((AB35-VLOOKUP(Y35,Control!$J$76:$K$82,2,FALSE))/AN35)&lt;=0,0,ROUNDUP(((AB35-VLOOKUP(Y35,Control!$J$76:$K$82,2,FALSE))/Control!$D$86),0)*IF(AN35=Control!$D$86,Control!$H$91,Control!$H$90)/AB35)</f>
        <v>0.89156626506024095</v>
      </c>
      <c r="AM35" s="533">
        <f>IF(I35="Corpus Christi",Control!$D$76,0)</f>
        <v>0</v>
      </c>
      <c r="AN35" s="585">
        <f>IF(AND(Control!$D$85-ROUNDUP(((AB35-VLOOKUP(Y35,Control!$J$76:$K$82,2,FALSE))),0)&gt;0,Control!$D$85-ROUNDUP(((AB35-VLOOKUP(Y35,Control!$J$76:$K$82,2,FALSE))),0)&lt;Control!$D$86-ROUNDUP(((AB35-VLOOKUP(Y35,Control!$J$76:$K$82,2,FALSE))),0)),Control!$D$85,Control!$D$86)</f>
        <v>750000</v>
      </c>
      <c r="AO35" s="533">
        <f>Control!$D$78</f>
        <v>0</v>
      </c>
      <c r="AP35" s="533">
        <f>Control!$D$79</f>
        <v>6.7299999999999999E-2</v>
      </c>
      <c r="AQ35" s="533">
        <f>IF(INDEX(Control!$Q$3:$S$62,MATCH($Z35,Control!$Q$3:$Q$62,0),MATCH(AQ$9,Control!$Q$3:$S$3,0))=1,Control!$D$81*Control!$E$81,0)</f>
        <v>0.2</v>
      </c>
      <c r="AR35" s="533"/>
      <c r="AS35" s="533">
        <f>Control!$D$83/AB35</f>
        <v>0.14457831325301204</v>
      </c>
      <c r="AT35" s="533"/>
      <c r="AU35" s="529">
        <f t="shared" si="82"/>
        <v>2.0304932167024261</v>
      </c>
      <c r="AV35" s="529">
        <f t="shared" si="75"/>
        <v>28.054589602244594</v>
      </c>
      <c r="AW35" s="529">
        <f t="shared" si="83"/>
        <v>0</v>
      </c>
      <c r="AX35" s="647">
        <f>+IF(BF35="Dated",-INDEX($BC$3:$BH$6,MATCH(BF35,$BC$3:$BC$6,0),MATCH(BG35,$BC$3:$BH$3,0)),INDEX($BC$3:$BH$6,MATCH(BF35,$BC$3:$BC$6,0),MATCH(BG35,$BC$3:$BH$3,0)))</f>
        <v>-5.28</v>
      </c>
      <c r="AY35" s="846">
        <f t="shared" ref="AY35:AY37" si="90">1/INDEX($BC$3:$BH$7,MATCH("CMA",$BC$3:$BC$7,0),MATCH(BG35,$BC$3:$BH$3,0))*INDEX($BC$3:$BH$7,MATCH("Spreads",$BC$3:$BC$7,0),MATCH(BG35,$BC$3:$BH$3,0))</f>
        <v>0.13181818181818181</v>
      </c>
      <c r="AZ35" s="534">
        <f t="shared" ref="AZ35:AZ37" si="91">$Y$3+AV35+AW35+AX35+AY35</f>
        <v>19.306407784062774</v>
      </c>
      <c r="BC35" s="531">
        <f>BC44</f>
        <v>44</v>
      </c>
      <c r="BD35" s="530">
        <f t="shared" si="84"/>
        <v>46383</v>
      </c>
      <c r="BE35" s="530">
        <f t="shared" si="78"/>
        <v>46385</v>
      </c>
      <c r="BF35" s="650" t="s">
        <v>157</v>
      </c>
      <c r="BG35" s="658">
        <f>IF($BH$8=0,IF(BF35="ICE Brent",EOMONTH(BE35,2),EOMONTH(BE35,0)),IF(BF35="ICE Brent",EOMONTH(BE35,1),EOMONTH(BE35,-1)))</f>
        <v>46356</v>
      </c>
      <c r="BH35" s="989">
        <f>BG35</f>
        <v>46356</v>
      </c>
      <c r="BI35" s="735">
        <f t="shared" si="85"/>
        <v>54000</v>
      </c>
      <c r="BJ35" s="735">
        <v>0</v>
      </c>
      <c r="BK35" s="735">
        <f t="shared" si="86"/>
        <v>900</v>
      </c>
      <c r="BL35" s="735">
        <f t="shared" si="87"/>
        <v>1850</v>
      </c>
      <c r="BM35" s="735">
        <f t="shared" si="88"/>
        <v>608.62592465753437</v>
      </c>
      <c r="BN35" s="735">
        <f t="shared" si="89"/>
        <v>854.64749999999981</v>
      </c>
      <c r="BO35"/>
      <c r="BP35"/>
      <c r="BQ35"/>
      <c r="BR35"/>
    </row>
    <row r="36" spans="1:73" ht="18" customHeight="1" x14ac:dyDescent="0.35">
      <c r="A36" s="671">
        <f t="shared" si="54"/>
        <v>46334</v>
      </c>
      <c r="B36" s="551">
        <f t="shared" si="73"/>
        <v>46336</v>
      </c>
      <c r="C36" s="552"/>
      <c r="D36" s="553">
        <f>D30</f>
        <v>3</v>
      </c>
      <c r="E36" s="554">
        <f t="shared" si="81"/>
        <v>46339</v>
      </c>
      <c r="F36"/>
      <c r="G36"/>
      <c r="H36"/>
      <c r="I36"/>
      <c r="J36"/>
      <c r="K36"/>
      <c r="L36"/>
      <c r="M36"/>
      <c r="N36"/>
      <c r="O36"/>
      <c r="P36"/>
      <c r="Q36"/>
      <c r="T36" s="556">
        <v>0</v>
      </c>
      <c r="U36" s="556" t="e">
        <f>INDEX(Control!$E$17:$J$21,MATCH(Y36,Control!$E$17:$E$21,0),MATCH(V36,Control!$E$17:$J$17,0))</f>
        <v>#N/A</v>
      </c>
      <c r="V36" s="556" t="s">
        <v>41</v>
      </c>
      <c r="W36" s="557">
        <v>270000</v>
      </c>
      <c r="X36" s="558">
        <f>AB36/Control!$D$84</f>
        <v>267073.15503432491</v>
      </c>
      <c r="Y36" s="559" t="s">
        <v>27</v>
      </c>
      <c r="Z36" s="573" t="s">
        <v>86</v>
      </c>
      <c r="AA36" s="556" t="str">
        <f>AA46</f>
        <v>USGC/INDIA</v>
      </c>
      <c r="AB36" s="557">
        <f>AB34</f>
        <v>2075000</v>
      </c>
      <c r="AC36" s="557">
        <v>1001</v>
      </c>
      <c r="AD36" s="560">
        <f>AD46</f>
        <v>54000000</v>
      </c>
      <c r="AE36" s="561">
        <f t="shared" si="74"/>
        <v>26.024096385542169</v>
      </c>
      <c r="AF36" s="763">
        <v>2</v>
      </c>
      <c r="AG36" s="795">
        <f>AG30</f>
        <v>-9.5</v>
      </c>
      <c r="AH36" s="796">
        <f>INDEX(Control!$AS$36:$AY$118,MATCH(WTI!$Z36,Control!$AS$36:$AS$118,0),MATCH(WTI!AH$23,Control!$AS$36:$AY$36,0))-6</f>
        <v>19.5</v>
      </c>
      <c r="AI36" s="811">
        <f>AF36*VLOOKUP($Y36,Control!$F$75:$H$87,3,FALSE)/$AB36</f>
        <v>0.43373493975903615</v>
      </c>
      <c r="AJ36" s="787">
        <f>IF($AK$3=1,$AG36*Control!$D$77,0)</f>
        <v>0</v>
      </c>
      <c r="AK36" s="788">
        <f>IF($AK$4=1,$AH36*Control!$D$77,0)</f>
        <v>0.25420520547945208</v>
      </c>
      <c r="AL36" s="562">
        <f>IF(((AB36-VLOOKUP(Y36,Control!$J$76:$K$82,2,FALSE))/AN36)&lt;=0,0,ROUNDUP(((AB36-VLOOKUP(Y36,Control!$J$76:$K$82,2,FALSE))/Control!$D$86),0)*IF(AN36=Control!$D$86,Control!$H$91,Control!$H$90)/AB36)</f>
        <v>0.89156626506024095</v>
      </c>
      <c r="AM36" s="562">
        <f>IF(I36="Corpus Christi",Control!$D$76,0)</f>
        <v>0</v>
      </c>
      <c r="AN36" s="584">
        <f>IF(AND(Control!$D$85-ROUNDUP(((AB36-VLOOKUP(Y36,Control!$J$76:$K$82,2,FALSE))),0)&gt;0,Control!$D$85-ROUNDUP(((AB36-VLOOKUP(Y36,Control!$J$76:$K$82,2,FALSE))),0)&lt;Control!$D$86-ROUNDUP(((AB36-VLOOKUP(Y36,Control!$J$76:$K$82,2,FALSE))),0)),Control!$D$85,Control!$D$86)</f>
        <v>750000</v>
      </c>
      <c r="AO36" s="562">
        <f>Control!$D$78</f>
        <v>0</v>
      </c>
      <c r="AP36" s="562">
        <f>Control!$D$79</f>
        <v>6.7299999999999999E-2</v>
      </c>
      <c r="AQ36" s="562">
        <f>IF(INDEX(Control!$Q$3:$S$62,MATCH($Z36,Control!$Q$3:$Q$62,0),MATCH(AQ$9,Control!$Q$3:$S$3,0))=1,Control!$D$81*Control!$E$81,0)</f>
        <v>0.2</v>
      </c>
      <c r="AR36" s="562"/>
      <c r="AS36" s="562">
        <f>Control!$D$83/AB36</f>
        <v>0.14457831325301204</v>
      </c>
      <c r="AT36" s="562"/>
      <c r="AU36" s="561">
        <f t="shared" si="82"/>
        <v>1.991384723551741</v>
      </c>
      <c r="AV36" s="561">
        <f t="shared" si="75"/>
        <v>28.015481109093908</v>
      </c>
      <c r="AW36" s="561">
        <f t="shared" si="83"/>
        <v>0</v>
      </c>
      <c r="AX36" s="652">
        <f>+IF(BF36="Dated",-INDEX($BC$3:$BH$6,MATCH(BF36,$BC$3:$BC$6,0),MATCH(BG36,$BC$3:$BH$3,0)),INDEX($BC$3:$BH$6,MATCH(BF36,$BC$3:$BC$6,0),MATCH(BG36,$BC$3:$BH$3,0)))</f>
        <v>-5.28</v>
      </c>
      <c r="AY36" s="845">
        <f t="shared" si="90"/>
        <v>0.13181818181818181</v>
      </c>
      <c r="AZ36" s="565">
        <f t="shared" si="91"/>
        <v>19.267299290912089</v>
      </c>
      <c r="BB36" s="556"/>
      <c r="BC36" s="553">
        <f>BC46</f>
        <v>43</v>
      </c>
      <c r="BD36" s="551">
        <f t="shared" si="84"/>
        <v>46382</v>
      </c>
      <c r="BE36" s="551">
        <f t="shared" si="78"/>
        <v>46384</v>
      </c>
      <c r="BF36" s="505" t="s">
        <v>157</v>
      </c>
      <c r="BG36" s="564">
        <f t="shared" si="79"/>
        <v>46356</v>
      </c>
      <c r="BH36" s="672">
        <f t="shared" si="80"/>
        <v>46356</v>
      </c>
      <c r="BI36" s="735">
        <f t="shared" si="85"/>
        <v>54000</v>
      </c>
      <c r="BJ36" s="735">
        <v>0</v>
      </c>
      <c r="BK36" s="735">
        <f t="shared" si="86"/>
        <v>900</v>
      </c>
      <c r="BL36" s="735">
        <f t="shared" si="87"/>
        <v>1850</v>
      </c>
      <c r="BM36" s="735">
        <f t="shared" si="88"/>
        <v>527.47580136986312</v>
      </c>
      <c r="BN36" s="735">
        <f t="shared" si="89"/>
        <v>854.64749999999935</v>
      </c>
      <c r="BO36"/>
      <c r="BP36"/>
      <c r="BQ36"/>
      <c r="BR36"/>
    </row>
    <row r="37" spans="1:73" ht="18" customHeight="1" thickBot="1" x14ac:dyDescent="0.4">
      <c r="A37" s="691">
        <f t="shared" si="54"/>
        <v>46334</v>
      </c>
      <c r="B37" s="537">
        <f t="shared" si="73"/>
        <v>46336</v>
      </c>
      <c r="C37" s="538"/>
      <c r="D37" s="539">
        <f>D31</f>
        <v>3</v>
      </c>
      <c r="E37" s="540">
        <f t="shared" si="81"/>
        <v>46339</v>
      </c>
      <c r="F37"/>
      <c r="G37"/>
      <c r="H37"/>
      <c r="I37"/>
      <c r="J37"/>
      <c r="K37"/>
      <c r="L37"/>
      <c r="M37"/>
      <c r="N37"/>
      <c r="O37"/>
      <c r="P37"/>
      <c r="Q37"/>
      <c r="T37" s="542">
        <v>0</v>
      </c>
      <c r="U37" s="542" t="e">
        <f>INDEX(Control!$E$17:$J$21,MATCH(Y37,Control!$E$17:$E$21,0),MATCH(V37,Control!$E$17:$J$17,0))</f>
        <v>#N/A</v>
      </c>
      <c r="V37" s="542" t="s">
        <v>41</v>
      </c>
      <c r="W37" s="543">
        <v>270000</v>
      </c>
      <c r="X37" s="544">
        <f>AB37/Control!$D$84</f>
        <v>267073.15503432491</v>
      </c>
      <c r="Y37" s="545" t="s">
        <v>27</v>
      </c>
      <c r="Z37" s="574" t="s">
        <v>43</v>
      </c>
      <c r="AA37" s="542" t="str">
        <f>AA47</f>
        <v>USGC/KOREA</v>
      </c>
      <c r="AB37" s="543">
        <f>AB34</f>
        <v>2075000</v>
      </c>
      <c r="AC37" s="543">
        <v>1001</v>
      </c>
      <c r="AD37" s="550">
        <f>AD34-350000</f>
        <v>54650000</v>
      </c>
      <c r="AE37" s="546">
        <f t="shared" si="74"/>
        <v>26.337349397590362</v>
      </c>
      <c r="AF37" s="764">
        <v>2</v>
      </c>
      <c r="AG37" s="799">
        <f>AG31</f>
        <v>-9.5</v>
      </c>
      <c r="AH37" s="800">
        <f>INDEX(Control!$AS$36:$AY$118,MATCH(WTI!$Z37,Control!$AS$36:$AS$118,0),MATCH(WTI!AH$23,Control!$AS$36:$AY$36,0))-6</f>
        <v>24.5</v>
      </c>
      <c r="AI37" s="813">
        <f>AF37*VLOOKUP($Y37,Control!$F$75:$H$87,3,FALSE)/$AB37</f>
        <v>0.43373493975903615</v>
      </c>
      <c r="AJ37" s="791">
        <f>IF($AK$3=1,$AG37*Control!$D$77,0)</f>
        <v>0</v>
      </c>
      <c r="AK37" s="792">
        <f>IF($AK$4=1,$AH37*Control!$D$77,0)</f>
        <v>0.3193860273972603</v>
      </c>
      <c r="AL37" s="547">
        <f>IF(((AB37-VLOOKUP(Y37,Control!$J$76:$K$82,2,FALSE))/AN37)&lt;=0,0,ROUNDUP(((AB37-VLOOKUP(Y37,Control!$J$76:$K$82,2,FALSE))/Control!$D$86),0)*IF(AN37=Control!$D$86,Control!$H$91,Control!$H$90)/AB37)</f>
        <v>0.89156626506024095</v>
      </c>
      <c r="AM37" s="547">
        <f>IF(I37="Corpus Christi",Control!$D$76,0)</f>
        <v>0</v>
      </c>
      <c r="AN37" s="586">
        <f>IF(AND(Control!$D$85-ROUNDUP(((AB37-VLOOKUP(Y37,Control!$J$76:$K$82,2,FALSE))),0)&gt;0,Control!$D$85-ROUNDUP(((AB37-VLOOKUP(Y37,Control!$J$76:$K$82,2,FALSE))),0)&lt;Control!$D$86-ROUNDUP(((AB37-VLOOKUP(Y37,Control!$J$76:$K$82,2,FALSE))),0)),Control!$D$85,Control!$D$86)</f>
        <v>750000</v>
      </c>
      <c r="AO37" s="547">
        <f>Control!$D$78</f>
        <v>0</v>
      </c>
      <c r="AP37" s="547">
        <f>Control!$D$79</f>
        <v>6.7299999999999999E-2</v>
      </c>
      <c r="AQ37" s="547"/>
      <c r="AR37" s="547"/>
      <c r="AS37" s="547">
        <f>Control!$D$83/AB37</f>
        <v>0.14457831325301204</v>
      </c>
      <c r="AT37" s="547"/>
      <c r="AU37" s="546">
        <f t="shared" si="82"/>
        <v>1.8565655454695493</v>
      </c>
      <c r="AV37" s="546">
        <f t="shared" si="75"/>
        <v>28.193914943059912</v>
      </c>
      <c r="AW37" s="546">
        <f t="shared" ref="AW37" si="92">IF((MONTH(A37)=MONTH(BH37)),0,IF(((MONTH(BH37))-MONTH(A37))+12*YEAR(BG37)-YEAR(A37)&gt;1,SUMIFS($BD$4:$BH$4,$BD$3:$BH$3,"&lt;="&amp;EOMONTH(BG37,-1),$BD$3:$BH$3,"&gt;="&amp;EOMONTH(A37,0)),VLOOKUP("Spreads",$BC$3:$BH$4,MATCH(EOMONTH(A37,0),$BC$3:$BH$3,0))))</f>
        <v>2.9</v>
      </c>
      <c r="AX37" s="546">
        <f>+IF(BF37="Dated",-INDEX($BC$3:$BH$6,MATCH(BF37,$BC$3:$BC$6,0),MATCH(BG37,$BC$3:$BH$3,0)),INDEX($BC$3:$BH$6,MATCH(BF37,$BC$3:$BC$6,0),MATCH(BG37,$BC$3:$BH$3,0)))</f>
        <v>-3.98</v>
      </c>
      <c r="AY37" s="529">
        <f t="shared" si="90"/>
        <v>9.7826086956521729E-2</v>
      </c>
      <c r="AZ37" s="528">
        <f t="shared" si="91"/>
        <v>23.611741030016432</v>
      </c>
      <c r="BB37" s="541"/>
      <c r="BC37" s="539">
        <f>BC47</f>
        <v>48</v>
      </c>
      <c r="BD37" s="537">
        <f t="shared" si="84"/>
        <v>46387</v>
      </c>
      <c r="BE37" s="537">
        <f t="shared" si="78"/>
        <v>46389</v>
      </c>
      <c r="BF37" s="755" t="s">
        <v>157</v>
      </c>
      <c r="BG37" s="548">
        <f t="shared" si="79"/>
        <v>46387</v>
      </c>
      <c r="BH37" s="692">
        <f t="shared" si="80"/>
        <v>46387</v>
      </c>
      <c r="BI37" s="735">
        <f t="shared" si="85"/>
        <v>54650</v>
      </c>
      <c r="BJ37" s="735">
        <v>0</v>
      </c>
      <c r="BK37" s="735">
        <f t="shared" si="86"/>
        <v>900</v>
      </c>
      <c r="BL37" s="735">
        <f t="shared" si="87"/>
        <v>1850</v>
      </c>
      <c r="BM37" s="735">
        <f t="shared" si="88"/>
        <v>662.72600684931513</v>
      </c>
      <c r="BN37" s="735">
        <f t="shared" si="89"/>
        <v>439.64749999999987</v>
      </c>
      <c r="BO37"/>
      <c r="BP37"/>
      <c r="BQ37"/>
      <c r="BR37"/>
      <c r="BU37" s="3"/>
    </row>
    <row r="38" spans="1:73" ht="18" hidden="1" customHeight="1" thickBot="1" x14ac:dyDescent="0.4">
      <c r="A38" s="677">
        <f t="shared" si="54"/>
        <v>46334</v>
      </c>
      <c r="B38" s="678">
        <f t="shared" ref="B38" si="93">IF(ISBLANK(A38),"",A38+2)</f>
        <v>46336</v>
      </c>
      <c r="C38" s="275"/>
      <c r="D38" s="679">
        <f t="shared" ref="D38" si="94">D33</f>
        <v>3</v>
      </c>
      <c r="E38" s="680">
        <f t="shared" ref="E38" si="95">AVERAGE(A38:B38)+D38</f>
        <v>46338</v>
      </c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351">
        <v>0</v>
      </c>
      <c r="U38" s="351" t="e">
        <f>INDEX(Control!$E$17:$J$21,MATCH(Y38,Control!$E$17:$E$21,0),MATCH(V38,Control!$E$17:$J$17,0))</f>
        <v>#N/A</v>
      </c>
      <c r="V38" s="351" t="s">
        <v>41</v>
      </c>
      <c r="W38" s="344">
        <v>270000</v>
      </c>
      <c r="X38" s="352">
        <f>AB38/Control!$D$84</f>
        <v>267073.15503432491</v>
      </c>
      <c r="Y38" s="681" t="s">
        <v>27</v>
      </c>
      <c r="Z38" s="682" t="s">
        <v>43</v>
      </c>
      <c r="AA38" s="351">
        <f>AA48</f>
        <v>0</v>
      </c>
      <c r="AB38" s="344">
        <f>AB35</f>
        <v>2075000</v>
      </c>
      <c r="AC38" s="344">
        <v>1001</v>
      </c>
      <c r="AD38" s="683">
        <f t="shared" ref="AD38" si="96">AD33</f>
        <v>55200000</v>
      </c>
      <c r="AE38" s="684">
        <f t="shared" ref="AE38" si="97">IF(AC38&gt;1000,IF(AD38=0,AC38,AD38)/AB38,((W38*T38*(IF(AD38=0,AC38,AD38)/100))+IF(X38&lt;W38,0,(X38-W38)*T38*IF(AD38=0,AC38,AD38)/100*U38))/AB38)</f>
        <v>26.602409638554217</v>
      </c>
      <c r="AF38" s="685">
        <v>2</v>
      </c>
      <c r="AG38" s="344">
        <f t="shared" ref="AG38" si="98">AG33</f>
        <v>-9.5</v>
      </c>
      <c r="AH38" s="344"/>
      <c r="AI38" s="352">
        <f>AF38*VLOOKUP($Y38,Control!$F$75:$H$87,3,FALSE)/$AB38</f>
        <v>0.43373493975903615</v>
      </c>
      <c r="AJ38" s="686">
        <f>$AG38*Control!$D$77</f>
        <v>-0.12384356164383563</v>
      </c>
      <c r="AK38" s="686"/>
      <c r="AL38" s="686">
        <f>IF(((AB38-VLOOKUP(Y38,Control!$J$76:$K$82,2,FALSE))/AN38)&lt;=0,0,ROUNDUP(((AB38-VLOOKUP(Y38,Control!$J$76:$K$82,2,FALSE))/Control!$D$86),0)*IF(AN38=Control!$D$86,Control!$H$91,Control!$H$90)/AB38)</f>
        <v>0.89156626506024095</v>
      </c>
      <c r="AM38" s="686">
        <f>IF(I38="Corpus Christi",Control!$D$76,0)</f>
        <v>0</v>
      </c>
      <c r="AN38" s="687">
        <f>IF(AND(Control!$D$85-ROUNDUP(((AB38-VLOOKUP(Y38,Control!$J$76:$K$82,2,FALSE))),0)&gt;0,Control!$D$85-ROUNDUP(((AB38-VLOOKUP(Y38,Control!$J$76:$K$82,2,FALSE))),0)&lt;Control!$D$86-ROUNDUP(((AB38-VLOOKUP(Y38,Control!$J$76:$K$82,2,FALSE))),0)),Control!$D$85,Control!$D$86)</f>
        <v>750000</v>
      </c>
      <c r="AO38" s="686">
        <f>Control!$D$78</f>
        <v>0</v>
      </c>
      <c r="AP38" s="686">
        <f>Control!$D$79</f>
        <v>6.7299999999999999E-2</v>
      </c>
      <c r="AQ38" s="686">
        <f>AQ35</f>
        <v>0.2</v>
      </c>
      <c r="AR38" s="686"/>
      <c r="AS38" s="686">
        <f>Control!$D$83/AB38</f>
        <v>0.14457831325301204</v>
      </c>
      <c r="AT38" s="686"/>
      <c r="AU38" s="684">
        <f t="shared" ref="AU38" si="99">SUM(AI38:AM38,AO38:AT38)</f>
        <v>1.6133359564284533</v>
      </c>
      <c r="AV38" s="684">
        <f t="shared" ref="AV38" si="100">+R38+AE38+AU38</f>
        <v>28.215745594982671</v>
      </c>
      <c r="AW38" s="684">
        <f t="shared" ref="AW38" si="101">IF((MONTH(A38)=MONTH(BH38)),0,IF(((MONTH(BH38))-MONTH(A38))+12*YEAR(BG38)-YEAR(A38)&gt;1,SUMIFS($BD$4:$BG$4,$BD$3:$BG$3,"&lt;="&amp;EOMONTH(BG38,-1),$BD$3:$BG$3,"&gt;="&amp;EOMONTH(A38,0)),VLOOKUP("Spreads",$BC$3:$BG$4,MATCH(EOMONTH(A38,0),$BC$3:$BG$3,0))))</f>
        <v>2.9</v>
      </c>
      <c r="AX38" s="684">
        <f t="shared" si="56"/>
        <v>-0.9</v>
      </c>
      <c r="AY38" s="684"/>
      <c r="AZ38" s="688">
        <f t="shared" ref="AZ38" si="102">$Y$3+AV38+AW38+AX38</f>
        <v>26.61574559498267</v>
      </c>
      <c r="BB38" s="350"/>
      <c r="BC38" s="679">
        <f t="shared" ref="BC38" si="103">BC33</f>
        <v>53</v>
      </c>
      <c r="BD38" s="678">
        <f t="shared" ref="BD38" si="104">IF(ISBLANK(A38),"",A38+$BC38+D38)</f>
        <v>46390</v>
      </c>
      <c r="BE38" s="678">
        <f t="shared" ref="BE38" si="105">BD38+2</f>
        <v>46392</v>
      </c>
      <c r="BF38" s="678" t="str">
        <f t="shared" si="58"/>
        <v>Dubai</v>
      </c>
      <c r="BG38" s="689">
        <f t="shared" ref="BG38" si="106">IF($BC$8=0,IF(BF38="ICE Brent",EOMONTH(BE38,2),EOMONTH(BE38,0)),IF(BF38="ICE Brent",EOMONTH(BE38,1),EOMONTH(BE38,-1)))</f>
        <v>46387</v>
      </c>
      <c r="BH38" s="690">
        <f t="shared" ref="BH38" si="107">IF($BC$8=1,EOMONTH(BE38,-1),EOMONTH(BE38,0))</f>
        <v>46387</v>
      </c>
      <c r="BL38" s="735">
        <f t="shared" si="63"/>
        <v>1850000</v>
      </c>
      <c r="BM38" s="735">
        <f t="shared" si="64"/>
        <v>-256975.39041095893</v>
      </c>
      <c r="BN38" s="735">
        <f t="shared" si="65"/>
        <v>0</v>
      </c>
      <c r="BO38"/>
      <c r="BP38"/>
      <c r="BQ38"/>
      <c r="BR38"/>
      <c r="BU38" s="3"/>
    </row>
    <row r="39" spans="1:73" ht="18" customHeight="1" thickBot="1" x14ac:dyDescent="0.5">
      <c r="A39" s="530"/>
      <c r="B39" s="530"/>
      <c r="D39" s="531"/>
      <c r="E39" s="532"/>
      <c r="F39"/>
      <c r="G39"/>
      <c r="H39"/>
      <c r="I39"/>
      <c r="J39"/>
      <c r="K39"/>
      <c r="L39"/>
      <c r="M39"/>
      <c r="N39"/>
      <c r="O39"/>
      <c r="P39"/>
      <c r="Q39"/>
      <c r="T39" s="138"/>
      <c r="U39" s="138"/>
      <c r="V39" s="138"/>
      <c r="W39" s="526"/>
      <c r="X39" s="527"/>
      <c r="Y39" s="1022" t="s">
        <v>218</v>
      </c>
      <c r="Z39" s="1023"/>
      <c r="AA39" s="1023"/>
      <c r="AB39" s="1023"/>
      <c r="AC39" s="1023"/>
      <c r="AD39" s="1023"/>
      <c r="AE39" s="1023"/>
      <c r="AF39" s="1023"/>
      <c r="AG39" s="1023"/>
      <c r="AH39" s="1023"/>
      <c r="AI39" s="1023"/>
      <c r="AJ39" s="1023"/>
      <c r="AK39" s="1023"/>
      <c r="AL39" s="1023"/>
      <c r="AM39" s="1023"/>
      <c r="AN39" s="1023"/>
      <c r="AO39" s="1023"/>
      <c r="AP39" s="1023"/>
      <c r="AQ39" s="1023"/>
      <c r="AR39" s="1023"/>
      <c r="AS39" s="1023"/>
      <c r="AT39" s="1023"/>
      <c r="AU39" s="1023"/>
      <c r="AV39" s="1023"/>
      <c r="AW39" s="1023"/>
      <c r="AX39" s="1023"/>
      <c r="AY39" s="1023"/>
      <c r="AZ39" s="1025"/>
      <c r="BB39" s="529"/>
      <c r="BC39" s="529"/>
      <c r="BD39" s="530"/>
      <c r="BE39" s="530"/>
      <c r="BF39" s="530"/>
      <c r="BG39" s="658"/>
      <c r="BH39" s="658"/>
      <c r="BI39" s="735" t="s">
        <v>203</v>
      </c>
      <c r="BJ39" s="735"/>
      <c r="BK39" s="735" t="s">
        <v>137</v>
      </c>
      <c r="BL39" s="735" t="s">
        <v>98</v>
      </c>
      <c r="BM39" s="735" t="s">
        <v>185</v>
      </c>
      <c r="BN39" s="735" t="s">
        <v>215</v>
      </c>
      <c r="BO39"/>
      <c r="BP39"/>
      <c r="BQ39"/>
      <c r="BR39"/>
      <c r="BU39" s="3"/>
    </row>
    <row r="40" spans="1:73" ht="18" customHeight="1" x14ac:dyDescent="0.35">
      <c r="A40" s="319">
        <f t="shared" si="54"/>
        <v>46334</v>
      </c>
      <c r="B40" s="320">
        <f t="shared" ref="B40:B43" si="108">IF(ISBLANK(A40),"",A40+2)</f>
        <v>46336</v>
      </c>
      <c r="C40" s="270"/>
      <c r="D40" s="338">
        <f>IF(AL40=0,0,VLOOKUP(Y40,Control!$G$41:$J$44,4,FALSE))</f>
        <v>0</v>
      </c>
      <c r="E40" s="515">
        <f t="shared" ref="E40:E47" si="109">A40+2+D40</f>
        <v>46336</v>
      </c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330">
        <f>INDEX('[2]Flat Rates 2025'!$A:$DZ,MATCH(V40,'[2]Flat Rates 2025'!$A:$A,0),MATCH(Z40,'[2]Flat Rates 2025'!$A$1:$DZ$1,0))</f>
        <v>0</v>
      </c>
      <c r="U40" s="330">
        <f>INDEX(Control!$E$17:$J$21,MATCH(Y40,Control!$E$17:$E$21,0),MATCH(V40,Control!$E$17:$J$17,0))</f>
        <v>0</v>
      </c>
      <c r="V40" s="330" t="s">
        <v>45</v>
      </c>
      <c r="W40" s="323">
        <f>INDEX(Vessel_Minimum_MT,MATCH(Y40,Control!$E$11:$E$15,0),MATCH(V40,Control!$E$11:$J$11,0))</f>
        <v>70000</v>
      </c>
      <c r="X40" s="331">
        <f>AB40/Control!$D$84</f>
        <v>90096.96796338672</v>
      </c>
      <c r="Y40" s="258" t="s">
        <v>23</v>
      </c>
      <c r="Z40" s="311" t="s">
        <v>106</v>
      </c>
      <c r="AA40" s="311" t="str">
        <f t="shared" ref="AA40:AA43" si="110">IF(Z40=V40,"",CONCATENATE(CONCATENATE(VLOOKUP(V40,Zones,2,FALSE),"/",VLOOKUP(Z40,Zones,2,FALSE))))</f>
        <v>USGC/KOREA</v>
      </c>
      <c r="AB40" s="312">
        <v>700000</v>
      </c>
      <c r="AC40" s="312">
        <v>1001</v>
      </c>
      <c r="AD40" s="524">
        <v>13000000</v>
      </c>
      <c r="AE40" s="314">
        <f t="shared" ref="AE40:AE43" si="111">IF(AC40&gt;1000,IF(AD40=0,AC40,AD40)/AB40,((W40*T40*(IF(AD40=0,AC40,AD40)/100))+IF(X40&lt;W40,0,(X40-W40)*T40*IF(AD40=0,AC40,AD40)/100*U40))/AB40)</f>
        <v>18.571428571428573</v>
      </c>
      <c r="AF40" s="765">
        <v>1</v>
      </c>
      <c r="AG40" s="815">
        <f>INDEX(Control!$AS$36:$AY$118,MATCH(WTI!$Z40,Control!$AS$36:$AS$118,0),MATCH(WTI!AG$23,Control!$AS$36:$AY$36,0))</f>
        <v>-9.5</v>
      </c>
      <c r="AH40" s="816">
        <f>INDEX(Control!$AS$36:$AY$118,MATCH(WTI!$Z40,Control!$AS$36:$AS$118,0),MATCH(WTI!AH$23,Control!$AS$36:$AY$36,0))-(BC43-BC40)</f>
        <v>26.5</v>
      </c>
      <c r="AI40" s="814">
        <f>AF40*VLOOKUP($Y40,Control!$F$75:$H$87,3,FALSE)/$AB40</f>
        <v>0.11428571428571428</v>
      </c>
      <c r="AJ40" s="817">
        <f>IF($AK$3=1,$AG40*Control!$D$77,0)</f>
        <v>0</v>
      </c>
      <c r="AK40" s="818">
        <f>IF($AK$4=1,$AH40*Control!$D$77,0)</f>
        <v>0.34545835616438358</v>
      </c>
      <c r="AL40" s="316">
        <f>IF(((AB40-VLOOKUP(Y40,Control!$J$76:$K$80,2,FALSE))/Control!$D$85)&lt;=0,0,ROUNDUP(((AB40-VLOOKUP(Y40,Control!$J$76:$K$80,2,FALSE))/Control!$D$85),0)*Control!$H$90/AB40)</f>
        <v>0</v>
      </c>
      <c r="AM40" s="316">
        <f>IF(I40="Corpus Christi",Control!$D$76,0)</f>
        <v>0</v>
      </c>
      <c r="AN40" s="316">
        <v>0</v>
      </c>
      <c r="AO40" s="316">
        <f>Control!$D$78</f>
        <v>0</v>
      </c>
      <c r="AP40" s="316">
        <f>Control!$D$79</f>
        <v>6.7299999999999999E-2</v>
      </c>
      <c r="AQ40" s="316"/>
      <c r="AR40" s="316"/>
      <c r="AS40" s="316">
        <f>IF(AND(Y40="VLCC",Control!$K$79=1200000),Control!$D$83/AB40,0)</f>
        <v>0</v>
      </c>
      <c r="AT40" s="316"/>
      <c r="AU40" s="314">
        <f t="shared" ref="AU40:AU43" si="112">SUM(AI40:AT40)</f>
        <v>0.52704407045009782</v>
      </c>
      <c r="AV40" s="314">
        <f t="shared" si="48"/>
        <v>19.098472641878672</v>
      </c>
      <c r="AW40" s="314">
        <f t="shared" ref="AW40:AW47" si="113">IF((MONTH(A40)=MONTH(BH40)),0,IF(((MONTH(BH40))-MONTH(A40))+12*YEAR(BG40)-YEAR(A40)&gt;1,SUMIFS($BD$4:$BH$4,$BD$3:$BH$3,"&lt;="&amp;EOMONTH(BG40,-1),$BD$3:$BH$3,"&gt;="&amp;EOMONTH(A40,0)),VLOOKUP("Spreads",$BC$3:$BH$4,MATCH(EOMONTH(A40,0),$BC$3:$BH$3,0))))</f>
        <v>2.9</v>
      </c>
      <c r="AX40" s="657">
        <f t="shared" ref="AX40:AX47" si="114">+IF(BF40="Dated",-INDEX($BC$3:$BH$6,MATCH(BF40,$BC$3:$BC$6,0),MATCH(BG40,$BC$3:$BH$3,0)),INDEX($BC$3:$BH$6,MATCH(BF40,$BC$3:$BC$6,0),MATCH(BG40,$BC$3:$BH$3,0)))</f>
        <v>-0.9</v>
      </c>
      <c r="AY40" s="845">
        <f t="shared" ref="AY40:AY47" si="115">1/INDEX($BC$3:$BH$7,MATCH("CMA",$BC$3:$BC$7,0),MATCH(BG40,$BC$3:$BH$3,0))*INDEX($BC$3:$BH$7,MATCH("Spreads",$BC$3:$BC$7,0),MATCH(BG40,$BC$3:$BH$3,0))</f>
        <v>9.7826086956521729E-2</v>
      </c>
      <c r="AZ40" s="500">
        <f t="shared" ref="AZ40:AZ47" si="116">$Y$3+AV40+AW40+AX40+AY40</f>
        <v>17.596298728835198</v>
      </c>
      <c r="BB40" s="330"/>
      <c r="BC40" s="338">
        <v>40</v>
      </c>
      <c r="BD40" s="320">
        <f t="shared" ref="BD40:BD47" si="117">IF(ISBLANK(A40),"",E40+$BC40)</f>
        <v>46376</v>
      </c>
      <c r="BE40" s="320">
        <f t="shared" ref="BE40:BE43" si="118">BD40+2</f>
        <v>46378</v>
      </c>
      <c r="BF40" s="505" t="s">
        <v>156</v>
      </c>
      <c r="BG40" s="489">
        <f>BG43</f>
        <v>46387</v>
      </c>
      <c r="BH40" s="698">
        <f t="shared" ref="BH40" si="119">BG40</f>
        <v>46387</v>
      </c>
      <c r="BI40" s="735">
        <f t="shared" ref="BI40:BI47" si="120">(AE40*AB40)/1000</f>
        <v>13000.000000000002</v>
      </c>
      <c r="BJ40" s="735">
        <v>0</v>
      </c>
      <c r="BK40" s="735">
        <f t="shared" ref="BK40:BK47" si="121">AI40*AB40/1000</f>
        <v>80</v>
      </c>
      <c r="BL40" s="735">
        <f t="shared" ref="BL40:BL47" si="122">AL40*AB40/1000</f>
        <v>0</v>
      </c>
      <c r="BM40" s="735">
        <f t="shared" ref="BM40:BM47" si="123">(AJ40+AK40)*AB40/1000</f>
        <v>241.8208493150685</v>
      </c>
      <c r="BN40" s="735">
        <f t="shared" ref="BN40:BN47" si="124">(AU40-AI40-AJ40-AK40-AL40)*AB40/1000</f>
        <v>47.109999999999978</v>
      </c>
      <c r="BO40"/>
      <c r="BP40"/>
      <c r="BQ40"/>
      <c r="BR40"/>
    </row>
    <row r="41" spans="1:73" ht="18" customHeight="1" x14ac:dyDescent="0.35">
      <c r="A41" s="695">
        <f t="shared" si="54"/>
        <v>46334</v>
      </c>
      <c r="B41" s="163">
        <f t="shared" si="108"/>
        <v>46336</v>
      </c>
      <c r="D41" s="153">
        <f>IF(AL41=0,0,VLOOKUP(Y41,Control!$G$41:$J$44,4,FALSE))</f>
        <v>0</v>
      </c>
      <c r="E41" s="518">
        <f t="shared" si="109"/>
        <v>46336</v>
      </c>
      <c r="F41"/>
      <c r="G41"/>
      <c r="H41"/>
      <c r="I41"/>
      <c r="J41"/>
      <c r="K41"/>
      <c r="L41"/>
      <c r="M41"/>
      <c r="N41"/>
      <c r="O41"/>
      <c r="P41"/>
      <c r="Q41"/>
      <c r="T41" s="138">
        <f>INDEX('[2]Flat Rates 2025'!$A:$DZ,MATCH(V41,'[2]Flat Rates 2025'!$A:$A,0),MATCH(Z41,'[2]Flat Rates 2025'!$A$1:$DZ$1,0))</f>
        <v>0</v>
      </c>
      <c r="U41" s="138" t="e">
        <f>INDEX(Control!$E$17:$J$21,MATCH(Y41,Control!$E$17:$E$21,0),MATCH(V41,Control!$E$17:$J$17,0))</f>
        <v>#N/A</v>
      </c>
      <c r="V41" s="138" t="s">
        <v>45</v>
      </c>
      <c r="W41" s="526" t="e">
        <f>INDEX(Vessel_Minimum_MT,MATCH(Y41,Control!$E$11:$E$15,0),MATCH(V41,Control!$E$11:$J$11,0))</f>
        <v>#N/A</v>
      </c>
      <c r="X41" s="527">
        <f>AB41/Control!$D$84</f>
        <v>128709.9542334096</v>
      </c>
      <c r="Y41" s="147" t="s">
        <v>28</v>
      </c>
      <c r="Z41" s="142" t="s">
        <v>106</v>
      </c>
      <c r="AA41" s="142" t="str">
        <f t="shared" si="110"/>
        <v>USGC/KOREA</v>
      </c>
      <c r="AB41" s="15">
        <v>1000000</v>
      </c>
      <c r="AC41" s="141">
        <v>1001</v>
      </c>
      <c r="AD41" s="481">
        <v>13500000</v>
      </c>
      <c r="AE41" s="149">
        <f t="shared" si="111"/>
        <v>13.5</v>
      </c>
      <c r="AF41" s="17">
        <f>$AF$38</f>
        <v>2</v>
      </c>
      <c r="AG41" s="804">
        <f>INDEX(Control!$AS$36:$AY$118,MATCH(WTI!$Z41,Control!$AS$36:$AS$118,0),MATCH(WTI!AG$23,Control!$AS$36:$AY$36,0))</f>
        <v>-9.5</v>
      </c>
      <c r="AH41" s="805">
        <f>INDEX(Control!$AS$36:$AY$118,MATCH(WTI!$Z41,Control!$AS$36:$AS$118,0),MATCH(WTI!AH$23,Control!$AS$36:$AY$36,0))-6</f>
        <v>32.5</v>
      </c>
      <c r="AI41" s="812">
        <f>AF41*VLOOKUP($Y41,Control!$F$75:$H$87,3,FALSE)/$AB41</f>
        <v>0.19</v>
      </c>
      <c r="AJ41" s="803">
        <f>IF($AK$3=1,$AG41*Control!$D$77,0)</f>
        <v>0</v>
      </c>
      <c r="AK41" s="790">
        <f>IF($AK$4=1,$AH41*Control!$D$77,0)</f>
        <v>0.4236753424657535</v>
      </c>
      <c r="AL41" s="143">
        <f>IF(((AB41-VLOOKUP(Y41,Control!$J$76:$K$82,2,FALSE))/Control!$D$85)&lt;=0,0,ROUNDUP(((AB41-VLOOKUP(Y41,Control!$J$76:$K$82,2,FALSE))/Control!$D$85),0)*Control!$H$90/AB41)</f>
        <v>0</v>
      </c>
      <c r="AM41" s="143">
        <f>IF(I41="Corpus Christi",Control!$D$76,0)</f>
        <v>0</v>
      </c>
      <c r="AN41" s="143">
        <v>0</v>
      </c>
      <c r="AO41" s="143">
        <f>Control!$D$78</f>
        <v>0</v>
      </c>
      <c r="AP41" s="143">
        <f>Control!$D$79</f>
        <v>6.7299999999999999E-2</v>
      </c>
      <c r="AQ41" s="143">
        <f>IF(INDEX(Control!$Q$3:$S$62,MATCH($Z41,Control!$Q$3:$Q$62,0),MATCH(AQ$9,Control!$Q$3:$S$3,0))=1,Control!$D$81*Control!$E$81,0)</f>
        <v>0.2</v>
      </c>
      <c r="AR41" s="143"/>
      <c r="AS41" s="143">
        <f>IF(AND(Y41="VLCC",Control!$K$79=1200000),Control!$D$83/AB41,0)</f>
        <v>0</v>
      </c>
      <c r="AT41" s="143"/>
      <c r="AU41" s="149">
        <f t="shared" si="112"/>
        <v>0.8809753424657536</v>
      </c>
      <c r="AV41" s="199">
        <f t="shared" si="48"/>
        <v>14.380975342465753</v>
      </c>
      <c r="AW41" s="199">
        <f t="shared" si="113"/>
        <v>2.9</v>
      </c>
      <c r="AX41" s="847">
        <f t="shared" si="114"/>
        <v>-0.9</v>
      </c>
      <c r="AY41" s="529">
        <f t="shared" si="115"/>
        <v>9.7826086956521729E-2</v>
      </c>
      <c r="AZ41" s="499">
        <f t="shared" si="116"/>
        <v>12.878801429422275</v>
      </c>
      <c r="BC41" s="153">
        <f>+INDEX('[1]Transit Time'!$A:$DZ,MATCH(V41,'[1]Transit Time'!$A:$A,0),MATCH(Z41,'[1]Transit Time'!$A$1:$DZ$1,0))</f>
        <v>54</v>
      </c>
      <c r="BD41" s="163">
        <f t="shared" si="117"/>
        <v>46390</v>
      </c>
      <c r="BE41" s="163">
        <f t="shared" si="118"/>
        <v>46392</v>
      </c>
      <c r="BF41" s="163" t="s">
        <v>156</v>
      </c>
      <c r="BG41" s="490">
        <f t="shared" si="52"/>
        <v>46387</v>
      </c>
      <c r="BH41" s="696">
        <f t="shared" si="53"/>
        <v>46387</v>
      </c>
      <c r="BI41" s="735">
        <f t="shared" si="120"/>
        <v>13500</v>
      </c>
      <c r="BJ41" s="735">
        <v>0</v>
      </c>
      <c r="BK41" s="735">
        <f t="shared" si="121"/>
        <v>190</v>
      </c>
      <c r="BL41" s="735">
        <f t="shared" si="122"/>
        <v>0</v>
      </c>
      <c r="BM41" s="735">
        <f t="shared" si="123"/>
        <v>423.67534246575349</v>
      </c>
      <c r="BN41" s="735">
        <f t="shared" si="124"/>
        <v>267.30000000000018</v>
      </c>
      <c r="BO41"/>
      <c r="BP41"/>
      <c r="BQ41"/>
      <c r="BR41"/>
    </row>
    <row r="42" spans="1:73" ht="18" customHeight="1" x14ac:dyDescent="0.35">
      <c r="A42" s="697">
        <f t="shared" si="54"/>
        <v>46334</v>
      </c>
      <c r="B42" s="230">
        <f>IF(ISBLANK(A42),"",A42+2)</f>
        <v>46336</v>
      </c>
      <c r="C42" s="210"/>
      <c r="D42" s="229">
        <f>IF(AL42=0,0,VLOOKUP(Y42,Control!$G$41:$J$44,4,FALSE))</f>
        <v>0</v>
      </c>
      <c r="E42" s="519">
        <f t="shared" si="109"/>
        <v>46336</v>
      </c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20">
        <f>INDEX('[2]Flat Rates 2025'!$A:$DZ,MATCH(V42,'[2]Flat Rates 2025'!$A:$A,0),MATCH(Z42,'[2]Flat Rates 2025'!$A$1:$DZ$1,0))</f>
        <v>0</v>
      </c>
      <c r="U42" s="220" t="e">
        <f>INDEX(Control!$E$17:$J$21,MATCH(Y42,Control!$E$17:$E$21,0),MATCH(V42,Control!$E$17:$J$17,0))</f>
        <v>#N/A</v>
      </c>
      <c r="V42" s="220" t="s">
        <v>45</v>
      </c>
      <c r="W42" s="524" t="e">
        <f>INDEX(Vessel_Minimum_MT,MATCH(Y42,Control!$E$11:$E$15,0),MATCH(V42,Control!$E$11:$J$11,0))</f>
        <v>#N/A</v>
      </c>
      <c r="X42" s="525">
        <f>AB42/Control!$D$84</f>
        <v>128709.9542334096</v>
      </c>
      <c r="Y42" s="215" t="s">
        <v>28</v>
      </c>
      <c r="Z42" s="311" t="s">
        <v>106</v>
      </c>
      <c r="AA42" s="212" t="str">
        <f>IF(Z42=V42,"",CONCATENATE(CONCATENATE(VLOOKUP(V42,Zones,2,FALSE),"/",VLOOKUP(Z42,Zones,2,FALSE))))</f>
        <v>USGC/KOREA</v>
      </c>
      <c r="AB42" s="312">
        <v>1000000</v>
      </c>
      <c r="AC42" s="214">
        <v>1001</v>
      </c>
      <c r="AD42" s="262">
        <f>AD41+900000</f>
        <v>14400000</v>
      </c>
      <c r="AE42" s="225">
        <f>IF(AC42&gt;1000,IF(AD42=0,AC42,AD42)/AB42,((W42*T42*(IF(AD42=0,AC42,AD42)/100))+IF(X42&lt;W42,0,(X42-W42)*T42*IF(AD42=0,AC42,AD42)/100*U42))/AB42)</f>
        <v>14.4</v>
      </c>
      <c r="AF42" s="765">
        <f>$AF$38</f>
        <v>2</v>
      </c>
      <c r="AG42" s="806">
        <f>INDEX(Control!$AS$36:$AY$118,MATCH(WTI!$Z42,Control!$AS$36:$AS$118,0),MATCH(WTI!AG$23,Control!$AS$36:$AY$36,0))</f>
        <v>-9.5</v>
      </c>
      <c r="AH42" s="807">
        <f>INDEX(Control!$AS$36:$AY$118,MATCH(WTI!$Z42,Control!$AS$36:$AS$118,0),MATCH(WTI!AH$23,Control!$AS$36:$AY$36,0))-9</f>
        <v>29.5</v>
      </c>
      <c r="AI42" s="819">
        <f>AF42*VLOOKUP($Y42,Control!$F$75:$H$87,3,FALSE)/$AB42</f>
        <v>0.19</v>
      </c>
      <c r="AJ42" s="820">
        <f>IF($AK$3=1,$AG42*Control!$D$77,0)</f>
        <v>0</v>
      </c>
      <c r="AK42" s="821">
        <f>IF($AK$4=1,$AH42*Control!$D$77,0)</f>
        <v>0.38456684931506852</v>
      </c>
      <c r="AL42" s="227">
        <f>AL60</f>
        <v>0</v>
      </c>
      <c r="AM42" s="227">
        <f>IF(I42="Corpus Christi",Control!$D$76,0)</f>
        <v>0</v>
      </c>
      <c r="AN42" s="227">
        <v>0</v>
      </c>
      <c r="AO42" s="227">
        <f>Control!$D$78</f>
        <v>0</v>
      </c>
      <c r="AP42" s="227">
        <f>Control!$D$79</f>
        <v>6.7299999999999999E-2</v>
      </c>
      <c r="AQ42" s="227">
        <f>IF(INDEX(Control!$Q$3:$S$62,MATCH($Z42,Control!$Q$3:$Q$62,0),MATCH(AQ$9,Control!$Q$3:$S$3,0))=1,Control!$D$81*Control!$E$81,0)</f>
        <v>0.2</v>
      </c>
      <c r="AR42" s="227"/>
      <c r="AS42" s="227">
        <f>IF(AND(Y42="VLCC",Control!$K$79=1200000),Control!$D$83/AB42,0)</f>
        <v>0</v>
      </c>
      <c r="AT42" s="227"/>
      <c r="AU42" s="225">
        <f>SUM(AI42:AT42)</f>
        <v>0.8418668493150685</v>
      </c>
      <c r="AV42" s="314">
        <f>+R42+AE42+AU42</f>
        <v>15.24186684931507</v>
      </c>
      <c r="AW42" s="314">
        <f t="shared" si="113"/>
        <v>2.9</v>
      </c>
      <c r="AX42" s="652">
        <f t="shared" si="114"/>
        <v>-3.98</v>
      </c>
      <c r="AY42" s="845">
        <f t="shared" si="115"/>
        <v>9.7826086956521729E-2</v>
      </c>
      <c r="AZ42" s="498">
        <f t="shared" si="116"/>
        <v>10.659692936271592</v>
      </c>
      <c r="BB42" s="220"/>
      <c r="BC42" s="229">
        <f>+INDEX('[1]Transit Time'!$A:$DZ,MATCH(V42,'[1]Transit Time'!$A:$A,0),MATCH(Z42,'[1]Transit Time'!$A$1:$DZ$1,0))</f>
        <v>54</v>
      </c>
      <c r="BD42" s="230">
        <f t="shared" si="117"/>
        <v>46390</v>
      </c>
      <c r="BE42" s="230">
        <f>BD42+2</f>
        <v>46392</v>
      </c>
      <c r="BF42" s="822" t="str">
        <f>BF46</f>
        <v>Dated</v>
      </c>
      <c r="BG42" s="489">
        <f t="shared" ref="BG42" si="125">IF($BC$8=0,IF(BF42="ICE Brent",EOMONTH(BE42,2),EOMONTH(BE42,0)),IF(BF42="ICE Brent",EOMONTH(BE42,1),EOMONTH(BE42,-1)))</f>
        <v>46387</v>
      </c>
      <c r="BH42" s="698">
        <f t="shared" ref="BH42" si="126">IF($BC$8=1,EOMONTH(BE42,-1),EOMONTH(BE42,0))</f>
        <v>46387</v>
      </c>
      <c r="BI42" s="735">
        <f t="shared" si="120"/>
        <v>14400</v>
      </c>
      <c r="BJ42" s="735">
        <v>0</v>
      </c>
      <c r="BK42" s="735">
        <f t="shared" si="121"/>
        <v>190</v>
      </c>
      <c r="BL42" s="735">
        <f t="shared" si="122"/>
        <v>0</v>
      </c>
      <c r="BM42" s="735">
        <f t="shared" si="123"/>
        <v>384.56684931506851</v>
      </c>
      <c r="BN42" s="735">
        <f t="shared" si="124"/>
        <v>267.30000000000007</v>
      </c>
      <c r="BO42"/>
      <c r="BP42"/>
      <c r="BQ42"/>
      <c r="BR42"/>
    </row>
    <row r="43" spans="1:73" ht="18" customHeight="1" x14ac:dyDescent="0.35">
      <c r="A43" s="823">
        <f>A42</f>
        <v>46334</v>
      </c>
      <c r="B43" s="824">
        <f t="shared" si="108"/>
        <v>46336</v>
      </c>
      <c r="C43" s="364"/>
      <c r="D43" s="825">
        <f>IF(AL43=0,0,VLOOKUP(Y43,Control!$G$41:$J$44,4,FALSE))</f>
        <v>9</v>
      </c>
      <c r="E43" s="826">
        <f t="shared" si="109"/>
        <v>46345</v>
      </c>
      <c r="F43" s="364"/>
      <c r="G43" s="364"/>
      <c r="H43" s="364"/>
      <c r="I43" s="364"/>
      <c r="J43" s="364"/>
      <c r="K43" s="364"/>
      <c r="L43" s="364"/>
      <c r="M43" s="364"/>
      <c r="N43" s="364"/>
      <c r="O43" s="364"/>
      <c r="P43" s="364"/>
      <c r="Q43" s="364"/>
      <c r="R43" s="364"/>
      <c r="S43" s="364"/>
      <c r="T43" s="365">
        <f>INDEX('[2]Flat Rates 2025'!$A:$DZ,MATCH(V43,'[2]Flat Rates 2025'!$A:$A,0),MATCH(Z43,'[2]Flat Rates 2025'!$A$1:$DZ$1,0))</f>
        <v>0</v>
      </c>
      <c r="U43" s="365">
        <f>INDEX(Control!$E$17:$J$21,MATCH(Y43,Control!$E$17:$E$21,0),MATCH(V43,Control!$E$17:$J$17,0))</f>
        <v>0.5</v>
      </c>
      <c r="V43" s="365" t="s">
        <v>45</v>
      </c>
      <c r="W43" s="827">
        <f>INDEX(Vessel_Minimum_MT,MATCH(Y43,Control!$E$11:$E$15,0),MATCH(V43,Control!$E$11:$J$11,0))</f>
        <v>270000</v>
      </c>
      <c r="X43" s="828">
        <f>AB43/Control!$D$84</f>
        <v>267073.15503432491</v>
      </c>
      <c r="Y43" s="829" t="s">
        <v>25</v>
      </c>
      <c r="Z43" s="575" t="s">
        <v>106</v>
      </c>
      <c r="AA43" s="830" t="str">
        <f t="shared" si="110"/>
        <v>USGC/KOREA</v>
      </c>
      <c r="AB43" s="974">
        <v>2075000</v>
      </c>
      <c r="AC43" s="832">
        <v>1001</v>
      </c>
      <c r="AD43" s="130">
        <v>55000000</v>
      </c>
      <c r="AE43" s="834">
        <f t="shared" si="111"/>
        <v>26.506024096385541</v>
      </c>
      <c r="AF43" s="835">
        <v>5</v>
      </c>
      <c r="AG43" s="836">
        <f>INDEX(Control!$AS$36:$AY$118,MATCH(WTI!$Z43,Control!$AS$36:$AS$118,0),MATCH(WTI!AG$23,Control!$AS$36:$AY$36,0))</f>
        <v>-9.5</v>
      </c>
      <c r="AH43" s="837">
        <f>INDEX(Control!$AS$36:$AY$118,MATCH(WTI!$Z43,Control!$AS$36:$AS$118,0),MATCH(WTI!AH$23,Control!$AS$36:$AY$36,0))</f>
        <v>38.5</v>
      </c>
      <c r="AI43" s="838">
        <f>AF43*VLOOKUP($Y43,Control!$F$75:$H$87,3,FALSE)/$AB43</f>
        <v>1.0843373493975903</v>
      </c>
      <c r="AJ43" s="839" t="s">
        <v>159</v>
      </c>
      <c r="AK43" s="840">
        <f>IF($AK$4=1,$AH43*Control!$D$77,0)</f>
        <v>0.50189232876712331</v>
      </c>
      <c r="AL43" s="841">
        <f>IF(((AB43-VLOOKUP(Y43,Control!$J$76:$K$80,2,FALSE))/Control!$D$85)&lt;=0,0,ROUNDUP(((AB43-VLOOKUP(Y43,Control!$J$76:$K$80,2,FALSE))/Control!$D$85),0)*Control!$H$90/AB43)</f>
        <v>2.6746987951807228</v>
      </c>
      <c r="AM43" s="841">
        <f>IF(I43="Corpus Christi",Control!$D$76,0)</f>
        <v>0</v>
      </c>
      <c r="AN43" s="841">
        <v>0</v>
      </c>
      <c r="AO43" s="841">
        <f>Control!$D$78</f>
        <v>0</v>
      </c>
      <c r="AP43" s="841">
        <f>Control!$D$79</f>
        <v>6.7299999999999999E-2</v>
      </c>
      <c r="AQ43" s="841">
        <f>IF(INDEX(Control!$Q$3:$S$62,MATCH($Z43,Control!$Q$3:$Q$62,0),MATCH(AQ$9,Control!$Q$3:$S$3,0))=1,Control!$D$81*Control!$E$81,0)</f>
        <v>0.2</v>
      </c>
      <c r="AR43" s="841"/>
      <c r="AS43" s="841">
        <f>IF(AND(Y43="VLCC",Control!$K$79=1200000),Control!$D$83/AB43,0)</f>
        <v>0</v>
      </c>
      <c r="AT43" s="841"/>
      <c r="AU43" s="834">
        <f t="shared" si="112"/>
        <v>4.528228473345437</v>
      </c>
      <c r="AV43" s="834">
        <f t="shared" si="48"/>
        <v>31.034252569730977</v>
      </c>
      <c r="AW43" s="834">
        <f t="shared" si="113"/>
        <v>2.9</v>
      </c>
      <c r="AX43" s="846">
        <f t="shared" si="114"/>
        <v>-0.9</v>
      </c>
      <c r="AY43" s="846">
        <f t="shared" si="115"/>
        <v>9.7826086956521729E-2</v>
      </c>
      <c r="AZ43" s="973">
        <f t="shared" si="116"/>
        <v>29.532078656687499</v>
      </c>
      <c r="BB43" s="365"/>
      <c r="BC43" s="825">
        <v>52</v>
      </c>
      <c r="BD43" s="824">
        <f t="shared" si="117"/>
        <v>46397</v>
      </c>
      <c r="BE43" s="824">
        <f t="shared" si="118"/>
        <v>46399</v>
      </c>
      <c r="BF43" s="842" t="str">
        <f t="shared" si="58"/>
        <v>Dubai</v>
      </c>
      <c r="BG43" s="990">
        <f>BG34</f>
        <v>46387</v>
      </c>
      <c r="BH43" s="844">
        <f t="shared" si="53"/>
        <v>46387</v>
      </c>
      <c r="BI43" s="735">
        <f t="shared" si="120"/>
        <v>55000</v>
      </c>
      <c r="BJ43" s="735">
        <v>0</v>
      </c>
      <c r="BK43" s="735">
        <f t="shared" si="121"/>
        <v>2250</v>
      </c>
      <c r="BL43" s="735">
        <f t="shared" si="122"/>
        <v>5550</v>
      </c>
      <c r="BM43" s="735" t="e">
        <f t="shared" si="123"/>
        <v>#VALUE!</v>
      </c>
      <c r="BN43" s="735" t="e">
        <f t="shared" si="124"/>
        <v>#VALUE!</v>
      </c>
      <c r="BO43"/>
      <c r="BP43"/>
      <c r="BQ43"/>
      <c r="BR43"/>
    </row>
    <row r="44" spans="1:73" ht="18" customHeight="1" x14ac:dyDescent="0.35">
      <c r="A44" s="697">
        <f t="shared" si="54"/>
        <v>46334</v>
      </c>
      <c r="B44" s="230">
        <f t="shared" ref="B44" si="127">IF(ISBLANK(A44),"",A44+2)</f>
        <v>46336</v>
      </c>
      <c r="D44" s="229">
        <f>IF(AL44=0,0,VLOOKUP(Y44,Control!$G$41:$J$44,4,FALSE))</f>
        <v>9</v>
      </c>
      <c r="E44" s="519">
        <f t="shared" si="109"/>
        <v>46345</v>
      </c>
      <c r="F44"/>
      <c r="G44"/>
      <c r="H44"/>
      <c r="I44"/>
      <c r="J44"/>
      <c r="K44"/>
      <c r="L44"/>
      <c r="M44"/>
      <c r="N44"/>
      <c r="O44"/>
      <c r="P44"/>
      <c r="Q44"/>
      <c r="T44" s="220">
        <f>INDEX('[2]Flat Rates 2025'!$A:$DZ,MATCH(V44,'[2]Flat Rates 2025'!$A:$A,0),MATCH(Z44,'[2]Flat Rates 2025'!$A$1:$DZ$1,0))</f>
        <v>0</v>
      </c>
      <c r="U44" s="220">
        <f>INDEX(Control!$E$17:$J$21,MATCH(Y44,Control!$E$17:$E$21,0),MATCH(V44,Control!$E$17:$J$17,0))</f>
        <v>0.5</v>
      </c>
      <c r="V44" s="220" t="s">
        <v>45</v>
      </c>
      <c r="W44" s="524">
        <f>INDEX(Vessel_Minimum_MT,MATCH(Y44,Control!$E$11:$E$15,0),MATCH(V44,Control!$E$11:$J$11,0))</f>
        <v>270000</v>
      </c>
      <c r="X44" s="525">
        <f>AB44/Control!$D$84</f>
        <v>267073.15503432491</v>
      </c>
      <c r="Y44" s="215" t="s">
        <v>25</v>
      </c>
      <c r="Z44" s="576" t="s">
        <v>114</v>
      </c>
      <c r="AA44" s="212" t="str">
        <f t="shared" si="45"/>
        <v>USGC/Singapore</v>
      </c>
      <c r="AB44" s="214">
        <f>$AB$43</f>
        <v>2075000</v>
      </c>
      <c r="AC44" s="214">
        <v>1001</v>
      </c>
      <c r="AD44" s="224">
        <f>AD43-1000000</f>
        <v>54000000</v>
      </c>
      <c r="AE44" s="225">
        <f t="shared" si="46"/>
        <v>26.024096385542169</v>
      </c>
      <c r="AF44" s="217">
        <f>$AF$43</f>
        <v>5</v>
      </c>
      <c r="AG44" s="815">
        <f>INDEX(Control!$AS$36:$AY$118,MATCH(WTI!$Z44,Control!$AS$36:$AS$118,0),MATCH(WTI!AG$23,Control!$AS$36:$AY$36,0))</f>
        <v>-9.5</v>
      </c>
      <c r="AH44" s="807">
        <f>INDEX(Control!$AS$36:$AY$118,MATCH(WTI!$Z44,Control!$AS$36:$AS$118,0),MATCH(WTI!AH$23,Control!$AS$36:$AY$36,0))</f>
        <v>28.5</v>
      </c>
      <c r="AI44" s="814">
        <f>AF44*VLOOKUP($Y44,Control!$F$75:$H$87,3,FALSE)/$AB44</f>
        <v>1.0843373493975903</v>
      </c>
      <c r="AJ44" s="817">
        <f>IF($AK$3=1,$AG44*Control!$D$77,0)</f>
        <v>0</v>
      </c>
      <c r="AK44" s="818">
        <f>IF($AK$4=1,$AH44*Control!$D$77,0)</f>
        <v>0.37153068493150687</v>
      </c>
      <c r="AL44" s="227">
        <f>IF(((AB44-VLOOKUP(Y44,Control!$J$76:$K$80,2,FALSE))/Control!$D$85)&lt;=0,0,ROUNDUP(((AB44-VLOOKUP(Y44,Control!$J$76:$K$80,2,FALSE))/Control!$D$85),0)*Control!$H$90/AB44)</f>
        <v>2.6746987951807228</v>
      </c>
      <c r="AM44" s="227">
        <f>IF(I44="Corpus Christi",Control!$D$76,0)</f>
        <v>0</v>
      </c>
      <c r="AN44" s="227">
        <v>0</v>
      </c>
      <c r="AO44" s="227">
        <f>Control!$D$78</f>
        <v>0</v>
      </c>
      <c r="AP44" s="227">
        <f>Control!$D$79</f>
        <v>6.7299999999999999E-2</v>
      </c>
      <c r="AQ44" s="227">
        <f>IF(INDEX(Control!$Q$3:$S$62,MATCH($Z44,Control!$Q$3:$Q$62,0),MATCH(AQ$9,Control!$Q$3:$S$3,0))=1,Control!$D$81*Control!$E$81,0)</f>
        <v>0.2</v>
      </c>
      <c r="AR44" s="227"/>
      <c r="AS44" s="227">
        <f>IF(AND(Y44="VLCC",Control!$K$79=1200000),Control!$D$83/AB44,0)</f>
        <v>0</v>
      </c>
      <c r="AT44" s="227"/>
      <c r="AU44" s="225">
        <f t="shared" ref="AU44:AU47" si="128">SUM(AI44:AT44)</f>
        <v>4.3978668295098204</v>
      </c>
      <c r="AV44" s="225">
        <f t="shared" si="48"/>
        <v>30.421963215051989</v>
      </c>
      <c r="AW44" s="225">
        <f t="shared" si="113"/>
        <v>2.9</v>
      </c>
      <c r="AX44" s="657">
        <f t="shared" si="114"/>
        <v>-3.98</v>
      </c>
      <c r="AY44" s="992">
        <f t="shared" si="115"/>
        <v>9.7826086956521729E-2</v>
      </c>
      <c r="AZ44" s="507">
        <f t="shared" si="116"/>
        <v>25.839789302008509</v>
      </c>
      <c r="BB44" s="220"/>
      <c r="BC44" s="229">
        <f>+INDEX('[1]Transit Time'!$A:$DZ,MATCH(V44,'[1]Transit Time'!$A:$A,0),MATCH(Z44,'[1]Transit Time'!$A$1:$DZ$1,0))</f>
        <v>44</v>
      </c>
      <c r="BD44" s="230">
        <f t="shared" si="117"/>
        <v>46389</v>
      </c>
      <c r="BE44" s="230">
        <f t="shared" si="57"/>
        <v>46391</v>
      </c>
      <c r="BF44" s="505" t="s">
        <v>157</v>
      </c>
      <c r="BG44" s="489">
        <f>IF($BH$8=0,IF(BF44="ICE Brent",EOMONTH(BE44,2),EOMONTH(BE44,0)),IF(BF44="ICE Brent",EOMONTH(BE44,1),EOMONTH(BE44,-1)))</f>
        <v>46387</v>
      </c>
      <c r="BH44" s="698">
        <f t="shared" ref="BH44" si="129">BG44</f>
        <v>46387</v>
      </c>
      <c r="BI44" s="735">
        <f t="shared" si="120"/>
        <v>54000</v>
      </c>
      <c r="BJ44" s="735">
        <v>0</v>
      </c>
      <c r="BK44" s="735">
        <f t="shared" si="121"/>
        <v>2250</v>
      </c>
      <c r="BL44" s="735">
        <f t="shared" si="122"/>
        <v>5550</v>
      </c>
      <c r="BM44" s="735">
        <f t="shared" si="123"/>
        <v>770.92617123287675</v>
      </c>
      <c r="BN44" s="735">
        <f t="shared" si="124"/>
        <v>554.64750000000026</v>
      </c>
      <c r="BO44"/>
      <c r="BP44"/>
      <c r="BQ44"/>
      <c r="BR44"/>
    </row>
    <row r="45" spans="1:73" ht="18" customHeight="1" x14ac:dyDescent="0.35">
      <c r="A45" s="695">
        <f t="shared" si="54"/>
        <v>46334</v>
      </c>
      <c r="B45" s="163">
        <f>IF(ISBLANK(A45),"",A45+2)</f>
        <v>46336</v>
      </c>
      <c r="D45" s="153">
        <f>IF(AL45=0,0,VLOOKUP(Y45,Control!$G$41:$J$44,4,FALSE))</f>
        <v>9</v>
      </c>
      <c r="E45" s="518">
        <f t="shared" si="109"/>
        <v>46345</v>
      </c>
      <c r="F45"/>
      <c r="G45"/>
      <c r="H45"/>
      <c r="I45"/>
      <c r="J45"/>
      <c r="K45"/>
      <c r="L45"/>
      <c r="M45"/>
      <c r="N45"/>
      <c r="O45"/>
      <c r="P45"/>
      <c r="Q45"/>
      <c r="T45" s="138">
        <f>INDEX('[2]Flat Rates 2025'!$A:$DZ,MATCH(V45,'[2]Flat Rates 2025'!$A:$A,0),MATCH(Z45,'[2]Flat Rates 2025'!$A$1:$DZ$1,0))</f>
        <v>0</v>
      </c>
      <c r="U45" s="138">
        <f>INDEX(Control!$E$17:$J$21,MATCH(Y45,Control!$E$17:$E$21,0),MATCH(V45,Control!$E$17:$J$17,0))</f>
        <v>0.5</v>
      </c>
      <c r="V45" s="138" t="s">
        <v>45</v>
      </c>
      <c r="W45" s="526">
        <f>INDEX(Vessel_Minimum_MT,MATCH(Y45,Control!$E$11:$E$15,0),MATCH(V45,Control!$E$11:$J$11,0))</f>
        <v>270000</v>
      </c>
      <c r="X45" s="527">
        <f>AB45/Control!$D$84</f>
        <v>267073.15503432491</v>
      </c>
      <c r="Y45" s="147" t="s">
        <v>25</v>
      </c>
      <c r="Z45" s="53" t="s">
        <v>114</v>
      </c>
      <c r="AA45" s="142" t="str">
        <f>IF(Z45=V45,"",CONCATENATE(CONCATENATE(VLOOKUP(V45,Zones,2,FALSE),"/",VLOOKUP(Z45,Zones,2,FALSE))))</f>
        <v>USGC/Singapore</v>
      </c>
      <c r="AB45" s="54">
        <f>AB44</f>
        <v>2075000</v>
      </c>
      <c r="AC45" s="141">
        <v>1001</v>
      </c>
      <c r="AD45" s="202">
        <f>AD44</f>
        <v>54000000</v>
      </c>
      <c r="AE45" s="149">
        <f>IF(AC45&gt;1000,IF(AD45=0,AC45,AD45)/AB45,((W45*T45*(IF(AD45=0,AC45,AD45)/100))+IF(X45&lt;W45,0,(X45-W45)*T45*IF(AD45=0,AC45,AD45)/100*U45))/AB45)</f>
        <v>26.024096385542169</v>
      </c>
      <c r="AF45" s="767">
        <v>5</v>
      </c>
      <c r="AG45" s="804">
        <f>INDEX(Control!$AS$36:$AY$118,MATCH(WTI!$Z45,Control!$AS$36:$AS$118,0),MATCH(WTI!AG$23,Control!$AS$36:$AY$36,0))</f>
        <v>-9.5</v>
      </c>
      <c r="AH45" s="805">
        <f>INDEX(Control!$AS$36:$AY$118,MATCH(WTI!$Z45,Control!$AS$36:$AS$118,0),MATCH(WTI!AH$23,Control!$AS$36:$AY$36,0))-6</f>
        <v>22.5</v>
      </c>
      <c r="AI45" s="812">
        <f>AF45*VLOOKUP($Y45,Control!$F$75:$H$87,3,FALSE)/$AB45</f>
        <v>1.0843373493975903</v>
      </c>
      <c r="AJ45" s="803">
        <f>IF($AK$3=1,$AG45*Control!$D$77,0)</f>
        <v>0</v>
      </c>
      <c r="AK45" s="790">
        <f>IF($AK$4=1,$AH45*Control!$D$77,0)</f>
        <v>0.29331369863013701</v>
      </c>
      <c r="AL45" s="143">
        <f>IF(((AB45-VLOOKUP(Y45,Control!$J$76:$K$82,2,FALSE))/Control!$D$85)&lt;=0,0,ROUNDUP(((AB45-VLOOKUP(Y45,Control!$J$76:$K$82,2,FALSE))/Control!$D$85),0)*Control!$H$90/AB45)</f>
        <v>2.6746987951807228</v>
      </c>
      <c r="AM45" s="143">
        <f>IF(I45="Corpus Christi",Control!$D$76,0)</f>
        <v>0</v>
      </c>
      <c r="AN45" s="143">
        <v>0</v>
      </c>
      <c r="AO45" s="143">
        <f>Control!$D$78</f>
        <v>0</v>
      </c>
      <c r="AP45" s="143">
        <f>Control!$D$79</f>
        <v>6.7299999999999999E-2</v>
      </c>
      <c r="AQ45" s="143">
        <f>IF(INDEX(Control!$Q$3:$S$62,MATCH($Z45,Control!$Q$3:$Q$62,0),MATCH(AQ$9,Control!$Q$3:$S$3,0))=1,Control!$D$81*Control!$E$81,0)</f>
        <v>0.2</v>
      </c>
      <c r="AR45" s="143"/>
      <c r="AS45" s="143">
        <f>IF(AND(Y45="VLCC",Control!$K$79=1200000),Control!$D$83/AB45,0)</f>
        <v>0</v>
      </c>
      <c r="AT45" s="143"/>
      <c r="AU45" s="149">
        <f>SUM(AI45:AT45)</f>
        <v>4.3196498432084507</v>
      </c>
      <c r="AV45" s="199">
        <f>+R45+AE45+AU45</f>
        <v>30.343746228750618</v>
      </c>
      <c r="AW45" s="199">
        <f t="shared" si="113"/>
        <v>2.9</v>
      </c>
      <c r="AX45" s="648">
        <f t="shared" si="114"/>
        <v>-0.9</v>
      </c>
      <c r="AY45" s="846">
        <f t="shared" si="115"/>
        <v>9.7826086956521729E-2</v>
      </c>
      <c r="AZ45" s="499">
        <f t="shared" si="116"/>
        <v>28.84157231570714</v>
      </c>
      <c r="BC45" s="153">
        <f>+INDEX('[1]Transit Time'!$A:$DZ,MATCH(V45,'[1]Transit Time'!$A:$A,0),MATCH(Z45,'[1]Transit Time'!$A$1:$DZ$1,0))</f>
        <v>44</v>
      </c>
      <c r="BD45" s="163">
        <f t="shared" si="117"/>
        <v>46389</v>
      </c>
      <c r="BE45" s="163">
        <f>BD45+2</f>
        <v>46391</v>
      </c>
      <c r="BF45" s="506" t="str">
        <f t="shared" si="58"/>
        <v>Dubai</v>
      </c>
      <c r="BG45" s="490">
        <f>IF($BC$8=0,IF(BF45="ICE Brent",EOMONTH(BE45,2),EOMONTH(BE45,0)),IF(BF45="ICE Brent",EOMONTH(BE45,1),EOMONTH(BE45,-1)))</f>
        <v>46387</v>
      </c>
      <c r="BH45" s="696">
        <f>IF($BC$8=1,EOMONTH(BE45,-1),EOMONTH(BE45,0))</f>
        <v>46387</v>
      </c>
      <c r="BI45" s="735">
        <f t="shared" si="120"/>
        <v>54000</v>
      </c>
      <c r="BJ45" s="735">
        <v>0</v>
      </c>
      <c r="BK45" s="735">
        <f t="shared" si="121"/>
        <v>2250</v>
      </c>
      <c r="BL45" s="735">
        <f t="shared" si="122"/>
        <v>5550</v>
      </c>
      <c r="BM45" s="735">
        <f t="shared" si="123"/>
        <v>608.62592465753437</v>
      </c>
      <c r="BN45" s="735">
        <f t="shared" si="124"/>
        <v>554.64750000000026</v>
      </c>
      <c r="BO45"/>
      <c r="BP45"/>
      <c r="BQ45"/>
      <c r="BR45"/>
    </row>
    <row r="46" spans="1:73" ht="18" customHeight="1" x14ac:dyDescent="0.35">
      <c r="A46" s="697">
        <f t="shared" si="54"/>
        <v>46334</v>
      </c>
      <c r="B46" s="230">
        <f>IF(ISBLANK(A46),"",A46+2)</f>
        <v>46336</v>
      </c>
      <c r="D46" s="229">
        <f>IF(AL46=0,0,VLOOKUP(Y46,Control!$G$41:$J$44,4,FALSE))</f>
        <v>9</v>
      </c>
      <c r="E46" s="519">
        <f t="shared" si="109"/>
        <v>46345</v>
      </c>
      <c r="F46"/>
      <c r="G46"/>
      <c r="H46"/>
      <c r="I46"/>
      <c r="J46"/>
      <c r="K46"/>
      <c r="L46"/>
      <c r="M46"/>
      <c r="N46"/>
      <c r="O46"/>
      <c r="P46"/>
      <c r="Q46"/>
      <c r="T46" s="220">
        <f>INDEX('[2]Flat Rates 2025'!$A:$DZ,MATCH(V46,'[2]Flat Rates 2025'!$A:$A,0),MATCH(Z46,'[2]Flat Rates 2025'!$A$1:$DZ$1,0))</f>
        <v>0</v>
      </c>
      <c r="U46" s="220">
        <f>INDEX(Control!$E$17:$J$21,MATCH(Y46,Control!$E$17:$E$21,0),MATCH(V46,Control!$E$17:$J$17,0))</f>
        <v>0.5</v>
      </c>
      <c r="V46" s="220" t="s">
        <v>45</v>
      </c>
      <c r="W46" s="524">
        <f>INDEX(Vessel_Minimum_MT,MATCH(Y46,Control!$E$11:$E$15,0),MATCH(V46,Control!$E$11:$J$11,0))</f>
        <v>270000</v>
      </c>
      <c r="X46" s="525">
        <f>AB46/Control!$D$84</f>
        <v>267073.15503432491</v>
      </c>
      <c r="Y46" s="215" t="s">
        <v>25</v>
      </c>
      <c r="Z46" s="573" t="s">
        <v>86</v>
      </c>
      <c r="AA46" s="212" t="str">
        <f>IF(Z46=V46,"",CONCATENATE(CONCATENATE(VLOOKUP(V46,Zones,2,FALSE),"/",VLOOKUP(Z46,Zones,2,FALSE))))</f>
        <v>USGC/INDIA</v>
      </c>
      <c r="AB46" s="214">
        <f>$AB$43</f>
        <v>2075000</v>
      </c>
      <c r="AC46" s="214">
        <v>1001</v>
      </c>
      <c r="AD46" s="224">
        <f>AD44</f>
        <v>54000000</v>
      </c>
      <c r="AE46" s="225">
        <f t="shared" si="46"/>
        <v>26.024096385542169</v>
      </c>
      <c r="AF46" s="217">
        <f>$AF$43</f>
        <v>5</v>
      </c>
      <c r="AG46" s="815">
        <f>INDEX(Control!$AS$36:$AY$118,MATCH(WTI!$Z46,Control!$AS$36:$AS$118,0),MATCH(WTI!AG$23,Control!$AS$36:$AY$36,0))</f>
        <v>-9.5</v>
      </c>
      <c r="AH46" s="807">
        <f>INDEX(Control!$AS$36:$AY$118,MATCH(WTI!$Z46,Control!$AS$36:$AS$118,0),MATCH(WTI!AH$23,Control!$AS$36:$AY$36,0))</f>
        <v>25.5</v>
      </c>
      <c r="AI46" s="811">
        <f>AF46*VLOOKUP($Y46,Control!$F$75:$H$87,3,FALSE)/$AB46</f>
        <v>1.0843373493975903</v>
      </c>
      <c r="AJ46" s="787">
        <f>IF($AK$3=1,$AG46*Control!$D$77,0)</f>
        <v>0</v>
      </c>
      <c r="AK46" s="788">
        <f>IF($AK$4=1,$AH46*Control!$D$77,0)</f>
        <v>0.33242219178082194</v>
      </c>
      <c r="AL46" s="227">
        <f>IF(((AB46-VLOOKUP(Y46,Control!$J$76:$K$80,2,FALSE))/Control!$D$85)&lt;=0,0,ROUNDUP(((AB46-VLOOKUP(Y46,Control!$J$76:$K$80,2,FALSE))/Control!$D$85),0)*Control!$H$90/AB46)</f>
        <v>2.6746987951807228</v>
      </c>
      <c r="AM46" s="227">
        <f>IF(I46="Corpus Christi",Control!$D$76,0)</f>
        <v>0</v>
      </c>
      <c r="AN46" s="227">
        <v>0</v>
      </c>
      <c r="AO46" s="227">
        <f>Control!$D$78</f>
        <v>0</v>
      </c>
      <c r="AP46" s="227">
        <f>Control!$D$79</f>
        <v>6.7299999999999999E-2</v>
      </c>
      <c r="AQ46" s="227">
        <f>IF(INDEX(Control!$Q$3:$S$62,MATCH($Z46,Control!$Q$3:$Q$62,0),MATCH(AQ$9,Control!$Q$3:$S$3,0))=1,Control!$D$81*Control!$E$81,0)</f>
        <v>0.2</v>
      </c>
      <c r="AR46" s="227"/>
      <c r="AS46" s="227">
        <f>IF(AND(Y46="VLCC",Control!$K$79=1200000),Control!$D$83/AB46,0)</f>
        <v>0</v>
      </c>
      <c r="AT46" s="227"/>
      <c r="AU46" s="225">
        <f>SUM(AI46:AT46)</f>
        <v>4.358758336359136</v>
      </c>
      <c r="AV46" s="225">
        <f t="shared" si="48"/>
        <v>30.382854721901303</v>
      </c>
      <c r="AW46" s="225">
        <f t="shared" si="113"/>
        <v>2.9</v>
      </c>
      <c r="AX46" s="589">
        <f t="shared" si="114"/>
        <v>-3.98</v>
      </c>
      <c r="AY46" s="993">
        <f t="shared" si="115"/>
        <v>9.7826086956521729E-2</v>
      </c>
      <c r="AZ46" s="508">
        <f t="shared" si="116"/>
        <v>25.800680808857823</v>
      </c>
      <c r="BB46" s="220"/>
      <c r="BC46" s="229">
        <f>+INDEX('[1]Transit Time'!$A:$DZ,MATCH(V46,'[1]Transit Time'!$A:$A,0),MATCH(Z46,'[1]Transit Time'!$A$1:$DZ$1,0))+2</f>
        <v>43</v>
      </c>
      <c r="BD46" s="230">
        <f t="shared" si="117"/>
        <v>46388</v>
      </c>
      <c r="BE46" s="230">
        <f t="shared" si="57"/>
        <v>46390</v>
      </c>
      <c r="BF46" s="505" t="s">
        <v>157</v>
      </c>
      <c r="BG46" s="489">
        <f t="shared" si="52"/>
        <v>46387</v>
      </c>
      <c r="BH46" s="698">
        <f t="shared" si="53"/>
        <v>46387</v>
      </c>
      <c r="BI46" s="735">
        <f t="shared" si="120"/>
        <v>54000</v>
      </c>
      <c r="BJ46" s="735">
        <v>0</v>
      </c>
      <c r="BK46" s="735">
        <f t="shared" si="121"/>
        <v>2250</v>
      </c>
      <c r="BL46" s="735">
        <f t="shared" si="122"/>
        <v>5550</v>
      </c>
      <c r="BM46" s="735">
        <f t="shared" si="123"/>
        <v>689.77604794520551</v>
      </c>
      <c r="BN46" s="735">
        <f t="shared" si="124"/>
        <v>554.64750000000117</v>
      </c>
      <c r="BO46"/>
      <c r="BP46"/>
      <c r="BQ46"/>
      <c r="BR46"/>
    </row>
    <row r="47" spans="1:73" ht="18" customHeight="1" x14ac:dyDescent="0.35">
      <c r="A47" s="340">
        <f t="shared" si="54"/>
        <v>46334</v>
      </c>
      <c r="B47" s="341">
        <f t="shared" ref="B47" si="130">IF(ISBLANK(A47),"",A47+2)</f>
        <v>46336</v>
      </c>
      <c r="C47" s="275"/>
      <c r="D47" s="359">
        <f>IF(AL47=0,0,VLOOKUP(Y47,Control!$G$41:$J$44,4,FALSE))</f>
        <v>9</v>
      </c>
      <c r="E47" s="516">
        <f t="shared" si="109"/>
        <v>46345</v>
      </c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351" t="e">
        <f>INDEX('[2]Flat Rates 2025'!$A:$DZ,MATCH(V47,'[2]Flat Rates 2025'!$A:$A,0),MATCH(Z47,'[2]Flat Rates 2025'!$A$1:$DZ$1,0))</f>
        <v>#N/A</v>
      </c>
      <c r="U47" s="351">
        <f>INDEX(Control!$E$17:$J$21,MATCH(Y47,Control!$E$17:$E$21,0),MATCH(V47,Control!$E$17:$J$17,0))</f>
        <v>0.5</v>
      </c>
      <c r="V47" s="351" t="s">
        <v>45</v>
      </c>
      <c r="W47" s="344">
        <f>INDEX(Vessel_Minimum_MT,MATCH(Y47,Control!$E$11:$E$15,0),MATCH(V47,Control!$E$11:$J$11,0))</f>
        <v>270000</v>
      </c>
      <c r="X47" s="352">
        <f>AB47/Control!$D$84</f>
        <v>267073.15503432491</v>
      </c>
      <c r="Y47" s="346" t="s">
        <v>25</v>
      </c>
      <c r="Z47" s="682" t="s">
        <v>43</v>
      </c>
      <c r="AA47" s="343" t="str">
        <f>AA43</f>
        <v>USGC/KOREA</v>
      </c>
      <c r="AB47" s="344">
        <f>+$AB$46</f>
        <v>2075000</v>
      </c>
      <c r="AC47" s="345">
        <v>1001</v>
      </c>
      <c r="AD47" s="683">
        <f>AD43-350000</f>
        <v>54650000</v>
      </c>
      <c r="AE47" s="355">
        <f t="shared" si="46"/>
        <v>26.337349397590362</v>
      </c>
      <c r="AF47" s="768">
        <f>$AF$43</f>
        <v>5</v>
      </c>
      <c r="AG47" s="808">
        <f>INDEX(Control!$AS$36:$AY$118,MATCH(WTI!$Z47,Control!$AS$36:$AS$118,0),MATCH(WTI!AG$23,Control!$AS$36:$AY$36,0))</f>
        <v>-9.5</v>
      </c>
      <c r="AH47" s="809">
        <f>INDEX(Control!$AS$36:$AY$118,MATCH(WTI!$Z47,Control!$AS$36:$AS$118,0),MATCH(WTI!AH$23,Control!$AS$36:$AY$36,0))</f>
        <v>30.5</v>
      </c>
      <c r="AI47" s="813">
        <f>AF47*VLOOKUP($Y47,Control!$F$75:$H$87,3,FALSE)/$AB47</f>
        <v>1.0843373493975903</v>
      </c>
      <c r="AJ47" s="791">
        <f>IF($AK$3=1,$AG47*Control!$D$77,0)</f>
        <v>0</v>
      </c>
      <c r="AK47" s="792">
        <f>IF($AK$4=1,$AH47*Control!$D$77,0)</f>
        <v>0.39760301369863016</v>
      </c>
      <c r="AL47" s="357">
        <f>IF(((AB47-VLOOKUP(Y47,Control!$J$76:$K$80,2,FALSE))/Control!$D$85)&lt;=0,0,ROUNDUP(((AB47-VLOOKUP(Y47,Control!$J$76:$K$80,2,FALSE))/Control!$D$85),0)*Control!$H$90/AB47)</f>
        <v>2.6746987951807228</v>
      </c>
      <c r="AM47" s="357">
        <f>IF(I47="Corpus Christi",Control!$D$76,0)</f>
        <v>0</v>
      </c>
      <c r="AN47" s="357">
        <v>0</v>
      </c>
      <c r="AO47" s="357">
        <f>Control!$D$78</f>
        <v>0</v>
      </c>
      <c r="AP47" s="357">
        <f>Control!$D$79</f>
        <v>6.7299999999999999E-2</v>
      </c>
      <c r="AQ47" s="357"/>
      <c r="AR47" s="357"/>
      <c r="AS47" s="357">
        <f>IF(AND(Y47="VLCC",Control!$K$79=1200000),Control!$D$83/AB47,0)</f>
        <v>0</v>
      </c>
      <c r="AT47" s="357"/>
      <c r="AU47" s="355">
        <f t="shared" si="128"/>
        <v>4.2239391582769441</v>
      </c>
      <c r="AV47" s="684">
        <f t="shared" si="48"/>
        <v>30.561288555867307</v>
      </c>
      <c r="AW47" s="684">
        <f t="shared" si="113"/>
        <v>2.9</v>
      </c>
      <c r="AX47" s="684">
        <f t="shared" si="114"/>
        <v>-3.98</v>
      </c>
      <c r="AY47" s="684">
        <f t="shared" si="115"/>
        <v>9.7826086956521729E-2</v>
      </c>
      <c r="AZ47" s="688">
        <f t="shared" si="116"/>
        <v>25.979114642823827</v>
      </c>
      <c r="BB47" s="350"/>
      <c r="BC47" s="359">
        <v>48</v>
      </c>
      <c r="BD47" s="341">
        <f t="shared" si="117"/>
        <v>46393</v>
      </c>
      <c r="BE47" s="341">
        <f t="shared" si="57"/>
        <v>46395</v>
      </c>
      <c r="BF47" s="758" t="s">
        <v>157</v>
      </c>
      <c r="BG47" s="700">
        <f t="shared" si="52"/>
        <v>46387</v>
      </c>
      <c r="BH47" s="492">
        <f t="shared" si="53"/>
        <v>46387</v>
      </c>
      <c r="BI47" s="735">
        <f t="shared" si="120"/>
        <v>54650</v>
      </c>
      <c r="BJ47" s="735">
        <v>0</v>
      </c>
      <c r="BK47" s="735">
        <f t="shared" si="121"/>
        <v>2250</v>
      </c>
      <c r="BL47" s="735">
        <f t="shared" si="122"/>
        <v>5550</v>
      </c>
      <c r="BM47" s="735">
        <f t="shared" si="123"/>
        <v>825.02625342465763</v>
      </c>
      <c r="BN47" s="735">
        <f t="shared" si="124"/>
        <v>139.64750000000166</v>
      </c>
      <c r="BO47"/>
      <c r="BP47"/>
      <c r="BQ47"/>
      <c r="BR47"/>
    </row>
    <row r="48" spans="1:73" ht="18.5" x14ac:dyDescent="0.45">
      <c r="A48" s="439"/>
      <c r="B48" s="439"/>
      <c r="D48"/>
      <c r="E48" s="520"/>
      <c r="F48"/>
      <c r="G48"/>
      <c r="H48"/>
      <c r="I48"/>
      <c r="J48"/>
      <c r="K48"/>
      <c r="L48"/>
      <c r="M48"/>
      <c r="N48"/>
      <c r="O48"/>
      <c r="P48"/>
      <c r="Q48"/>
      <c r="T48" s="410"/>
      <c r="U48" s="410"/>
      <c r="V48" s="410"/>
      <c r="W48" s="410"/>
      <c r="X48" s="410"/>
      <c r="Y48" s="1002" t="s">
        <v>219</v>
      </c>
      <c r="Z48" s="1003"/>
      <c r="AA48" s="1003"/>
      <c r="AB48" s="1003"/>
      <c r="AC48" s="1003"/>
      <c r="AD48" s="1003"/>
      <c r="AE48" s="1003"/>
      <c r="AF48" s="1003"/>
      <c r="AG48" s="1003"/>
      <c r="AH48" s="1003"/>
      <c r="AI48" s="1003"/>
      <c r="AJ48" s="1003"/>
      <c r="AK48" s="1003"/>
      <c r="AL48" s="1003"/>
      <c r="AM48" s="1003"/>
      <c r="AN48" s="1003"/>
      <c r="AO48" s="1003"/>
      <c r="AP48" s="1003"/>
      <c r="AQ48" s="1003"/>
      <c r="AR48" s="1003"/>
      <c r="AS48" s="1003"/>
      <c r="AT48" s="1003"/>
      <c r="AU48" s="1003"/>
      <c r="AV48" s="1003"/>
      <c r="AW48" s="1003"/>
      <c r="AX48" s="1003"/>
      <c r="AY48" s="1003"/>
      <c r="AZ48" s="1004"/>
      <c r="BC48"/>
      <c r="BD48"/>
      <c r="BE48"/>
      <c r="BF48"/>
      <c r="BG48"/>
      <c r="BH48"/>
      <c r="BI48" s="735"/>
      <c r="BJ48" s="735"/>
      <c r="BK48" s="735"/>
      <c r="BL48" s="735"/>
      <c r="BM48" s="735"/>
      <c r="BN48" s="735"/>
      <c r="BO48"/>
      <c r="BP48"/>
      <c r="BQ48"/>
      <c r="BR48"/>
    </row>
    <row r="49" spans="1:74" ht="31" customHeight="1" thickBot="1" x14ac:dyDescent="0.4">
      <c r="A49" s="1015" t="s">
        <v>167</v>
      </c>
      <c r="B49" s="1016"/>
      <c r="D49" s="137" t="str">
        <f>D23</f>
        <v>STS Time</v>
      </c>
      <c r="E49" s="521" t="str">
        <f>E23</f>
        <v>Depart</v>
      </c>
      <c r="F49"/>
      <c r="G49"/>
      <c r="H49"/>
      <c r="I49"/>
      <c r="J49"/>
      <c r="K49"/>
      <c r="L49"/>
      <c r="M49"/>
      <c r="N49"/>
      <c r="O49"/>
      <c r="P49"/>
      <c r="Q49"/>
      <c r="T49" s="120" t="s">
        <v>172</v>
      </c>
      <c r="U49" s="120" t="s">
        <v>2</v>
      </c>
      <c r="V49" s="120" t="s">
        <v>173</v>
      </c>
      <c r="W49" s="152" t="str">
        <f>$W$9</f>
        <v>Vessel MT</v>
      </c>
      <c r="X49" s="120" t="s">
        <v>175</v>
      </c>
      <c r="Y49" s="571" t="s">
        <v>176</v>
      </c>
      <c r="Z49" s="571" t="s">
        <v>177</v>
      </c>
      <c r="AA49" s="571" t="s">
        <v>178</v>
      </c>
      <c r="AB49" s="571" t="s">
        <v>200</v>
      </c>
      <c r="AC49" s="578" t="str">
        <f>$AC$9</f>
        <v xml:space="preserve">Current WS Rate </v>
      </c>
      <c r="AD49" s="128" t="s">
        <v>202</v>
      </c>
      <c r="AE49" s="579" t="s">
        <v>182</v>
      </c>
      <c r="AF49" s="580" t="s">
        <v>183</v>
      </c>
      <c r="AG49" s="578" t="str">
        <f>AG9</f>
        <v>ATA TVM</v>
      </c>
      <c r="AH49" s="578" t="str">
        <f>AH9</f>
        <v>Ext. TVM</v>
      </c>
      <c r="AI49" s="580" t="s">
        <v>184</v>
      </c>
      <c r="AJ49" s="783" t="str">
        <f t="shared" ref="AJ49:AK49" si="131">AG49</f>
        <v>ATA TVM</v>
      </c>
      <c r="AK49" s="783" t="str">
        <f t="shared" si="131"/>
        <v>Ext. TVM</v>
      </c>
      <c r="AL49" s="580" t="str">
        <f>AL9</f>
        <v>STS</v>
      </c>
      <c r="AM49" s="580" t="s">
        <v>186</v>
      </c>
      <c r="AN49" s="580" t="s">
        <v>187</v>
      </c>
      <c r="AO49" s="580" t="s">
        <v>141</v>
      </c>
      <c r="AP49" s="580" t="s">
        <v>188</v>
      </c>
      <c r="AQ49" s="580" t="s">
        <v>17</v>
      </c>
      <c r="AR49" s="580" t="s">
        <v>18</v>
      </c>
      <c r="AS49" s="580" t="s">
        <v>189</v>
      </c>
      <c r="AT49" s="580" t="s">
        <v>152</v>
      </c>
      <c r="AU49" s="579" t="s">
        <v>208</v>
      </c>
      <c r="AV49" s="579" t="s">
        <v>209</v>
      </c>
      <c r="AW49" s="579" t="s">
        <v>210</v>
      </c>
      <c r="AX49" s="579" t="str">
        <f>AX9</f>
        <v>Basis</v>
      </c>
      <c r="AY49" s="579"/>
      <c r="AZ49" s="137" t="s">
        <v>211</v>
      </c>
      <c r="BC49" s="137" t="s">
        <v>195</v>
      </c>
      <c r="BD49" s="522" t="s">
        <v>196</v>
      </c>
      <c r="BE49" s="522"/>
      <c r="BF49" s="487" t="str">
        <f>BF23</f>
        <v>Basis</v>
      </c>
      <c r="BG49" s="581" t="str">
        <f>BG9</f>
        <v>Pricing Month</v>
      </c>
      <c r="BH49" s="581" t="str">
        <f>BH9</f>
        <v>Delivery Month</v>
      </c>
      <c r="BI49" s="735" t="s">
        <v>203</v>
      </c>
      <c r="BJ49" s="735"/>
      <c r="BK49" s="735" t="s">
        <v>137</v>
      </c>
      <c r="BL49" s="2" t="s">
        <v>98</v>
      </c>
      <c r="BM49" s="735" t="s">
        <v>185</v>
      </c>
      <c r="BN49" s="735" t="s">
        <v>215</v>
      </c>
      <c r="BO49"/>
      <c r="BP49"/>
      <c r="BQ49"/>
      <c r="BR49"/>
      <c r="BU49"/>
      <c r="BV49"/>
    </row>
    <row r="50" spans="1:74" ht="18" customHeight="1" x14ac:dyDescent="0.35">
      <c r="A50" s="82">
        <f t="shared" ref="A50:B50" si="132">A38</f>
        <v>46334</v>
      </c>
      <c r="B50" s="82">
        <f t="shared" si="132"/>
        <v>46336</v>
      </c>
      <c r="D50" s="153">
        <f>IF(AL50=0,0,VLOOKUP(Y50,Control!$G$41:$J$44,4,FALSE))</f>
        <v>0</v>
      </c>
      <c r="E50" s="518">
        <f t="shared" ref="E50:E51" si="133">AVERAGE(A50:B50)+D50</f>
        <v>46335</v>
      </c>
      <c r="F50"/>
      <c r="G50"/>
      <c r="H50"/>
      <c r="I50"/>
      <c r="J50"/>
      <c r="K50"/>
      <c r="L50"/>
      <c r="M50"/>
      <c r="N50"/>
      <c r="O50"/>
      <c r="P50"/>
      <c r="Q50"/>
      <c r="T50" s="140">
        <f>INDEX([2]Sheet1!$F$2:$AG$5,MATCH($V50,[2]Sheet1!$F$2:$F$5,0),MATCH(Z50,[2]Sheet1!$F$2:$AG$2,0))</f>
        <v>11.63</v>
      </c>
      <c r="U50" s="138">
        <f>INDEX(Control!$E$17:$J$21,MATCH(Y50,Control!$E$17:$E$21,0),MATCH(V50,Control!$E$17:$J$17,0))</f>
        <v>0</v>
      </c>
      <c r="V50" s="138" t="s">
        <v>45</v>
      </c>
      <c r="W50" s="116">
        <f>INDEX(Vessel_Minimum_MT,MATCH(Y50,Control!$E$11:$E$15,0),MATCH(V50,Control!$E$11:$J$11,0))</f>
        <v>70000</v>
      </c>
      <c r="X50" s="140">
        <f>AB50/Control!$D$84</f>
        <v>90096.96796338672</v>
      </c>
      <c r="Y50" s="867" t="s">
        <v>23</v>
      </c>
      <c r="Z50" s="212" t="s">
        <v>13</v>
      </c>
      <c r="AA50" s="212" t="str">
        <f t="shared" ref="AA50:AA51" si="134">IF(Z50=V50,"",CONCATENATE(CONCATENATE(VLOOKUP(V50,Zones,2,FALSE),"/",VLOOKUP(Z50,Zones,2,FALSE))))</f>
        <v>USGC/ECC</v>
      </c>
      <c r="AB50" s="312">
        <v>700000</v>
      </c>
      <c r="AC50" s="214">
        <v>70</v>
      </c>
      <c r="AD50" s="262">
        <f>AD52+10</f>
        <v>930</v>
      </c>
      <c r="AE50" s="225">
        <f>IF(AC50&gt;1000,IF(AD50=0,AC50,AD50)/AB50,((W50*T50*(IF(AD50=0,AC50,AD50)/100))+IF(X50&lt;W50,0,(X50-W50)*T50*IF(AD50=0,AC50,AD50)/100*U50))/AB50)</f>
        <v>10.815900000000001</v>
      </c>
      <c r="AF50" s="214">
        <v>0</v>
      </c>
      <c r="AG50" s="214">
        <f>AG52</f>
        <v>-10</v>
      </c>
      <c r="AH50" s="214">
        <f>AH52</f>
        <v>0</v>
      </c>
      <c r="AI50" s="227">
        <f>AF50*VLOOKUP($Y50,Control!$F$75:$H$87,3,FALSE)/$AB50</f>
        <v>0</v>
      </c>
      <c r="AJ50" s="226">
        <f>IF($AK$3=1,$AG50*Control!$D$77,0)</f>
        <v>0</v>
      </c>
      <c r="AK50" s="226">
        <f>IF($AK$4=1,$AH50*Control!$D$77,0)</f>
        <v>0</v>
      </c>
      <c r="AL50" s="227"/>
      <c r="AM50" s="227"/>
      <c r="AN50" s="227"/>
      <c r="AO50" s="227"/>
      <c r="AP50" s="227"/>
      <c r="AQ50" s="227">
        <f>IF(INDEX(Control!$Q$3:$S$62,MATCH($Z50,Control!$Q$3:$Q$62,0),MATCH(AQ$9,Control!$Q$3:$S$3,0))=1,Control!$D$81*Control!$E$81,0)</f>
        <v>0</v>
      </c>
      <c r="AR50" s="227">
        <f>IF(INDEX(Control!$Q$3:$S$62,MATCH($Z50,Control!$Q$3:$Q$62,0),MATCH(AR$9,Control!$Q$3:$S$3,0))=1,INDEX(Control!$AK$3:$AO$69,MATCH(WTI!Z50,Control!$AK$3:$AK$29,0),MATCH(WTI!Y50,Control!$AK$3:$AO$3,0))/AB50*1000,0)</f>
        <v>0</v>
      </c>
      <c r="AS50" s="227">
        <f>52000/AB50</f>
        <v>7.4285714285714288E-2</v>
      </c>
      <c r="AT50" s="227"/>
      <c r="AU50" s="225">
        <f>SUM(AI50:AT50)</f>
        <v>7.4285714285714288E-2</v>
      </c>
      <c r="AV50" s="225">
        <f t="shared" ref="AV50:AV51" si="135">+R50+AE50+AU50</f>
        <v>10.890185714285716</v>
      </c>
      <c r="AW50" s="225">
        <f t="shared" ref="AW50:AW51" si="136">IF((MONTH(A50)=MONTH(BH50)),0,IF(((MONTH(BH50))-MONTH(A50))+12*YEAR(BG50)-YEAR(A50)&gt;1,SUMIFS($BD$4:$BH$4,$BD$3:$BH$3,"&lt;="&amp;EOMONTH(BG50,-1),$BD$3:$BH$3,"&gt;="&amp;EOMONTH(A50,0)),VLOOKUP("Spreads",$BC$3:$BH$4,MATCH(EOMONTH(A50,0),$BC$3:$BH$3,0))))</f>
        <v>0</v>
      </c>
      <c r="AX50" s="225"/>
      <c r="AY50" s="225"/>
      <c r="AZ50" s="882">
        <f t="shared" ref="AZ50:AZ51" si="137">$Y$3+AV50+AW50+AX50</f>
        <v>7.290185714285716</v>
      </c>
      <c r="BC50" s="229">
        <f>+INDEX('[1]Transit Time'!$A:$DZ,MATCH(V50,'[1]Transit Time'!$A:$A,0),MATCH(Z50,'[1]Transit Time'!$A$1:$DZ$1,0))</f>
        <v>8</v>
      </c>
      <c r="BD50" s="230">
        <f t="shared" ref="BD50:BD66" si="138">IF(ISBLANK(A50),"",$BC50+E50)</f>
        <v>46343</v>
      </c>
      <c r="BE50" s="230">
        <f t="shared" ref="BE50:BE51" si="139">BD50+2</f>
        <v>46345</v>
      </c>
      <c r="BF50" s="230" t="str">
        <f>BF51</f>
        <v>ICE Brent</v>
      </c>
      <c r="BG50" s="230">
        <f t="shared" ref="BG50" si="140">EOMONTH(BE50,0)</f>
        <v>46356</v>
      </c>
      <c r="BH50" s="489">
        <f t="shared" ref="BH50" si="141">BG50</f>
        <v>46356</v>
      </c>
      <c r="BI50" s="735">
        <f t="shared" ref="BI50:BI66" si="142">(AE50*AB50)/1000</f>
        <v>7571.130000000001</v>
      </c>
      <c r="BJ50" s="735">
        <v>0</v>
      </c>
      <c r="BK50" s="735">
        <f t="shared" ref="BK50:BK66" si="143">AI50*AB50/1000</f>
        <v>0</v>
      </c>
      <c r="BL50" s="735">
        <f t="shared" ref="BL50:BL66" si="144">AL50*AB50/1000</f>
        <v>0</v>
      </c>
      <c r="BM50" s="735">
        <f t="shared" ref="BM50:BM66" si="145">(AJ50+AK50)*AB50/1000</f>
        <v>0</v>
      </c>
      <c r="BN50" s="735">
        <f t="shared" ref="BN50:BN66" si="146">(AU50-AI50-AJ50-AK50-AL50)*AB50/1000</f>
        <v>52</v>
      </c>
      <c r="BO50"/>
      <c r="BP50"/>
      <c r="BQ50"/>
      <c r="BR50"/>
      <c r="BU50"/>
      <c r="BV50"/>
    </row>
    <row r="51" spans="1:74" ht="16" thickBot="1" x14ac:dyDescent="0.4">
      <c r="A51" s="163">
        <f t="shared" ref="A51" si="147">+$A$10</f>
        <v>46334</v>
      </c>
      <c r="B51" s="163">
        <f t="shared" ref="B51" si="148">IF(ISBLANK(A51),"",A51+2)</f>
        <v>46336</v>
      </c>
      <c r="D51" s="153">
        <f>IF(AL51=0,0,VLOOKUP(Y51,Control!$G$41:$J$44,4,FALSE))</f>
        <v>0</v>
      </c>
      <c r="E51" s="518">
        <f t="shared" si="133"/>
        <v>46335</v>
      </c>
      <c r="F51"/>
      <c r="G51"/>
      <c r="H51"/>
      <c r="I51"/>
      <c r="J51"/>
      <c r="K51"/>
      <c r="L51"/>
      <c r="M51"/>
      <c r="N51"/>
      <c r="O51"/>
      <c r="P51"/>
      <c r="Q51"/>
      <c r="T51" s="140">
        <f>INDEX([2]Sheet1!$F$2:$AG$5,MATCH($V51,[2]Sheet1!$F$2:$F$5,0),MATCH(Z51,[2]Sheet1!$F$2:$AG$2,0))</f>
        <v>11.63</v>
      </c>
      <c r="U51" s="138">
        <v>0</v>
      </c>
      <c r="V51" s="138" t="s">
        <v>45</v>
      </c>
      <c r="W51" s="116">
        <f>INDEX(Vessel_Minimum_MT,MATCH(Y51,Control!$E$11:$E$15,0),MATCH(V51,Control!$E$11:$J$11,0))</f>
        <v>145000</v>
      </c>
      <c r="X51" s="140">
        <f>AB51/Control!$D$84</f>
        <v>128709.9542334096</v>
      </c>
      <c r="Y51" s="895" t="s">
        <v>24</v>
      </c>
      <c r="Z51" s="874" t="s">
        <v>13</v>
      </c>
      <c r="AA51" s="874" t="str">
        <f t="shared" si="134"/>
        <v>USGC/ECC</v>
      </c>
      <c r="AB51" s="875">
        <v>1000000</v>
      </c>
      <c r="AC51" s="876"/>
      <c r="AD51" s="877">
        <f>AD61+5</f>
        <v>555</v>
      </c>
      <c r="AE51" s="878">
        <f t="shared" ref="AE51" si="149">IF(AC51&gt;1000,IF(AD51=0,AC51,AD51)/AB51,((W51*T51*(IF(AD51=0,AC51,AD51)/100))+IF(X51&lt;W51,0,(X51-W51)*T51*IF(AD51=0,AC51,AD51)/100*U51))/AB51)</f>
        <v>9.3592425000000006</v>
      </c>
      <c r="AF51" s="875">
        <v>0</v>
      </c>
      <c r="AG51" s="879">
        <f t="shared" ref="AG51:AH51" si="150">AG50</f>
        <v>-10</v>
      </c>
      <c r="AH51" s="879">
        <f t="shared" si="150"/>
        <v>0</v>
      </c>
      <c r="AI51" s="880">
        <f>ABH397*VLOOKUP($Y51,Control!$F$75:$H$79,3,FALSE)/$AB51</f>
        <v>0</v>
      </c>
      <c r="AJ51" s="881">
        <f>IF(AG51&lt;0,0,$AG51*Control!$D$77)</f>
        <v>0</v>
      </c>
      <c r="AK51" s="881"/>
      <c r="AL51" s="880"/>
      <c r="AM51" s="880">
        <f>IF(I51="Corpus Christi",Control!$D$76,0)</f>
        <v>0</v>
      </c>
      <c r="AN51" s="880">
        <v>0</v>
      </c>
      <c r="AO51" s="880">
        <f>Control!$D$78</f>
        <v>0</v>
      </c>
      <c r="AP51" s="880"/>
      <c r="AQ51" s="880">
        <f>IF(INDEX(Control!$Q$3:$S$62,MATCH($Z51,Control!$Q$3:$Q$62,0),MATCH(AQ$9,Control!$Q$3:$S$3,0))=1,Control!$D$81*Control!$E$81,0)</f>
        <v>0</v>
      </c>
      <c r="AR51" s="880">
        <f>IF(INDEX(Control!$Q$3:$S$62,MATCH($Z51,Control!$Q$3:$Q$62,0),MATCH(AR$9,Control!$Q$3:$S$3,0))=1,Control!$D$82/$AB51,0)</f>
        <v>0</v>
      </c>
      <c r="AS51" s="880">
        <f>52000/AB51</f>
        <v>5.1999999999999998E-2</v>
      </c>
      <c r="AT51" s="880">
        <f>IF(AND(L51="Chiriqui Grande",V51="Puerto Armuelles"),Control!$G$93,0)</f>
        <v>0</v>
      </c>
      <c r="AU51" s="878">
        <f t="shared" ref="AU51" si="151">SUM(AI51:AT51)</f>
        <v>5.1999999999999998E-2</v>
      </c>
      <c r="AV51" s="878">
        <f t="shared" si="135"/>
        <v>9.4112425000000002</v>
      </c>
      <c r="AW51" s="878">
        <f t="shared" si="136"/>
        <v>0</v>
      </c>
      <c r="AX51" s="878"/>
      <c r="AY51" s="878"/>
      <c r="AZ51" s="893">
        <f t="shared" si="137"/>
        <v>5.8112425000000005</v>
      </c>
      <c r="BC51" s="153">
        <f>+INDEX('[1]Transit Time'!$A:$DZ,MATCH(V51,'[1]Transit Time'!$A:$A,0),MATCH(Z51,'[1]Transit Time'!$A$1:$DZ$1,0))</f>
        <v>8</v>
      </c>
      <c r="BD51" s="163">
        <f t="shared" si="138"/>
        <v>46343</v>
      </c>
      <c r="BE51" s="163">
        <f t="shared" si="139"/>
        <v>46345</v>
      </c>
      <c r="BF51" s="163" t="s">
        <v>155</v>
      </c>
      <c r="BG51" s="163">
        <f t="shared" ref="BG51" si="152">BH51</f>
        <v>46356</v>
      </c>
      <c r="BH51" s="490">
        <f t="shared" ref="BH51" si="153">EOMONTH(BE51,0)</f>
        <v>46356</v>
      </c>
      <c r="BI51" s="735">
        <f t="shared" si="142"/>
        <v>9359.2425000000003</v>
      </c>
      <c r="BJ51" s="735">
        <v>0</v>
      </c>
      <c r="BK51" s="735">
        <f t="shared" si="143"/>
        <v>0</v>
      </c>
      <c r="BL51" s="735">
        <f t="shared" si="144"/>
        <v>0</v>
      </c>
      <c r="BM51" s="735">
        <f t="shared" si="145"/>
        <v>0</v>
      </c>
      <c r="BN51" s="735">
        <f t="shared" si="146"/>
        <v>52</v>
      </c>
      <c r="BO51"/>
      <c r="BP51"/>
      <c r="BQ51"/>
      <c r="BR51"/>
      <c r="BT51" s="34"/>
    </row>
    <row r="52" spans="1:74" ht="18" customHeight="1" thickTop="1" thickBot="1" x14ac:dyDescent="0.4">
      <c r="A52" s="82">
        <f>A9</f>
        <v>46334</v>
      </c>
      <c r="B52" s="82">
        <f>B9</f>
        <v>46336</v>
      </c>
      <c r="D52" s="153">
        <f>IF(AL52=0,0,VLOOKUP(Y52,Control!$G$41:$J$44,4,FALSE))</f>
        <v>0</v>
      </c>
      <c r="E52" s="518">
        <f t="shared" ref="E52:E57" si="154">AVERAGE(A52:B52)+D52</f>
        <v>46335</v>
      </c>
      <c r="F52"/>
      <c r="G52"/>
      <c r="H52"/>
      <c r="I52"/>
      <c r="J52"/>
      <c r="K52"/>
      <c r="L52"/>
      <c r="M52"/>
      <c r="N52"/>
      <c r="O52"/>
      <c r="P52"/>
      <c r="Q52"/>
      <c r="T52" s="140">
        <f>INDEX([2]Sheet1!$F$2:$AG$5,MATCH($V52,[2]Sheet1!$F$2:$F$5,0),MATCH(Z52,[2]Sheet1!$F$2:$AG$2,0))</f>
        <v>21.51</v>
      </c>
      <c r="U52" s="138">
        <f>INDEX(Control!$E$17:$J$21,MATCH(Y52,Control!$E$17:$E$21,0),MATCH(V52,Control!$E$17:$J$17,0))</f>
        <v>0</v>
      </c>
      <c r="V52" s="138" t="s">
        <v>45</v>
      </c>
      <c r="W52" s="116">
        <f>INDEX(Vessel_Minimum_MT,MATCH(Y52,Control!$E$11:$E$15,0),MATCH(V52,Control!$E$11:$J$11,0))</f>
        <v>70000</v>
      </c>
      <c r="X52" s="140">
        <f>AB52/Control!$D$84</f>
        <v>90096.96796338672</v>
      </c>
      <c r="Y52" s="868" t="s">
        <v>23</v>
      </c>
      <c r="Z52" s="869" t="s">
        <v>42</v>
      </c>
      <c r="AA52" s="53" t="str">
        <f t="shared" ref="AA52:AA57" si="155">IF(Z52=V52,"",CONCATENATE(CONCATENATE(VLOOKUP(V52,Zones,2,FALSE),"/",VLOOKUP(Z52,Zones,2,FALSE))))</f>
        <v>USGC/Nsea</v>
      </c>
      <c r="AB52" s="870">
        <v>700000</v>
      </c>
      <c r="AC52" s="54">
        <v>70</v>
      </c>
      <c r="AD52" s="871">
        <v>920</v>
      </c>
      <c r="AE52" s="199">
        <f>IF(AC52&gt;1000,IF(AD52=0,AC52,AD52)/AB52,((W52*T52*(IF(AD52=0,AC52,AD52)/100))+IF(X52&lt;W52,0,(X52-W52)*T52*IF(AD52=0,AC52,AD52)/100*U52))/AB52)</f>
        <v>19.789199999999997</v>
      </c>
      <c r="AF52" s="54"/>
      <c r="AG52" s="872">
        <f>INDEX(Control!$AS$36:$AY$118,MATCH(WTI!$Z52,Control!$AS$36:$AS$118,0),MATCH(WTI!AG$23,Control!$AS$36:$AY$36,0))</f>
        <v>-10</v>
      </c>
      <c r="AH52" s="872">
        <f>INDEX(Control!$AS$36:$AY$118,MATCH(WTI!$Z52,Control!$AS$36:$AS$118,0),MATCH(WTI!AH$23,Control!$AS$36:$AY$36,0))</f>
        <v>0</v>
      </c>
      <c r="AI52" s="482">
        <f>AF52*VLOOKUP($Y52,Control!$F$75:$H$87,3,FALSE)/$AB52</f>
        <v>0</v>
      </c>
      <c r="AJ52" s="305">
        <f>IF($AK$3=1,$AG52*Control!$D$77,0)</f>
        <v>0</v>
      </c>
      <c r="AK52" s="305">
        <f>IF($AK$4=1,$AH52*Control!$D$77,0)</f>
        <v>0</v>
      </c>
      <c r="AL52" s="482"/>
      <c r="AM52" s="482"/>
      <c r="AN52" s="482"/>
      <c r="AO52" s="482"/>
      <c r="AP52" s="482">
        <f>Control!$D$79</f>
        <v>6.7299999999999999E-2</v>
      </c>
      <c r="AQ52" s="482">
        <f>IF(INDEX(Control!$Q$3:$S$62,MATCH($Z52,Control!$Q$3:$Q$62,0),MATCH(AQ$9,Control!$Q$3:$S$3,0))=1,Control!$D$81*Control!$E$81,0)</f>
        <v>0</v>
      </c>
      <c r="AR52" s="482">
        <f>IF(INDEX(Control!$Q$3:$S$62,MATCH($Z52,Control!$Q$3:$Q$62,0),MATCH(AR$9,Control!$Q$3:$S$3,0))=1,INDEX(Control!$AK$3:$AO$69,MATCH(WTI!Z52,Control!$AK$3:$AK$29,0),MATCH(WTI!Y52,Control!$AK$3:$AO$3,0))/AB52*1000,0)</f>
        <v>0</v>
      </c>
      <c r="AS52" s="482">
        <f>93980/AB52</f>
        <v>0.13425714285714285</v>
      </c>
      <c r="AT52" s="482"/>
      <c r="AU52" s="199">
        <f>SUM(AI52:AT52)</f>
        <v>0.20155714285714285</v>
      </c>
      <c r="AV52" s="199">
        <f t="shared" ref="AV52:AV58" si="156">+R52+AE52+AU52</f>
        <v>19.990757142857142</v>
      </c>
      <c r="AW52" s="873">
        <f t="shared" ref="AW52:AW66" si="157">IF((MONTH(A52)=MONTH(BH52)),0,IF(((MONTH(BH52))-MONTH(A52))+12*YEAR(BG52)-YEAR(A52)&gt;1,SUMIFS($BD$4:$BH$4,$BD$3:$BH$3,"&lt;="&amp;EOMONTH(BG52,-1),$BD$3:$BH$3,"&gt;="&amp;EOMONTH(A52,0)),VLOOKUP("Spreads",$BC$3:$BH$4,MATCH(EOMONTH(A52,0),$BC$3:$BH$3,0))))</f>
        <v>0</v>
      </c>
      <c r="AX52" s="199">
        <f t="shared" ref="AX52:AX66" si="158">+IF(BF52="Dated",-INDEX($BC$3:$BH$6,MATCH(BF52,$BC$3:$BC$6,0),MATCH(BG52,$BC$3:$BH$3,0)),INDEX($BC$3:$BH$6,MATCH(BF52,$BC$3:$BC$6,0),MATCH(BG52,$BC$3:$BH$3,0)))</f>
        <v>-5.28</v>
      </c>
      <c r="AY52" s="199">
        <f t="shared" ref="AY52:AY66" si="159">1/INDEX($BC$3:$BH$7,MATCH("CMA",$BC$3:$BC$7,0),MATCH(BG52,$BC$3:$BH$3,0))*INDEX($BC$3:$BH$7,MATCH("Spreads",$BC$3:$BC$7,0),MATCH(BG52,$BC$3:$BH$3,0))</f>
        <v>0.13181818181818181</v>
      </c>
      <c r="AZ52" s="894">
        <f t="shared" ref="AZ52:AZ66" si="160">$Y$3+AV52+AW52+AX52+AY52</f>
        <v>11.24257532467532</v>
      </c>
      <c r="BC52" s="153">
        <f>+INDEX('[1]Transit Time'!$A:$DZ,MATCH(V52,'[1]Transit Time'!$A:$A,0),MATCH(Z52,'[1]Transit Time'!$A$1:$DZ$1,0))</f>
        <v>17</v>
      </c>
      <c r="BD52" s="163">
        <f t="shared" si="138"/>
        <v>46352</v>
      </c>
      <c r="BE52" s="163">
        <f t="shared" ref="BE52:BE57" si="161">BD52+2</f>
        <v>46354</v>
      </c>
      <c r="BF52" s="163" t="s">
        <v>157</v>
      </c>
      <c r="BG52" s="490">
        <f t="shared" ref="BG52:BG55" si="162">EOMONTH(BE52,0)</f>
        <v>46356</v>
      </c>
      <c r="BH52" s="490">
        <f t="shared" ref="BH52:BH53" si="163">BG52</f>
        <v>46356</v>
      </c>
      <c r="BI52" s="735">
        <f t="shared" si="142"/>
        <v>13852.439999999999</v>
      </c>
      <c r="BJ52" s="735">
        <v>0</v>
      </c>
      <c r="BK52" s="735">
        <f t="shared" si="143"/>
        <v>0</v>
      </c>
      <c r="BL52" s="735">
        <f t="shared" si="144"/>
        <v>0</v>
      </c>
      <c r="BM52" s="735">
        <f t="shared" si="145"/>
        <v>0</v>
      </c>
      <c r="BN52" s="735">
        <f t="shared" si="146"/>
        <v>141.09</v>
      </c>
      <c r="BO52"/>
      <c r="BP52"/>
      <c r="BQ52"/>
      <c r="BR52"/>
      <c r="BU52"/>
      <c r="BV52"/>
    </row>
    <row r="53" spans="1:74" ht="18" customHeight="1" x14ac:dyDescent="0.35">
      <c r="A53" s="230">
        <f t="shared" ref="A53:A66" si="164">+$A$10</f>
        <v>46334</v>
      </c>
      <c r="B53" s="230">
        <f t="shared" ref="B53:B57" si="165">IF(ISBLANK(A53),"",A53+2)</f>
        <v>46336</v>
      </c>
      <c r="D53" s="229">
        <f>IF(AL53=0,0,VLOOKUP(Y53,Control!$G$41:$J$44,4,FALSE))</f>
        <v>0</v>
      </c>
      <c r="E53" s="519">
        <f t="shared" si="154"/>
        <v>46335</v>
      </c>
      <c r="F53"/>
      <c r="G53"/>
      <c r="H53"/>
      <c r="I53"/>
      <c r="J53"/>
      <c r="K53"/>
      <c r="L53"/>
      <c r="M53"/>
      <c r="N53"/>
      <c r="O53"/>
      <c r="P53"/>
      <c r="Q53"/>
      <c r="T53" s="222">
        <f>INDEX([2]Sheet1!$F$2:$AG$5,MATCH($V53,[2]Sheet1!$F$2:$F$5,0),MATCH(Z53,[2]Sheet1!$F$2:$AG$2,0))</f>
        <v>20.65</v>
      </c>
      <c r="U53" s="220">
        <f>INDEX(Control!$E$17:$J$21,MATCH(Y53,Control!$E$17:$E$21,0),MATCH(V53,Control!$E$17:$J$17,0))</f>
        <v>0</v>
      </c>
      <c r="V53" s="220" t="s">
        <v>45</v>
      </c>
      <c r="W53" s="213">
        <f>INDEX(Vessel_Minimum_MT,MATCH(Y53,Control!$E$11:$E$15,0),MATCH(V53,Control!$E$11:$J$11,0))</f>
        <v>70000</v>
      </c>
      <c r="X53" s="222">
        <f>AB53/Control!$D$84</f>
        <v>90096.96796338672</v>
      </c>
      <c r="Y53" s="867" t="s">
        <v>23</v>
      </c>
      <c r="Z53" s="212" t="s">
        <v>47</v>
      </c>
      <c r="AA53" s="212" t="str">
        <f t="shared" si="155"/>
        <v>USGC/Nsea</v>
      </c>
      <c r="AB53" s="312">
        <f>AB52</f>
        <v>700000</v>
      </c>
      <c r="AC53" s="214">
        <v>70</v>
      </c>
      <c r="AD53" s="262">
        <f>AD52+5</f>
        <v>925</v>
      </c>
      <c r="AE53" s="225">
        <f>IF(AC53&gt;1000,IF(AD53=0,AC53,AD53)/AB53,((W53*T53*(IF(AD53=0,AC53,AD53)/100))+IF(X53&lt;W53,0,(X53-W53)*T53*IF(AD53=0,AC53,AD53)/100*U53))/AB53)</f>
        <v>19.10125</v>
      </c>
      <c r="AF53" s="214">
        <f t="shared" ref="AF53:AF61" si="166">$AF$52</f>
        <v>0</v>
      </c>
      <c r="AG53" s="214">
        <f>INDEX(Control!$AS$36:$AY$118,MATCH(WTI!$Z53,Control!$AS$36:$AS$118,0),MATCH(WTI!AG$23,Control!$AS$36:$AY$36,0))</f>
        <v>-10</v>
      </c>
      <c r="AH53" s="214">
        <f>INDEX(Control!$AS$36:$AY$118,MATCH(WTI!$Z53,Control!$AS$36:$AS$118,0),MATCH(WTI!AH$23,Control!$AS$36:$AY$36,0))</f>
        <v>0</v>
      </c>
      <c r="AI53" s="227">
        <f>AF53*VLOOKUP($Y53,Control!$F$75:$H$87,3,FALSE)/$AB53</f>
        <v>0</v>
      </c>
      <c r="AJ53" s="226">
        <f>IF($AK$3=1,$AG53*Control!$D$77,0)</f>
        <v>0</v>
      </c>
      <c r="AK53" s="226">
        <f>IF($AK$4=1,$AH53*Control!$D$77,0)</f>
        <v>0</v>
      </c>
      <c r="AL53" s="227">
        <f>IF(((AB53-VLOOKUP(Y53,Control!$J$76:$K$80,2,FALSE))/Control!$D$85)&lt;=0,0,ROUNDUP(((AB53-VLOOKUP(Y53,Control!$J$76:$K$80,2,FALSE))/Control!$D$85),0)*Control!$H$90/AB53)</f>
        <v>0</v>
      </c>
      <c r="AM53" s="227">
        <f>IF(I53="Corpus Christi",Control!$D$76,0)</f>
        <v>0</v>
      </c>
      <c r="AN53" s="227">
        <v>0</v>
      </c>
      <c r="AO53" s="227">
        <f>Control!$D$78</f>
        <v>0</v>
      </c>
      <c r="AP53" s="227">
        <f>Control!$D$79</f>
        <v>6.7299999999999999E-2</v>
      </c>
      <c r="AQ53" s="227">
        <f>IF(INDEX(Control!$Q$3:$S$62,MATCH($Z53,Control!$Q$3:$Q$62,0),MATCH(AQ$9,Control!$Q$3:$S$3,0))=1,Control!$D$81*Control!$E$81,0)</f>
        <v>0</v>
      </c>
      <c r="AR53" s="227">
        <f>IF(INDEX(Control!$Q$3:$S$62,MATCH($Z53,Control!$Q$3:$Q$62,0),MATCH(AR$9,Control!$Q$3:$S$3,0))=1,INDEX(Control!$AK$3:$AO$69,MATCH(WTI!Z53,Control!$AK$3:$AK$29,0),MATCH(WTI!Y53,Control!$AK$3:$AO$3,0))/AB53*1000,0)</f>
        <v>0</v>
      </c>
      <c r="AS53" s="227" t="str">
        <f t="shared" ref="AS53:AS57" si="167">IF(Z53="Rotterdam",0.114,"")</f>
        <v/>
      </c>
      <c r="AT53" s="227"/>
      <c r="AU53" s="225">
        <f t="shared" ref="AU53" si="168">SUM(AI53:AT53)</f>
        <v>6.7299999999999999E-2</v>
      </c>
      <c r="AV53" s="225">
        <f t="shared" si="156"/>
        <v>19.16855</v>
      </c>
      <c r="AW53" s="225">
        <f t="shared" si="157"/>
        <v>0</v>
      </c>
      <c r="AX53" s="225">
        <f t="shared" si="158"/>
        <v>-5.28</v>
      </c>
      <c r="AY53" s="225">
        <f t="shared" si="159"/>
        <v>0.13181818181818181</v>
      </c>
      <c r="AZ53" s="882">
        <f t="shared" si="160"/>
        <v>10.420368181818182</v>
      </c>
      <c r="BB53" s="220"/>
      <c r="BC53" s="229">
        <f>+INDEX('[1]Transit Time'!$A:$DZ,MATCH(V53,'[1]Transit Time'!$A:$A,0),MATCH(Z53,'[1]Transit Time'!$A$1:$DZ$1,0))</f>
        <v>17</v>
      </c>
      <c r="BD53" s="230">
        <f t="shared" si="138"/>
        <v>46352</v>
      </c>
      <c r="BE53" s="230">
        <f t="shared" si="161"/>
        <v>46354</v>
      </c>
      <c r="BF53" s="230" t="s">
        <v>157</v>
      </c>
      <c r="BG53" s="489">
        <f t="shared" si="162"/>
        <v>46356</v>
      </c>
      <c r="BH53" s="489">
        <f t="shared" si="163"/>
        <v>46356</v>
      </c>
      <c r="BI53" s="735">
        <f t="shared" si="142"/>
        <v>13370.875</v>
      </c>
      <c r="BJ53" s="735">
        <v>0</v>
      </c>
      <c r="BK53" s="735">
        <f t="shared" si="143"/>
        <v>0</v>
      </c>
      <c r="BL53" s="735">
        <f t="shared" si="144"/>
        <v>0</v>
      </c>
      <c r="BM53" s="735">
        <f t="shared" si="145"/>
        <v>0</v>
      </c>
      <c r="BN53" s="735">
        <f t="shared" si="146"/>
        <v>47.11</v>
      </c>
      <c r="BO53"/>
      <c r="BP53"/>
      <c r="BQ53"/>
      <c r="BR53"/>
      <c r="BU53"/>
      <c r="BV53"/>
    </row>
    <row r="54" spans="1:74" ht="18" customHeight="1" x14ac:dyDescent="0.35">
      <c r="A54" s="163">
        <f t="shared" si="164"/>
        <v>46334</v>
      </c>
      <c r="B54" s="163">
        <f t="shared" si="165"/>
        <v>46336</v>
      </c>
      <c r="D54" s="153">
        <f>IF(AL54=0,0,VLOOKUP(Y54,Control!$G$41:$J$44,4,FALSE))</f>
        <v>0</v>
      </c>
      <c r="E54" s="518">
        <f t="shared" si="154"/>
        <v>46335</v>
      </c>
      <c r="F54"/>
      <c r="G54"/>
      <c r="H54"/>
      <c r="I54"/>
      <c r="J54"/>
      <c r="K54"/>
      <c r="L54"/>
      <c r="M54"/>
      <c r="N54"/>
      <c r="O54"/>
      <c r="P54"/>
      <c r="Q54"/>
      <c r="S54" s="866"/>
      <c r="T54" s="975">
        <f>INDEX([2]Sheet1!$F$2:$AG$5,MATCH($V54,[2]Sheet1!$F$2:$F$5,0),MATCH(Z54,[2]Sheet1!$F$2:$AG$2,0))</f>
        <v>19.41</v>
      </c>
      <c r="U54" s="138">
        <f>INDEX(Control!$E$17:$J$21,MATCH(Y54,Control!$E$17:$E$21,0),MATCH(V54,Control!$E$17:$J$17,0))</f>
        <v>0</v>
      </c>
      <c r="V54" s="138" t="s">
        <v>45</v>
      </c>
      <c r="W54" s="116">
        <f>INDEX(Vessel_Minimum_MT,MATCH(Y54,Control!$E$11:$E$15,0),MATCH(V54,Control!$E$11:$J$11,0))</f>
        <v>70000</v>
      </c>
      <c r="X54" s="140">
        <f>AB54/Control!$D$84</f>
        <v>90096.96796338672</v>
      </c>
      <c r="Y54" s="861" t="s">
        <v>23</v>
      </c>
      <c r="Z54" s="142" t="s">
        <v>39</v>
      </c>
      <c r="AA54" s="142" t="str">
        <f t="shared" si="155"/>
        <v>USGC/Nsea</v>
      </c>
      <c r="AB54" s="141">
        <f t="shared" ref="AB54:AB58" si="169">AB53</f>
        <v>700000</v>
      </c>
      <c r="AC54" s="567">
        <v>70</v>
      </c>
      <c r="AD54" s="568">
        <f t="shared" ref="AD54:AD58" si="170">$AD$52</f>
        <v>920</v>
      </c>
      <c r="AE54" s="149">
        <f>IF(AC54&gt;1000,IF(AD54=0,AC54,AD54)/AB54,((W54*T54*(IF(AD54=0,AC54,AD54)/100))+IF(X54&lt;W54,0,(X54-W54)*T54*IF(AD54=0,AC54,AD54)/100*U54))/AB54)</f>
        <v>17.857199999999999</v>
      </c>
      <c r="AF54" s="141">
        <f t="shared" si="166"/>
        <v>0</v>
      </c>
      <c r="AG54" s="155">
        <f>INDEX(Control!$AS$36:$AY$118,MATCH(WTI!$Z54,Control!$AS$36:$AS$118,0),MATCH(WTI!AG$23,Control!$AS$36:$AY$36,0))</f>
        <v>-10</v>
      </c>
      <c r="AH54" s="155">
        <f>INDEX(Control!$AS$36:$AY$118,MATCH(WTI!$Z54,Control!$AS$36:$AS$118,0),MATCH(WTI!AH$23,Control!$AS$36:$AY$36,0))</f>
        <v>0</v>
      </c>
      <c r="AI54" s="143">
        <f>AF54*VLOOKUP($Y54,Control!$F$75:$H$87,3,FALSE)/$AB54</f>
        <v>0</v>
      </c>
      <c r="AJ54" s="144">
        <f>IF($AK$3=1,$AG54*Control!$D$77,0)</f>
        <v>0</v>
      </c>
      <c r="AK54" s="144">
        <f>IF($AK$4=1,$AH54*Control!$D$77,0)</f>
        <v>0</v>
      </c>
      <c r="AL54" s="143">
        <f>IF(((AB54-VLOOKUP(Y54,Control!$J$76:$K$80,2,FALSE))/Control!$D$85)&lt;=0,0,ROUNDUP(((AB54-VLOOKUP(Y54,Control!$J$76:$K$80,2,FALSE))/Control!$D$85),0)*Control!$H$90/AB54)</f>
        <v>0</v>
      </c>
      <c r="AM54" s="143">
        <f>IF(I54="Corpus Christi",Control!$D$76,0)</f>
        <v>0</v>
      </c>
      <c r="AN54" s="143">
        <v>0</v>
      </c>
      <c r="AO54" s="143">
        <f>Control!$D$78</f>
        <v>0</v>
      </c>
      <c r="AP54" s="143">
        <f>Control!$D$79</f>
        <v>6.7299999999999999E-2</v>
      </c>
      <c r="AQ54" s="143">
        <f>IF(INDEX(Control!$Q$3:$S$62,MATCH($Z54,Control!$Q$3:$Q$62,0),MATCH(AQ$9,Control!$Q$3:$S$3,0))=1,Control!$D$81*Control!$E$81,0)</f>
        <v>0</v>
      </c>
      <c r="AR54" s="143">
        <f>IF(INDEX(Control!$Q$3:$S$62,MATCH($Z54,Control!$Q$3:$Q$62,0),MATCH(AR$9,Control!$Q$3:$S$3,0))=1,INDEX(Control!$AK$3:$AO$69,MATCH(WTI!Z54,Control!$AK$3:$AK$29,0),MATCH(WTI!Y54,Control!$AK$3:$AO$3,0))/AB54*1000,0)</f>
        <v>0</v>
      </c>
      <c r="AS54" s="143" t="str">
        <f t="shared" si="167"/>
        <v/>
      </c>
      <c r="AT54" s="143"/>
      <c r="AU54" s="149">
        <f t="shared" ref="AU54" si="171">SUM(AI54:AT54)</f>
        <v>6.7299999999999999E-2</v>
      </c>
      <c r="AV54" s="149">
        <f t="shared" si="156"/>
        <v>17.924499999999998</v>
      </c>
      <c r="AW54" s="149">
        <f t="shared" si="157"/>
        <v>0</v>
      </c>
      <c r="AX54" s="149">
        <f t="shared" si="158"/>
        <v>-5.28</v>
      </c>
      <c r="AY54" s="149">
        <f t="shared" si="159"/>
        <v>0.13181818181818181</v>
      </c>
      <c r="AZ54" s="883">
        <f t="shared" si="160"/>
        <v>9.1763181818181803</v>
      </c>
      <c r="BC54" s="153">
        <f>+INDEX('[1]Transit Time'!$A:$DZ,MATCH(V54,'[1]Transit Time'!$A:$A,0),MATCH(Z54,'[1]Transit Time'!$A$1:$DZ$1,0))</f>
        <v>17</v>
      </c>
      <c r="BD54" s="163">
        <f t="shared" si="138"/>
        <v>46352</v>
      </c>
      <c r="BE54" s="163">
        <f t="shared" si="161"/>
        <v>46354</v>
      </c>
      <c r="BF54" s="163" t="s">
        <v>157</v>
      </c>
      <c r="BG54" s="490">
        <f t="shared" si="162"/>
        <v>46356</v>
      </c>
      <c r="BH54" s="490">
        <f t="shared" ref="BH54:BH57" si="172">BG54</f>
        <v>46356</v>
      </c>
      <c r="BI54" s="735">
        <f t="shared" si="142"/>
        <v>12500.04</v>
      </c>
      <c r="BJ54" s="735">
        <v>0</v>
      </c>
      <c r="BK54" s="735">
        <f t="shared" si="143"/>
        <v>0</v>
      </c>
      <c r="BL54" s="735">
        <f t="shared" si="144"/>
        <v>0</v>
      </c>
      <c r="BM54" s="735">
        <f t="shared" si="145"/>
        <v>0</v>
      </c>
      <c r="BN54" s="735">
        <f t="shared" si="146"/>
        <v>47.11</v>
      </c>
      <c r="BO54"/>
      <c r="BP54"/>
      <c r="BQ54"/>
      <c r="BR54"/>
      <c r="BU54"/>
      <c r="BV54"/>
    </row>
    <row r="55" spans="1:74" ht="18" customHeight="1" x14ac:dyDescent="0.35">
      <c r="A55" s="230">
        <f t="shared" si="164"/>
        <v>46334</v>
      </c>
      <c r="B55" s="230">
        <f t="shared" ref="B55" si="173">IF(ISBLANK(A55),"",A55+2)</f>
        <v>46336</v>
      </c>
      <c r="D55" s="229">
        <f>IF(AL55=0,0,VLOOKUP(Y55,Control!$G$41:$J$44,4,FALSE))</f>
        <v>0</v>
      </c>
      <c r="E55" s="519">
        <f t="shared" si="154"/>
        <v>46335</v>
      </c>
      <c r="F55"/>
      <c r="G55"/>
      <c r="H55"/>
      <c r="I55"/>
      <c r="J55"/>
      <c r="K55"/>
      <c r="L55"/>
      <c r="M55"/>
      <c r="N55"/>
      <c r="O55"/>
      <c r="P55"/>
      <c r="Q55"/>
      <c r="S55" s="866"/>
      <c r="T55" s="222">
        <f>INDEX([2]Sheet1!$F$2:$AG$5,MATCH($V55,[2]Sheet1!$F$2:$F$5,0),MATCH(Z55,[2]Sheet1!$F$2:$AG$2,0))</f>
        <v>24.91</v>
      </c>
      <c r="U55" s="220">
        <f>INDEX(Control!$E$17:$J$21,MATCH(Y55,Control!$E$17:$E$21,0),MATCH(V55,Control!$E$17:$J$17,0))</f>
        <v>0</v>
      </c>
      <c r="V55" s="220" t="s">
        <v>45</v>
      </c>
      <c r="W55" s="213">
        <f>INDEX(Vessel_Minimum_MT,MATCH(Y55,Control!$E$11:$E$15,0),MATCH(V55,Control!$E$11:$J$11,0))</f>
        <v>70000</v>
      </c>
      <c r="X55" s="222">
        <f>AB55/Control!$D$84</f>
        <v>90096.96796338672</v>
      </c>
      <c r="Y55" s="862" t="s">
        <v>23</v>
      </c>
      <c r="Z55" s="212" t="s">
        <v>82</v>
      </c>
      <c r="AA55" s="212" t="str">
        <f t="shared" ref="AA55" si="174">IF(Z55=V55,"",CONCATENATE(CONCATENATE(VLOOKUP(V55,Zones,2,FALSE),"/",VLOOKUP(Z55,Zones,2,FALSE))))</f>
        <v>USGC/Nsea</v>
      </c>
      <c r="AB55" s="214">
        <f t="shared" si="169"/>
        <v>700000</v>
      </c>
      <c r="AC55" s="214">
        <v>70</v>
      </c>
      <c r="AD55" s="224">
        <f>$AD$52+10</f>
        <v>930</v>
      </c>
      <c r="AE55" s="225">
        <f t="shared" ref="AE55:AE57" si="175">IF(AC55&gt;1000,IF(AD55=0,AC55,AD55)/AB55,((W55*T55*(IF(AD55=0,AC55,AD55)/100))+IF(X55&lt;W55,0,(X55-W55)*T55*IF(AD55=0,AC55,AD55)/100*U55))/AB55)</f>
        <v>23.166300000000003</v>
      </c>
      <c r="AF55" s="214">
        <f t="shared" si="166"/>
        <v>0</v>
      </c>
      <c r="AG55" s="214">
        <f>INDEX(Control!$AS$36:$AY$118,MATCH(WTI!$Z55,Control!$AS$36:$AS$118,0),MATCH(WTI!AG$23,Control!$AS$36:$AY$36,0))</f>
        <v>-10</v>
      </c>
      <c r="AH55" s="214">
        <f>INDEX(Control!$AS$36:$AY$118,MATCH(WTI!$Z55,Control!$AS$36:$AS$118,0),MATCH(WTI!AH$23,Control!$AS$36:$AY$36,0))</f>
        <v>0</v>
      </c>
      <c r="AI55" s="227">
        <f>AF55*VLOOKUP($Y55,Control!$F$75:$H$87,3,FALSE)/$AB55</f>
        <v>0</v>
      </c>
      <c r="AJ55" s="226">
        <f>IF($AK$3=1,$AG55*Control!$D$77,0)</f>
        <v>0</v>
      </c>
      <c r="AK55" s="226">
        <f>IF($AK$4=1,$AH55*Control!$D$77,0)</f>
        <v>0</v>
      </c>
      <c r="AL55" s="227">
        <f>IF(((AB55-VLOOKUP(Y55,Control!$J$76:$K$80,2,FALSE))/Control!$D$85)&lt;=0,0,ROUNDUP(((AB55-VLOOKUP(Y55,Control!$J$76:$K$80,2,FALSE))/Control!$D$85),0)*Control!$H$90/AB55)</f>
        <v>0</v>
      </c>
      <c r="AM55" s="227">
        <f>IF(I55="Corpus Christi",Control!$D$76,0)</f>
        <v>0</v>
      </c>
      <c r="AN55" s="227">
        <v>0</v>
      </c>
      <c r="AO55" s="227">
        <f>Control!$D$78</f>
        <v>0</v>
      </c>
      <c r="AP55" s="227">
        <f>Control!$D$79</f>
        <v>6.7299999999999999E-2</v>
      </c>
      <c r="AQ55" s="227">
        <f>IF(INDEX(Control!$Q$3:$S$62,MATCH($Z55,Control!$Q$3:$Q$62,0),MATCH(AQ$9,Control!$Q$3:$S$3,0))=1,Control!$D$81*Control!$E$81,0)</f>
        <v>0.2</v>
      </c>
      <c r="AR55" s="227">
        <f>IF(INDEX(Control!$Q$3:$S$62,MATCH($Z55,Control!$Q$3:$Q$62,0),MATCH(AR$9,Control!$Q$3:$S$3,0))=1,INDEX(Control!$AK$3:$AO$69,MATCH(WTI!Z55,Control!$AK$3:$AK$29,0),MATCH(WTI!Y55,Control!$AK$3:$AO$3,0))/AB55*1000,0)</f>
        <v>0</v>
      </c>
      <c r="AS55" s="227" t="str">
        <f t="shared" si="167"/>
        <v/>
      </c>
      <c r="AT55" s="227"/>
      <c r="AU55" s="225">
        <f t="shared" ref="AU55" si="176">SUM(AI55:AT55)</f>
        <v>0.26729999999999998</v>
      </c>
      <c r="AV55" s="225">
        <f t="shared" si="156"/>
        <v>23.433600000000002</v>
      </c>
      <c r="AW55" s="225">
        <f t="shared" si="157"/>
        <v>0</v>
      </c>
      <c r="AX55" s="225">
        <f t="shared" si="158"/>
        <v>-5.28</v>
      </c>
      <c r="AY55" s="225">
        <f t="shared" si="159"/>
        <v>0.13181818181818181</v>
      </c>
      <c r="AZ55" s="882">
        <f t="shared" si="160"/>
        <v>14.68541818181818</v>
      </c>
      <c r="BB55" s="220"/>
      <c r="BC55" s="229">
        <f>+INDEX('[1]Transit Time'!$A:$DZ,MATCH(V55,'[1]Transit Time'!$A:$A,0),MATCH(Z55,'[1]Transit Time'!$A$1:$DZ$1,0))</f>
        <v>19</v>
      </c>
      <c r="BD55" s="230">
        <f t="shared" si="138"/>
        <v>46354</v>
      </c>
      <c r="BE55" s="230">
        <f t="shared" si="161"/>
        <v>46356</v>
      </c>
      <c r="BF55" s="230" t="s">
        <v>157</v>
      </c>
      <c r="BG55" s="489">
        <f t="shared" si="162"/>
        <v>46356</v>
      </c>
      <c r="BH55" s="489">
        <f t="shared" si="172"/>
        <v>46356</v>
      </c>
      <c r="BI55" s="735">
        <f t="shared" si="142"/>
        <v>16216.410000000002</v>
      </c>
      <c r="BJ55" s="735">
        <v>0</v>
      </c>
      <c r="BK55" s="735">
        <f t="shared" si="143"/>
        <v>0</v>
      </c>
      <c r="BL55" s="735">
        <f t="shared" si="144"/>
        <v>0</v>
      </c>
      <c r="BM55" s="735">
        <f t="shared" si="145"/>
        <v>0</v>
      </c>
      <c r="BN55" s="735">
        <f t="shared" si="146"/>
        <v>187.11</v>
      </c>
      <c r="BO55"/>
      <c r="BP55"/>
      <c r="BQ55"/>
      <c r="BR55"/>
      <c r="BU55"/>
      <c r="BV55"/>
    </row>
    <row r="56" spans="1:74" ht="18" customHeight="1" x14ac:dyDescent="0.35">
      <c r="A56" s="163">
        <f t="shared" si="164"/>
        <v>46334</v>
      </c>
      <c r="B56" s="163">
        <f t="shared" si="165"/>
        <v>46336</v>
      </c>
      <c r="D56" s="153">
        <f>IF(AL56=0,0,VLOOKUP(Y56,Control!$G$41:$J$44,4,FALSE))</f>
        <v>0</v>
      </c>
      <c r="E56" s="518">
        <f t="shared" si="154"/>
        <v>46335</v>
      </c>
      <c r="F56"/>
      <c r="G56"/>
      <c r="H56"/>
      <c r="I56"/>
      <c r="J56"/>
      <c r="K56"/>
      <c r="L56"/>
      <c r="M56"/>
      <c r="N56"/>
      <c r="O56"/>
      <c r="P56"/>
      <c r="Q56"/>
      <c r="S56" s="866"/>
      <c r="T56" s="975">
        <f>INDEX([2]Sheet1!$F$2:$AG$5,MATCH($V56,[2]Sheet1!$F$2:$F$5,0),MATCH(Z56,[2]Sheet1!$F$2:$AG$2,0))</f>
        <v>24.91</v>
      </c>
      <c r="U56" s="138">
        <f>INDEX(Control!$E$17:$J$21,MATCH(Y56,Control!$E$17:$E$21,0),MATCH(V56,Control!$E$17:$J$17,0))</f>
        <v>0</v>
      </c>
      <c r="V56" s="138" t="s">
        <v>45</v>
      </c>
      <c r="W56" s="116">
        <f>INDEX(Vessel_Minimum_MT,MATCH(Y56,Control!$E$11:$E$15,0),MATCH(V56,Control!$E$11:$J$11,0))</f>
        <v>70000</v>
      </c>
      <c r="X56" s="140">
        <f>AB56/Control!$D$84</f>
        <v>90096.96796338672</v>
      </c>
      <c r="Y56" s="863" t="s">
        <v>23</v>
      </c>
      <c r="Z56" s="142" t="s">
        <v>29</v>
      </c>
      <c r="AA56" s="142" t="str">
        <f t="shared" si="155"/>
        <v>USGC/Med</v>
      </c>
      <c r="AB56" s="141">
        <f t="shared" si="169"/>
        <v>700000</v>
      </c>
      <c r="AC56" s="141">
        <v>70</v>
      </c>
      <c r="AD56" s="49">
        <f t="shared" si="170"/>
        <v>920</v>
      </c>
      <c r="AE56" s="149">
        <f t="shared" si="175"/>
        <v>22.917199999999998</v>
      </c>
      <c r="AF56" s="15">
        <f t="shared" si="166"/>
        <v>0</v>
      </c>
      <c r="AG56" s="155">
        <f>INDEX(Control!$AS$36:$AY$118,MATCH(WTI!$Z56,Control!$AS$36:$AS$118,0),MATCH(WTI!AG$23,Control!$AS$36:$AY$36,0))</f>
        <v>-10</v>
      </c>
      <c r="AH56" s="155">
        <f>INDEX(Control!$AS$36:$AY$118,MATCH(WTI!$Z56,Control!$AS$36:$AS$118,0),MATCH(WTI!AH$23,Control!$AS$36:$AY$36,0))</f>
        <v>0</v>
      </c>
      <c r="AI56" s="143">
        <f>AF56*VLOOKUP($Y56,Control!$F$75:$H$87,3,FALSE)/$AB56</f>
        <v>0</v>
      </c>
      <c r="AJ56" s="144">
        <f>IF($AK$3=1,$AG56*Control!$D$77,0)</f>
        <v>0</v>
      </c>
      <c r="AK56" s="144">
        <f>IF($AK$4=1,$AH56*Control!$D$77,0)</f>
        <v>0</v>
      </c>
      <c r="AL56" s="143">
        <f>IF(((AB56-VLOOKUP(Y56,Control!$J$76:$K$80,2,FALSE))/Control!$D$85)&lt;=0,0,ROUNDUP(((AB56-VLOOKUP(Y56,Control!$J$76:$K$80,2,FALSE))/Control!$D$85),0)*Control!$H$90/AB56)</f>
        <v>0</v>
      </c>
      <c r="AM56" s="143">
        <f>IF(I56="Corpus Christi",Control!$D$76,0)</f>
        <v>0</v>
      </c>
      <c r="AN56" s="143">
        <v>0</v>
      </c>
      <c r="AO56" s="143">
        <f>Control!$D$78</f>
        <v>0</v>
      </c>
      <c r="AP56" s="143">
        <f>Control!$D$79</f>
        <v>6.7299999999999999E-2</v>
      </c>
      <c r="AQ56" s="143">
        <f>IF(INDEX(Control!$Q$3:$S$62,MATCH($Z56,Control!$Q$3:$Q$62,0),MATCH(AQ$9,Control!$Q$3:$S$3,0))=1,Control!$D$81*Control!$E$81,0)</f>
        <v>0</v>
      </c>
      <c r="AR56" s="143">
        <f>IF(INDEX(Control!$Q$3:$S$62,MATCH($Z56,Control!$Q$3:$Q$62,0),MATCH(AR$9,Control!$Q$3:$S$3,0))=1,INDEX(Control!$AK$3:$AO$69,MATCH(WTI!Z56,Control!$AK$3:$AK$29,0),MATCH(WTI!Y56,Control!$AK$3:$AO$3,0))/AB56*1000,0)</f>
        <v>0</v>
      </c>
      <c r="AS56" s="143" t="str">
        <f t="shared" si="167"/>
        <v/>
      </c>
      <c r="AT56" s="143"/>
      <c r="AU56" s="149">
        <f t="shared" ref="AU56:AU57" si="177">SUM(AI56:AT56)</f>
        <v>6.7299999999999999E-2</v>
      </c>
      <c r="AV56" s="149">
        <f t="shared" si="156"/>
        <v>22.984499999999997</v>
      </c>
      <c r="AW56" s="149">
        <f t="shared" si="157"/>
        <v>0</v>
      </c>
      <c r="AX56" s="149">
        <f t="shared" si="158"/>
        <v>-5.28</v>
      </c>
      <c r="AY56" s="149">
        <f t="shared" si="159"/>
        <v>0.13181818181818181</v>
      </c>
      <c r="AZ56" s="883">
        <f t="shared" si="160"/>
        <v>14.236318181818175</v>
      </c>
      <c r="BC56" s="153">
        <f>+INDEX('[1]Transit Time'!$A:$DZ,MATCH(V56,'[1]Transit Time'!$A:$A,0),MATCH(Z56,'[1]Transit Time'!$A$1:$DZ$1,0))</f>
        <v>19.5</v>
      </c>
      <c r="BD56" s="163">
        <f t="shared" si="138"/>
        <v>46354.5</v>
      </c>
      <c r="BE56" s="163">
        <f t="shared" si="161"/>
        <v>46356.5</v>
      </c>
      <c r="BF56" s="163" t="s">
        <v>157</v>
      </c>
      <c r="BG56" s="490">
        <f t="shared" ref="BG56:BG57" si="178">EOMONTH(BE56,0)</f>
        <v>46356</v>
      </c>
      <c r="BH56" s="490">
        <f t="shared" si="172"/>
        <v>46356</v>
      </c>
      <c r="BI56" s="735">
        <f t="shared" si="142"/>
        <v>16042.039999999997</v>
      </c>
      <c r="BJ56" s="735">
        <v>0</v>
      </c>
      <c r="BK56" s="735">
        <f t="shared" si="143"/>
        <v>0</v>
      </c>
      <c r="BL56" s="735">
        <f t="shared" si="144"/>
        <v>0</v>
      </c>
      <c r="BM56" s="735">
        <f t="shared" si="145"/>
        <v>0</v>
      </c>
      <c r="BN56" s="735">
        <f t="shared" si="146"/>
        <v>47.11</v>
      </c>
      <c r="BO56"/>
      <c r="BP56"/>
      <c r="BQ56"/>
      <c r="BR56"/>
      <c r="BU56"/>
      <c r="BV56"/>
    </row>
    <row r="57" spans="1:74" ht="18" customHeight="1" x14ac:dyDescent="0.35">
      <c r="A57" s="230">
        <f t="shared" si="164"/>
        <v>46334</v>
      </c>
      <c r="B57" s="230">
        <f t="shared" si="165"/>
        <v>46336</v>
      </c>
      <c r="D57" s="229">
        <f>IF(AL57=0,0,VLOOKUP(Y57,Control!$G$41:$J$44,4,FALSE))</f>
        <v>0</v>
      </c>
      <c r="E57" s="519">
        <f t="shared" si="154"/>
        <v>46335</v>
      </c>
      <c r="F57"/>
      <c r="G57"/>
      <c r="H57"/>
      <c r="I57"/>
      <c r="J57"/>
      <c r="K57"/>
      <c r="L57"/>
      <c r="M57"/>
      <c r="N57"/>
      <c r="O57"/>
      <c r="P57"/>
      <c r="Q57"/>
      <c r="S57" s="866"/>
      <c r="T57" s="222">
        <f>INDEX([2]Sheet1!$F$2:$AG$5,MATCH($V57,[2]Sheet1!$F$2:$F$5,0),MATCH(Z57,[2]Sheet1!$F$2:$AG$2,0))</f>
        <v>24.11</v>
      </c>
      <c r="U57" s="220">
        <f>INDEX(Control!$E$17:$J$21,MATCH(Y57,Control!$E$17:$E$21,0),MATCH(V57,Control!$E$17:$J$17,0))</f>
        <v>0</v>
      </c>
      <c r="V57" s="220" t="s">
        <v>45</v>
      </c>
      <c r="W57" s="213">
        <f>INDEX(Vessel_Minimum_MT,MATCH(Y57,Control!$E$11:$E$15,0),MATCH(V57,Control!$E$11:$J$11,0))</f>
        <v>70000</v>
      </c>
      <c r="X57" s="222">
        <f>AB57/Control!$D$84</f>
        <v>90096.96796338672</v>
      </c>
      <c r="Y57" s="860" t="s">
        <v>23</v>
      </c>
      <c r="Z57" s="212" t="s">
        <v>92</v>
      </c>
      <c r="AA57" s="212" t="str">
        <f t="shared" si="155"/>
        <v>USGC/Nsea</v>
      </c>
      <c r="AB57" s="214">
        <f t="shared" si="169"/>
        <v>700000</v>
      </c>
      <c r="AC57" s="214"/>
      <c r="AD57" s="224">
        <f t="shared" si="170"/>
        <v>920</v>
      </c>
      <c r="AE57" s="225">
        <f t="shared" si="175"/>
        <v>22.181199999999997</v>
      </c>
      <c r="AF57" s="304">
        <f t="shared" si="166"/>
        <v>0</v>
      </c>
      <c r="AG57" s="214">
        <f>INDEX(Control!$AS$36:$AY$118,MATCH(WTI!$Z57,Control!$AS$36:$AS$118,0),MATCH(WTI!AG$23,Control!$AS$36:$AY$36,0))</f>
        <v>-10</v>
      </c>
      <c r="AH57" s="214">
        <f>INDEX(Control!$AS$36:$AY$118,MATCH(WTI!$Z57,Control!$AS$36:$AS$118,0),MATCH(WTI!AH$23,Control!$AS$36:$AY$36,0))</f>
        <v>0</v>
      </c>
      <c r="AI57" s="227">
        <f>AF57*VLOOKUP($Y57,Control!$F$75:$H$87,3,FALSE)/$AB57</f>
        <v>0</v>
      </c>
      <c r="AJ57" s="226">
        <f>IF($AK$3=1,$AG57*Control!$D$77,0)</f>
        <v>0</v>
      </c>
      <c r="AK57" s="226">
        <f>IF($AK$4=1,$AH57*Control!$D$77,0)</f>
        <v>0</v>
      </c>
      <c r="AL57" s="227">
        <f>IF(((AB57-VLOOKUP(Y57,Control!$J$76:$K$80,2,FALSE))/Control!$D$85)&lt;=0,0,ROUNDUP(((AB57-VLOOKUP(Y57,Control!$J$76:$K$80,2,FALSE))/Control!$D$85),0)*Control!$H$90/AB57)</f>
        <v>0</v>
      </c>
      <c r="AM57" s="227">
        <f>IF(I57="Corpus Christi",Control!$D$76,0)</f>
        <v>0</v>
      </c>
      <c r="AN57" s="227">
        <v>0</v>
      </c>
      <c r="AO57" s="227">
        <f>Control!$D$78</f>
        <v>0</v>
      </c>
      <c r="AP57" s="227">
        <f>Control!$D$79</f>
        <v>6.7299999999999999E-2</v>
      </c>
      <c r="AQ57" s="227">
        <f>IF(INDEX(Control!$Q$3:$S$62,MATCH($Z57,Control!$Q$3:$Q$62,0),MATCH(AQ$9,Control!$Q$3:$S$3,0))=1,Control!$D$81*Control!$E$81,0)</f>
        <v>0</v>
      </c>
      <c r="AR57" s="227">
        <f>IF(INDEX(Control!$Q$3:$S$62,MATCH($Z57,Control!$Q$3:$Q$62,0),MATCH(AR$9,Control!$Q$3:$S$3,0))=1,INDEX(Control!$AK$3:$AO$69,MATCH(WTI!Z57,Control!$AK$3:$AK$29,0),MATCH(WTI!Y57,Control!$AK$3:$AO$3,0))/AB57*1000,0)</f>
        <v>0</v>
      </c>
      <c r="AS57" s="227" t="str">
        <f t="shared" si="167"/>
        <v/>
      </c>
      <c r="AT57" s="227"/>
      <c r="AU57" s="225">
        <f t="shared" si="177"/>
        <v>6.7299999999999999E-2</v>
      </c>
      <c r="AV57" s="225">
        <f t="shared" si="156"/>
        <v>22.248499999999996</v>
      </c>
      <c r="AW57" s="225">
        <f t="shared" si="157"/>
        <v>0</v>
      </c>
      <c r="AX57" s="225">
        <f t="shared" si="158"/>
        <v>-5.28</v>
      </c>
      <c r="AY57" s="225">
        <f t="shared" si="159"/>
        <v>0.13181818181818181</v>
      </c>
      <c r="AZ57" s="882">
        <f t="shared" si="160"/>
        <v>13.500318181818175</v>
      </c>
      <c r="BB57" s="220"/>
      <c r="BC57" s="229">
        <f>+INDEX('[1]Transit Time'!$A:$DZ,MATCH(V57,'[1]Transit Time'!$A:$A,0),MATCH(Z57,'[1]Transit Time'!$A$1:$DZ$1,0))</f>
        <v>18</v>
      </c>
      <c r="BD57" s="230">
        <f t="shared" si="138"/>
        <v>46353</v>
      </c>
      <c r="BE57" s="230">
        <f t="shared" si="161"/>
        <v>46355</v>
      </c>
      <c r="BF57" s="230" t="s">
        <v>157</v>
      </c>
      <c r="BG57" s="489">
        <f t="shared" si="178"/>
        <v>46356</v>
      </c>
      <c r="BH57" s="489">
        <f t="shared" si="172"/>
        <v>46356</v>
      </c>
      <c r="BI57" s="735">
        <f t="shared" si="142"/>
        <v>15526.839999999998</v>
      </c>
      <c r="BJ57" s="735">
        <v>0</v>
      </c>
      <c r="BK57" s="735">
        <f t="shared" si="143"/>
        <v>0</v>
      </c>
      <c r="BL57" s="735">
        <f t="shared" si="144"/>
        <v>0</v>
      </c>
      <c r="BM57" s="735">
        <f t="shared" si="145"/>
        <v>0</v>
      </c>
      <c r="BN57" s="735">
        <f t="shared" si="146"/>
        <v>47.11</v>
      </c>
      <c r="BO57"/>
      <c r="BP57"/>
      <c r="BQ57"/>
      <c r="BR57"/>
      <c r="BU57"/>
      <c r="BV57"/>
    </row>
    <row r="58" spans="1:74" ht="18" customHeight="1" x14ac:dyDescent="0.35">
      <c r="A58" s="163">
        <f t="shared" si="164"/>
        <v>46334</v>
      </c>
      <c r="B58" s="163">
        <f t="shared" ref="B58" si="179">IF(ISBLANK(A58),"",A58+2)</f>
        <v>46336</v>
      </c>
      <c r="D58" s="153">
        <f>IF(AL58=0,0,VLOOKUP(Y58,Control!$G$41:$J$44,4,FALSE))</f>
        <v>0</v>
      </c>
      <c r="E58" s="518">
        <f t="shared" ref="E58" si="180">AVERAGE(A58:B58)+D58</f>
        <v>46335</v>
      </c>
      <c r="F58"/>
      <c r="G58"/>
      <c r="H58"/>
      <c r="I58"/>
      <c r="J58"/>
      <c r="K58"/>
      <c r="L58"/>
      <c r="M58"/>
      <c r="N58"/>
      <c r="O58"/>
      <c r="P58"/>
      <c r="Q58"/>
      <c r="S58" s="866"/>
      <c r="T58" s="976">
        <f>INDEX([2]Sheet1!$F$2:$AG$5,MATCH($V58,[2]Sheet1!$F$2:$F$5,0),MATCH(Z58,[2]Sheet1!$F$2:$AG$2,0))</f>
        <v>19.61</v>
      </c>
      <c r="U58" s="138">
        <f>INDEX(Control!$E$17:$J$21,MATCH(Y58,Control!$E$17:$E$21,0),MATCH(V58,Control!$E$17:$J$17,0))</f>
        <v>0</v>
      </c>
      <c r="V58" s="138" t="s">
        <v>45</v>
      </c>
      <c r="W58" s="116">
        <f>INDEX(Vessel_Minimum_MT,MATCH(Y58,Control!$E$11:$E$15,0),MATCH(V58,Control!$E$11:$J$11,0))</f>
        <v>70000</v>
      </c>
      <c r="X58" s="140">
        <f>AB58/Control!$D$84</f>
        <v>90096.96796338672</v>
      </c>
      <c r="Y58" s="863" t="s">
        <v>23</v>
      </c>
      <c r="Z58" s="142" t="s">
        <v>75</v>
      </c>
      <c r="AA58" s="142" t="str">
        <f>$AA$57</f>
        <v>USGC/Nsea</v>
      </c>
      <c r="AB58" s="141">
        <f t="shared" si="169"/>
        <v>700000</v>
      </c>
      <c r="AC58" s="141">
        <v>70</v>
      </c>
      <c r="AD58" s="49">
        <f t="shared" si="170"/>
        <v>920</v>
      </c>
      <c r="AE58" s="149">
        <f>IF(AC58&gt;1000,IF(AD58=0,AC58,AD58)/AB58,((W58*T58*(IF(AD58=0,AC58,AD58)/100))+IF(X58&lt;W58,0,(X58-W58)*T58*IF(AD58=0,AC58,AD58)/100*U58))/AB58)</f>
        <v>18.041199999999996</v>
      </c>
      <c r="AF58" s="15">
        <f t="shared" si="166"/>
        <v>0</v>
      </c>
      <c r="AG58" s="155">
        <f>INDEX(Control!$AS$36:$AY$118,MATCH(WTI!$Z58,Control!$AS$36:$AS$118,0),MATCH(WTI!AG$23,Control!$AS$36:$AY$36,0))</f>
        <v>-10</v>
      </c>
      <c r="AH58" s="155">
        <f>INDEX(Control!$AS$36:$AY$118,MATCH(WTI!$Z58,Control!$AS$36:$AS$118,0),MATCH(WTI!AH$23,Control!$AS$36:$AY$36,0))</f>
        <v>0</v>
      </c>
      <c r="AI58" s="143">
        <f>AF58*VLOOKUP($Y58,Control!$F$75:$H$87,3,FALSE)/$AB58</f>
        <v>0</v>
      </c>
      <c r="AJ58" s="144">
        <f>IF($AK$3=1,$AG58*Control!$D$77,0)</f>
        <v>0</v>
      </c>
      <c r="AK58" s="144">
        <f>IF($AK$4=1,$AH58*Control!$D$77,0)</f>
        <v>0</v>
      </c>
      <c r="AL58" s="143">
        <f>IF(((AB58-VLOOKUP(Y58,Control!$J$76:$K$80,2,FALSE))/Control!$D$85)&lt;=0,0,ROUNDUP(((AB58-VLOOKUP(Y58,Control!$J$76:$K$80,2,FALSE))/Control!$D$85),0)*Control!$H$90/AB58)</f>
        <v>0</v>
      </c>
      <c r="AM58" s="143">
        <f>IF(I58="Corpus Christi",Control!$D$76,0)</f>
        <v>0</v>
      </c>
      <c r="AN58" s="143">
        <v>0</v>
      </c>
      <c r="AO58" s="143">
        <f>Control!$D$78</f>
        <v>0</v>
      </c>
      <c r="AP58" s="143">
        <f>Control!$D$79</f>
        <v>6.7299999999999999E-2</v>
      </c>
      <c r="AQ58" s="143">
        <f>IF(INDEX(Control!$Q$3:$S$62,MATCH($Z58,Control!$Q$3:$Q$62,0),MATCH(AQ$9,Control!$Q$3:$S$3,0))=1,Control!$D$81*Control!$E$81,0)</f>
        <v>0</v>
      </c>
      <c r="AR58" s="143">
        <v>0</v>
      </c>
      <c r="AS58" s="143" t="str">
        <f t="shared" ref="AS58" si="181">IF(Z58="Rotterdam",0.114,"")</f>
        <v/>
      </c>
      <c r="AT58" s="143"/>
      <c r="AU58" s="149">
        <f t="shared" ref="AU58" si="182">SUM(AI58:AT58)</f>
        <v>6.7299999999999999E-2</v>
      </c>
      <c r="AV58" s="149">
        <f t="shared" si="156"/>
        <v>18.108499999999996</v>
      </c>
      <c r="AW58" s="149">
        <f t="shared" si="157"/>
        <v>0</v>
      </c>
      <c r="AX58" s="149">
        <f t="shared" si="158"/>
        <v>-5.28</v>
      </c>
      <c r="AY58" s="149">
        <f t="shared" si="159"/>
        <v>0.13181818181818181</v>
      </c>
      <c r="AZ58" s="884">
        <f t="shared" si="160"/>
        <v>9.3603181818181778</v>
      </c>
      <c r="BC58" s="153">
        <f>+INDEX('[1]Transit Time'!$A:$DZ,MATCH(V58,'[1]Transit Time'!$A:$A,0),MATCH(Z58,'[1]Transit Time'!$A$1:$DZ$1,0))</f>
        <v>16</v>
      </c>
      <c r="BD58" s="163">
        <f t="shared" si="138"/>
        <v>46351</v>
      </c>
      <c r="BE58" s="163">
        <f t="shared" ref="BE58" si="183">BD58+2</f>
        <v>46353</v>
      </c>
      <c r="BF58" s="163" t="s">
        <v>157</v>
      </c>
      <c r="BG58" s="490">
        <f t="shared" ref="BG58" si="184">EOMONTH(BE58,0)</f>
        <v>46356</v>
      </c>
      <c r="BH58" s="490">
        <f t="shared" ref="BH58" si="185">BG58</f>
        <v>46356</v>
      </c>
      <c r="BI58" s="735">
        <f t="shared" si="142"/>
        <v>12628.839999999998</v>
      </c>
      <c r="BJ58" s="735">
        <v>0</v>
      </c>
      <c r="BK58" s="735">
        <f t="shared" si="143"/>
        <v>0</v>
      </c>
      <c r="BL58" s="735">
        <f t="shared" si="144"/>
        <v>0</v>
      </c>
      <c r="BM58" s="735">
        <f t="shared" si="145"/>
        <v>0</v>
      </c>
      <c r="BN58" s="735">
        <f t="shared" si="146"/>
        <v>47.11</v>
      </c>
      <c r="BO58"/>
      <c r="BP58"/>
      <c r="BQ58"/>
      <c r="BR58"/>
      <c r="BU58"/>
      <c r="BV58"/>
    </row>
    <row r="59" spans="1:74" ht="18" customHeight="1" thickBot="1" x14ac:dyDescent="0.4">
      <c r="A59" s="230">
        <f t="shared" si="164"/>
        <v>46334</v>
      </c>
      <c r="B59" s="230">
        <f t="shared" ref="B59:B62" si="186">IF(ISBLANK(A59),"",A59+2)</f>
        <v>46336</v>
      </c>
      <c r="D59" s="229">
        <f>IF(AL59=0,0,VLOOKUP(Y59,Control!$G$41:$J$44,4,FALSE))</f>
        <v>0</v>
      </c>
      <c r="E59" s="519">
        <f t="shared" ref="E59:E62" si="187">AVERAGE(A59:B59)+D59</f>
        <v>46335</v>
      </c>
      <c r="F59"/>
      <c r="G59"/>
      <c r="H59"/>
      <c r="I59"/>
      <c r="J59"/>
      <c r="K59"/>
      <c r="L59"/>
      <c r="M59"/>
      <c r="N59"/>
      <c r="O59"/>
      <c r="P59"/>
      <c r="Q59"/>
      <c r="S59" s="866"/>
      <c r="T59" s="222">
        <f>INDEX([2]Sheet1!$F$2:$AG$5,MATCH($V59,[2]Sheet1!$F$2:$F$5,0),MATCH(Z59,[2]Sheet1!$F$2:$AG$2,0))</f>
        <v>23.89</v>
      </c>
      <c r="U59" s="220">
        <f>INDEX(Control!$E$17:$J$21,MATCH(Y59,Control!$E$17:$E$21,0),MATCH(V59,Control!$E$17:$J$17,0))</f>
        <v>0</v>
      </c>
      <c r="V59" s="220" t="s">
        <v>45</v>
      </c>
      <c r="W59" s="213">
        <f>INDEX(Vessel_Minimum_MT,MATCH(Y59,Control!$E$11:$E$15,0),MATCH(V59,Control!$E$11:$J$11,0))</f>
        <v>70000</v>
      </c>
      <c r="X59" s="222">
        <f>AB59/Control!$D$84</f>
        <v>90096.96796338672</v>
      </c>
      <c r="Y59" s="860" t="s">
        <v>23</v>
      </c>
      <c r="Z59" s="212" t="s">
        <v>96</v>
      </c>
      <c r="AA59" s="212" t="str">
        <f t="shared" ref="AA59" si="188">IF(Z59=V59,"",CONCATENATE(CONCATENATE(VLOOKUP(V59,Zones,2,FALSE),"/",VLOOKUP(Z59,Zones,2,FALSE))))</f>
        <v>USGC/Nsea</v>
      </c>
      <c r="AB59" s="214">
        <f>AB52</f>
        <v>700000</v>
      </c>
      <c r="AC59" s="214"/>
      <c r="AD59" s="264">
        <f>$AD$52+5</f>
        <v>925</v>
      </c>
      <c r="AE59" s="225">
        <f t="shared" ref="AE59:AE60" si="189">IF(AC59&gt;1000,IF(AD59=0,AC59,AD59)/AB59,((W59*T59*(IF(AD59=0,AC59,AD59)/100))+IF(X59&lt;W59,0,(X59-W59)*T59*IF(AD59=0,AC59,AD59)/100*U59))/AB59)</f>
        <v>22.09825</v>
      </c>
      <c r="AF59" s="304">
        <v>0</v>
      </c>
      <c r="AG59" s="214">
        <f>INDEX(Control!$AS$36:$AY$118,MATCH(WTI!$Z59,Control!$AS$36:$AS$118,0),MATCH(WTI!AG$23,Control!$AS$36:$AY$36,0))</f>
        <v>-10</v>
      </c>
      <c r="AH59" s="214">
        <f>INDEX(Control!$AS$36:$AY$118,MATCH(WTI!$Z59,Control!$AS$36:$AS$118,0),MATCH(WTI!AH$23,Control!$AS$36:$AY$36,0))</f>
        <v>0</v>
      </c>
      <c r="AI59" s="227">
        <f>AF59*VLOOKUP($Y59,Control!$F$75:$H$87,3,FALSE)/$AB59</f>
        <v>0</v>
      </c>
      <c r="AJ59" s="226">
        <f>IF($AK$3=1,$AG59*Control!$D$77,0)</f>
        <v>0</v>
      </c>
      <c r="AK59" s="226">
        <f>IF($AK$4=1,$AH59*Control!$D$77,0)</f>
        <v>0</v>
      </c>
      <c r="AL59" s="227">
        <f>IF(((AB59-VLOOKUP(Y59,Control!$J$76:$K$80,2,FALSE))/Control!$D$85)&lt;=0,0,ROUNDUP(((AB59-VLOOKUP(Y59,Control!$J$76:$K$80,2,FALSE))/Control!$D$85),0)*Control!$H$90/AB59)</f>
        <v>0</v>
      </c>
      <c r="AM59" s="227">
        <f>IF(I59="Corpus Christi",Control!$D$76,0)</f>
        <v>0</v>
      </c>
      <c r="AN59" s="227">
        <v>0</v>
      </c>
      <c r="AO59" s="227">
        <f>Control!$D$78</f>
        <v>0</v>
      </c>
      <c r="AP59" s="227">
        <f>Control!$D$79</f>
        <v>6.7299999999999999E-2</v>
      </c>
      <c r="AQ59" s="227">
        <f>IF(INDEX(Control!$Q$3:$S$62,MATCH($Z59,Control!$Q$3:$Q$62,0),MATCH(AQ$9,Control!$Q$3:$S$3,0))=1,Control!$D$81*Control!$E$81,0)</f>
        <v>0</v>
      </c>
      <c r="AR59" s="227">
        <v>0</v>
      </c>
      <c r="AS59" s="227" t="str">
        <f t="shared" ref="AS59" si="190">IF(Z59="Rotterdam",0.114,"")</f>
        <v/>
      </c>
      <c r="AT59" s="227"/>
      <c r="AU59" s="225">
        <f t="shared" ref="AU59" si="191">SUM(AI59:AT59)</f>
        <v>6.7299999999999999E-2</v>
      </c>
      <c r="AV59" s="225">
        <f t="shared" ref="AV59:AV60" si="192">+R59+AE59+AU59</f>
        <v>22.16555</v>
      </c>
      <c r="AW59" s="225">
        <f t="shared" si="157"/>
        <v>2.9</v>
      </c>
      <c r="AX59" s="225">
        <f t="shared" si="158"/>
        <v>-3.98</v>
      </c>
      <c r="AY59" s="225">
        <f t="shared" si="159"/>
        <v>9.7826086956521729E-2</v>
      </c>
      <c r="AZ59" s="883">
        <f t="shared" si="160"/>
        <v>17.58337608695652</v>
      </c>
      <c r="BB59" s="220"/>
      <c r="BC59" s="229">
        <f>+INDEX('[1]Transit Time'!$A:$DZ,MATCH(V59,'[1]Transit Time'!$A:$A,0),MATCH(Z59,'[1]Transit Time'!$A$1:$DZ$1,0))+3</f>
        <v>20</v>
      </c>
      <c r="BD59" s="230">
        <f t="shared" si="138"/>
        <v>46355</v>
      </c>
      <c r="BE59" s="230">
        <f t="shared" ref="BE59:BE62" si="193">BD59+2</f>
        <v>46357</v>
      </c>
      <c r="BF59" s="230" t="s">
        <v>157</v>
      </c>
      <c r="BG59" s="489">
        <f t="shared" ref="BG59:BG60" si="194">EOMONTH(BE59,0)</f>
        <v>46387</v>
      </c>
      <c r="BH59" s="489">
        <f t="shared" ref="BH59:BH62" si="195">BG59</f>
        <v>46387</v>
      </c>
      <c r="BI59" s="735">
        <f t="shared" si="142"/>
        <v>15468.775</v>
      </c>
      <c r="BJ59" s="735">
        <v>0</v>
      </c>
      <c r="BK59" s="735">
        <f t="shared" si="143"/>
        <v>0</v>
      </c>
      <c r="BL59" s="735">
        <f t="shared" si="144"/>
        <v>0</v>
      </c>
      <c r="BM59" s="735">
        <f t="shared" si="145"/>
        <v>0</v>
      </c>
      <c r="BN59" s="735">
        <f t="shared" si="146"/>
        <v>47.11</v>
      </c>
      <c r="BO59"/>
      <c r="BP59"/>
      <c r="BQ59"/>
      <c r="BR59"/>
      <c r="BU59"/>
      <c r="BV59"/>
    </row>
    <row r="60" spans="1:74" ht="18" customHeight="1" thickBot="1" x14ac:dyDescent="0.4">
      <c r="A60" s="163">
        <f t="shared" si="164"/>
        <v>46334</v>
      </c>
      <c r="B60" s="163">
        <f t="shared" si="186"/>
        <v>46336</v>
      </c>
      <c r="D60" s="153">
        <f>IF(AL60=0,0,VLOOKUP(Y60,Control!$G$41:$J$44,4,FALSE))</f>
        <v>0</v>
      </c>
      <c r="E60" s="518">
        <f t="shared" si="187"/>
        <v>46335</v>
      </c>
      <c r="F60"/>
      <c r="G60"/>
      <c r="H60"/>
      <c r="I60"/>
      <c r="J60"/>
      <c r="K60"/>
      <c r="L60"/>
      <c r="M60"/>
      <c r="N60"/>
      <c r="O60"/>
      <c r="P60"/>
      <c r="Q60"/>
      <c r="S60" s="866"/>
      <c r="T60" s="975">
        <f>INDEX([2]Sheet1!$F$2:$AG$5,MATCH($V60,[2]Sheet1!$F$2:$F$5,0),MATCH(Z60,[2]Sheet1!$F$2:$AG$2,0))</f>
        <v>21.51</v>
      </c>
      <c r="U60" s="138">
        <v>0</v>
      </c>
      <c r="V60" s="138" t="s">
        <v>45</v>
      </c>
      <c r="W60" s="641">
        <v>145000</v>
      </c>
      <c r="X60" s="140">
        <f>AB60/Control!$D$84</f>
        <v>122274.45652173912</v>
      </c>
      <c r="Y60" s="863" t="s">
        <v>28</v>
      </c>
      <c r="Z60" s="142" t="s">
        <v>42</v>
      </c>
      <c r="AA60" s="142" t="str">
        <f t="shared" ref="AA60:AA62" si="196">IF(Z60=V60,"",CONCATENATE(CONCATENATE(VLOOKUP(V60,Zones,2,FALSE),"/",VLOOKUP(Z60,Zones,2,FALSE))))</f>
        <v>USGC/Nsea</v>
      </c>
      <c r="AB60" s="141">
        <v>950000</v>
      </c>
      <c r="AC60" s="141">
        <v>70</v>
      </c>
      <c r="AD60" s="263">
        <v>550</v>
      </c>
      <c r="AE60" s="149">
        <f t="shared" si="189"/>
        <v>18.057078947368421</v>
      </c>
      <c r="AF60" s="15">
        <f t="shared" si="166"/>
        <v>0</v>
      </c>
      <c r="AG60" s="155">
        <f>INDEX(Control!$AS$36:$AY$118,MATCH(WTI!$Z60,Control!$AS$36:$AS$118,0),MATCH(WTI!AG$23,Control!$AS$36:$AY$36,0))</f>
        <v>-10</v>
      </c>
      <c r="AH60" s="155">
        <f>INDEX(Control!$AS$36:$AY$118,MATCH(WTI!$Z60,Control!$AS$36:$AS$118,0),MATCH(WTI!AH$23,Control!$AS$36:$AY$36,0))</f>
        <v>0</v>
      </c>
      <c r="AI60" s="143">
        <f>AF60*VLOOKUP($Y60,Control!$F$75:$H$87,3,FALSE)/$AB60</f>
        <v>0</v>
      </c>
      <c r="AJ60" s="144">
        <f>IF($AK$3=1,$AG60*Control!$D$77,0)</f>
        <v>0</v>
      </c>
      <c r="AK60" s="144">
        <f>IF($AK$4=1,$AH60*Control!$D$77,0)</f>
        <v>0</v>
      </c>
      <c r="AL60" s="143">
        <f>IF(((AB60-VLOOKUP(Y60,Control!$J$76:$K$82,2,FALSE))/AN60)&lt;=0,0,ROUNDUP(((AB60-VLOOKUP(Y60,Control!$J$76:$K$82,2,FALSE))/Control!$D$86),0)*IF(AN60=Control!$D$86,Control!$H$91,Control!$H$90)/AB60)</f>
        <v>0</v>
      </c>
      <c r="AM60" s="143">
        <f>IF(I60="Corpus Christi",Control!$D$76,0)</f>
        <v>0</v>
      </c>
      <c r="AN60" s="143">
        <f>IF(AND(Control!$D$85-ROUNDUP(((AB60-VLOOKUP(Y60,Control!$J$76:$K$82,2,FALSE))),0)&gt;0,Control!$D$85-ROUNDUP(((AB60-VLOOKUP(Y60,Control!$J$76:$K$82,2,FALSE))),0)&lt;Control!$D$86-ROUNDUP(((AB60-VLOOKUP(Y60,Control!$J$76:$K$82,2,FALSE))),0)),Control!$D$85,Control!$D$86)</f>
        <v>750000</v>
      </c>
      <c r="AO60" s="143">
        <f>Control!$D$78</f>
        <v>0</v>
      </c>
      <c r="AP60" s="143">
        <f>Control!$D$79</f>
        <v>6.7299999999999999E-2</v>
      </c>
      <c r="AQ60" s="143">
        <f>IF(INDEX(Control!$Q$3:$S$62,MATCH($Z60,Control!$Q$3:$Q$62,0),MATCH(AQ$9,Control!$Q$3:$S$3,0))=1,Control!$D$81*Control!$E$81,0)</f>
        <v>0</v>
      </c>
      <c r="AR60" s="143">
        <f>AR52</f>
        <v>0</v>
      </c>
      <c r="AS60" s="143">
        <f>116490/AB60</f>
        <v>0.12262105263157895</v>
      </c>
      <c r="AT60" s="143"/>
      <c r="AU60" s="149">
        <f t="shared" ref="AU60:AU63" si="197">SUM(AI60:AM60,AO60:AT60)</f>
        <v>0.18992105263157893</v>
      </c>
      <c r="AV60" s="149">
        <f t="shared" si="192"/>
        <v>18.247</v>
      </c>
      <c r="AW60" s="149">
        <f t="shared" si="157"/>
        <v>0</v>
      </c>
      <c r="AX60" s="149">
        <f t="shared" si="158"/>
        <v>-5.28</v>
      </c>
      <c r="AY60" s="149">
        <f t="shared" si="159"/>
        <v>0.13181818181818181</v>
      </c>
      <c r="AZ60" s="886">
        <f t="shared" si="160"/>
        <v>9.4988181818181818</v>
      </c>
      <c r="BC60" s="153">
        <f>$BC$52</f>
        <v>17</v>
      </c>
      <c r="BD60" s="163">
        <f t="shared" si="138"/>
        <v>46352</v>
      </c>
      <c r="BE60" s="163">
        <f t="shared" si="193"/>
        <v>46354</v>
      </c>
      <c r="BF60" s="163" t="s">
        <v>157</v>
      </c>
      <c r="BG60" s="490">
        <f t="shared" si="194"/>
        <v>46356</v>
      </c>
      <c r="BH60" s="490">
        <f t="shared" si="195"/>
        <v>46356</v>
      </c>
      <c r="BI60" s="735">
        <f t="shared" si="142"/>
        <v>17154.224999999999</v>
      </c>
      <c r="BJ60" s="735">
        <v>0</v>
      </c>
      <c r="BK60" s="735">
        <f t="shared" si="143"/>
        <v>0</v>
      </c>
      <c r="BL60" s="735">
        <f t="shared" si="144"/>
        <v>0</v>
      </c>
      <c r="BM60" s="735">
        <f t="shared" si="145"/>
        <v>0</v>
      </c>
      <c r="BN60" s="735">
        <f t="shared" si="146"/>
        <v>180.42500000000001</v>
      </c>
      <c r="BO60"/>
      <c r="BP60"/>
      <c r="BQ60"/>
      <c r="BR60"/>
      <c r="BU60"/>
      <c r="BV60"/>
    </row>
    <row r="61" spans="1:74" ht="18" customHeight="1" thickBot="1" x14ac:dyDescent="0.4">
      <c r="A61" s="163">
        <f t="shared" si="164"/>
        <v>46334</v>
      </c>
      <c r="B61" s="163">
        <f t="shared" ref="B61" si="198">IF(ISBLANK(A61),"",A61+2)</f>
        <v>46336</v>
      </c>
      <c r="D61" s="153">
        <f>IF(AL61=0,0,VLOOKUP(Y61,Control!$G$41:$J$44,4,FALSE))</f>
        <v>0</v>
      </c>
      <c r="E61" s="518">
        <f t="shared" ref="E61" si="199">AVERAGE(A61:B61)+D61</f>
        <v>46335</v>
      </c>
      <c r="F61"/>
      <c r="G61"/>
      <c r="H61"/>
      <c r="I61"/>
      <c r="J61"/>
      <c r="K61"/>
      <c r="L61"/>
      <c r="M61"/>
      <c r="N61"/>
      <c r="O61"/>
      <c r="P61"/>
      <c r="Q61"/>
      <c r="S61" s="866"/>
      <c r="T61" s="975">
        <f>INDEX([2]Sheet1!$F$2:$AG$5,MATCH($V61,[2]Sheet1!$F$2:$F$5,0),MATCH(Z61,[2]Sheet1!$F$2:$AG$2,0))</f>
        <v>24.11</v>
      </c>
      <c r="U61" s="138">
        <v>0</v>
      </c>
      <c r="V61" s="138" t="s">
        <v>45</v>
      </c>
      <c r="W61" s="641">
        <v>145000</v>
      </c>
      <c r="X61" s="140">
        <f>AB61/Control!$D$84</f>
        <v>122274.45652173912</v>
      </c>
      <c r="Y61" s="863" t="s">
        <v>28</v>
      </c>
      <c r="Z61" s="142" t="s">
        <v>92</v>
      </c>
      <c r="AA61" s="142" t="str">
        <f t="shared" ref="AA61" si="200">IF(Z61=V61,"",CONCATENATE(CONCATENATE(VLOOKUP(V61,Zones,2,FALSE),"/",VLOOKUP(Z61,Zones,2,FALSE))))</f>
        <v>USGC/Nsea</v>
      </c>
      <c r="AB61" s="141">
        <v>950000</v>
      </c>
      <c r="AC61" s="141">
        <v>70</v>
      </c>
      <c r="AD61" s="49">
        <f>AD60</f>
        <v>550</v>
      </c>
      <c r="AE61" s="149">
        <f t="shared" ref="AE61" si="201">IF(AC61&gt;1000,IF(AD61=0,AC61,AD61)/AB61,((W61*T61*(IF(AD61=0,AC61,AD61)/100))+IF(X61&lt;W61,0,(X61-W61)*T61*IF(AD61=0,AC61,AD61)/100*U61))/AB61)</f>
        <v>20.23971052631579</v>
      </c>
      <c r="AF61" s="15">
        <f t="shared" si="166"/>
        <v>0</v>
      </c>
      <c r="AG61" s="155">
        <f>INDEX(Control!$AS$36:$AY$118,MATCH(WTI!$Z61,Control!$AS$36:$AS$118,0),MATCH(WTI!AG$23,Control!$AS$36:$AY$36,0))</f>
        <v>-10</v>
      </c>
      <c r="AH61" s="155">
        <f>INDEX(Control!$AS$36:$AY$118,MATCH(WTI!$Z61,Control!$AS$36:$AS$118,0),MATCH(WTI!AH$23,Control!$AS$36:$AY$36,0))</f>
        <v>0</v>
      </c>
      <c r="AI61" s="143">
        <f>AF61*VLOOKUP($Y61,Control!$F$75:$H$87,3,FALSE)/$AB61</f>
        <v>0</v>
      </c>
      <c r="AJ61" s="144">
        <f>IF($AK$3=1,$AG61*Control!$D$77,0)</f>
        <v>0</v>
      </c>
      <c r="AK61" s="144">
        <f>IF($AK$4=1,$AH61*Control!$D$77,0)</f>
        <v>0</v>
      </c>
      <c r="AL61" s="143">
        <f>IF(((AB61-VLOOKUP(Y61,Control!$J$76:$K$82,2,FALSE))/AN61)&lt;=0,0,ROUNDUP(((AB61-VLOOKUP(Y61,Control!$J$76:$K$82,2,FALSE))/Control!$D$86),0)*IF(AN61=Control!$D$86,Control!$H$91,Control!$H$90)/AB61)</f>
        <v>0</v>
      </c>
      <c r="AM61" s="143">
        <f>IF(I61="Corpus Christi",Control!$D$76,0)</f>
        <v>0</v>
      </c>
      <c r="AN61" s="143">
        <f>IF(AND(Control!$D$85-ROUNDUP(((AB61-VLOOKUP(Y61,Control!$J$76:$K$82,2,FALSE))),0)&gt;0,Control!$D$85-ROUNDUP(((AB61-VLOOKUP(Y61,Control!$J$76:$K$82,2,FALSE))),0)&lt;Control!$D$86-ROUNDUP(((AB61-VLOOKUP(Y61,Control!$J$76:$K$82,2,FALSE))),0)),Control!$D$85,Control!$D$86)</f>
        <v>750000</v>
      </c>
      <c r="AO61" s="143">
        <f>Control!$D$78</f>
        <v>0</v>
      </c>
      <c r="AP61" s="143">
        <f>Control!$D$79</f>
        <v>6.7299999999999999E-2</v>
      </c>
      <c r="AQ61" s="143">
        <f>IF(INDEX(Control!$Q$3:$S$62,MATCH($Z61,Control!$Q$3:$Q$62,0),MATCH(AQ$9,Control!$Q$3:$S$3,0))=1,Control!$D$81*Control!$E$81,0)</f>
        <v>0</v>
      </c>
      <c r="AR61" s="143">
        <f>AR53</f>
        <v>0</v>
      </c>
      <c r="AS61" s="143"/>
      <c r="AT61" s="143"/>
      <c r="AU61" s="149">
        <f t="shared" ref="AU61" si="202">SUM(AI61:AM61,AO61:AT61)</f>
        <v>6.7299999999999999E-2</v>
      </c>
      <c r="AV61" s="149">
        <f t="shared" ref="AV61" si="203">+R61+AE61+AU61</f>
        <v>20.307010526315789</v>
      </c>
      <c r="AW61" s="149">
        <f t="shared" si="157"/>
        <v>0</v>
      </c>
      <c r="AX61" s="149">
        <f t="shared" si="158"/>
        <v>-5.28</v>
      </c>
      <c r="AY61" s="149">
        <f t="shared" si="159"/>
        <v>0.13181818181818181</v>
      </c>
      <c r="AZ61" s="883">
        <f t="shared" si="160"/>
        <v>11.558828708133968</v>
      </c>
      <c r="BC61" s="153">
        <f>+INDEX('[1]Transit Time'!$A:$DZ,MATCH(V61,'[1]Transit Time'!$A:$A,0),MATCH(Z61,'[1]Transit Time'!$A$1:$DZ$1,0))</f>
        <v>18</v>
      </c>
      <c r="BD61" s="163">
        <f t="shared" si="138"/>
        <v>46353</v>
      </c>
      <c r="BE61" s="163">
        <f t="shared" ref="BE61" si="204">BD61+2</f>
        <v>46355</v>
      </c>
      <c r="BF61" s="163" t="s">
        <v>157</v>
      </c>
      <c r="BG61" s="490">
        <f t="shared" ref="BG61" si="205">EOMONTH(BE61,0)</f>
        <v>46356</v>
      </c>
      <c r="BH61" s="490">
        <f t="shared" ref="BH61" si="206">BG61</f>
        <v>46356</v>
      </c>
      <c r="BI61" s="735">
        <f t="shared" si="142"/>
        <v>19227.724999999999</v>
      </c>
      <c r="BJ61" s="735">
        <v>0</v>
      </c>
      <c r="BK61" s="735">
        <f t="shared" si="143"/>
        <v>0</v>
      </c>
      <c r="BL61" s="735">
        <f t="shared" si="144"/>
        <v>0</v>
      </c>
      <c r="BM61" s="735">
        <f t="shared" si="145"/>
        <v>0</v>
      </c>
      <c r="BN61" s="735">
        <f t="shared" si="146"/>
        <v>63.935000000000002</v>
      </c>
      <c r="BO61"/>
      <c r="BP61"/>
      <c r="BQ61"/>
      <c r="BR61"/>
      <c r="BU61"/>
      <c r="BV61"/>
    </row>
    <row r="62" spans="1:74" ht="18" customHeight="1" thickBot="1" x14ac:dyDescent="0.4">
      <c r="A62" s="230">
        <f t="shared" si="164"/>
        <v>46334</v>
      </c>
      <c r="B62" s="230">
        <f t="shared" si="186"/>
        <v>46336</v>
      </c>
      <c r="D62" s="229">
        <f>IF(AL62=0,0,VLOOKUP(Y62,Control!$G$41:$J$44,4,FALSE))</f>
        <v>9</v>
      </c>
      <c r="E62" s="519">
        <f t="shared" si="187"/>
        <v>46344</v>
      </c>
      <c r="F62"/>
      <c r="G62"/>
      <c r="H62"/>
      <c r="I62"/>
      <c r="J62"/>
      <c r="K62"/>
      <c r="L62"/>
      <c r="M62"/>
      <c r="N62"/>
      <c r="O62"/>
      <c r="P62"/>
      <c r="Q62"/>
      <c r="S62" s="866"/>
      <c r="T62" s="222">
        <f>INDEX([2]Sheet1!$F$2:$AG$5,MATCH($V62,[2]Sheet1!$F$2:$F$5,0),MATCH(Z62,[2]Sheet1!$F$2:$AG$2,0))</f>
        <v>21.51</v>
      </c>
      <c r="U62" s="220">
        <f>INDEX(Control!$E$17:$J$21,MATCH(Y62,Control!$E$17:$E$21,0),MATCH(V62,Control!$E$17:$J$17,0))</f>
        <v>0.5</v>
      </c>
      <c r="V62" s="220" t="s">
        <v>45</v>
      </c>
      <c r="W62" s="213">
        <f>INDEX(Vessel_Minimum_MT,MATCH(Y62,Control!$E$11:$E$15,0),MATCH(V62,Control!$E$11:$J$11,0))</f>
        <v>270000</v>
      </c>
      <c r="X62" s="222">
        <f>AB62/Control!$D$84</f>
        <v>267073.15503432491</v>
      </c>
      <c r="Y62" s="860" t="s">
        <v>25</v>
      </c>
      <c r="Z62" s="591" t="s">
        <v>42</v>
      </c>
      <c r="AA62" s="212" t="str">
        <f t="shared" si="196"/>
        <v>USGC/Nsea</v>
      </c>
      <c r="AB62" s="214">
        <v>2075000</v>
      </c>
      <c r="AC62" s="214"/>
      <c r="AD62" s="653">
        <v>35000000</v>
      </c>
      <c r="AE62" s="225">
        <f>AD62/AB62</f>
        <v>16.867469879518072</v>
      </c>
      <c r="AF62" s="304">
        <v>5</v>
      </c>
      <c r="AG62" s="214">
        <f>INDEX(Control!$AS$36:$AY$118,MATCH(WTI!$Z62,Control!$AS$36:$AS$118,0),MATCH(WTI!AG$23,Control!$AS$36:$AY$36,0))</f>
        <v>-10</v>
      </c>
      <c r="AH62" s="214">
        <f>INDEX(Control!$AS$36:$AY$118,MATCH(WTI!$Z62,Control!$AS$36:$AS$118,0),MATCH(WTI!AH$23,Control!$AS$36:$AY$36,0))</f>
        <v>0</v>
      </c>
      <c r="AI62" s="227">
        <f>AF62*VLOOKUP($Y62,Control!$F$75:$H$87,3,FALSE)/$AB62</f>
        <v>1.0843373493975903</v>
      </c>
      <c r="AJ62" s="226">
        <f>IF($AK$3=1,$AG62*Control!$D$77,0)</f>
        <v>0</v>
      </c>
      <c r="AK62" s="226">
        <f>IF($AK$4=1,$AH62*Control!$D$77,0)</f>
        <v>0</v>
      </c>
      <c r="AL62" s="227">
        <f>IF(((AB62-VLOOKUP(Y62,Control!$J$76:$K$80,2,FALSE))/Control!$D$85)&lt;=0,0,ROUNDUP(((AB62-VLOOKUP(Y62,Control!$J$76:$K$80,2,FALSE))/Control!$D$85),0)*Control!$H$90/AB62)</f>
        <v>2.6746987951807228</v>
      </c>
      <c r="AM62" s="227">
        <f>IF(I62="Corpus Christi",Control!$D$76,0)</f>
        <v>0</v>
      </c>
      <c r="AN62" s="227">
        <v>0</v>
      </c>
      <c r="AO62" s="227">
        <f>Control!$D$78</f>
        <v>0</v>
      </c>
      <c r="AP62" s="227">
        <f>Control!$D$79</f>
        <v>6.7299999999999999E-2</v>
      </c>
      <c r="AQ62" s="227">
        <f>IF(INDEX(Control!$Q$3:$S$62,MATCH($Z62,Control!$Q$3:$Q$62,0),MATCH(AQ$9,Control!$Q$3:$S$3,0))=1,Control!$D$81*Control!$E$81,0)</f>
        <v>0</v>
      </c>
      <c r="AR62" s="227">
        <f>IF(INDEX(Control!$Q$3:$S$62,MATCH($Z62,Control!$Q$3:$Q$62,0),MATCH(AR$9,Control!$Q$3:$S$3,0))=1,INDEX(Control!$AK$3:$AO$69,MATCH(WTI!Z62,Control!$AK$3:$AK$29,0),MATCH(WTI!Y62,Control!$AK$3:$AO$3,0))/AB62*1000,0)</f>
        <v>0</v>
      </c>
      <c r="AS62" s="227">
        <f>116490/AB63+(Control!$D$83/AB36)</f>
        <v>0.20071807228915661</v>
      </c>
      <c r="AT62" s="227"/>
      <c r="AU62" s="225">
        <f t="shared" si="197"/>
        <v>4.0270542168674694</v>
      </c>
      <c r="AV62" s="225">
        <f t="shared" ref="AV62:AV63" si="207">+R62+AE62+AU62</f>
        <v>20.894524096385542</v>
      </c>
      <c r="AW62" s="225">
        <f t="shared" si="157"/>
        <v>2.9</v>
      </c>
      <c r="AX62" s="225">
        <f t="shared" si="158"/>
        <v>-3.98</v>
      </c>
      <c r="AY62" s="225">
        <f t="shared" si="159"/>
        <v>9.7826086956521729E-2</v>
      </c>
      <c r="AZ62" s="885">
        <f t="shared" si="160"/>
        <v>16.312350183342062</v>
      </c>
      <c r="BB62" s="220"/>
      <c r="BC62" s="229">
        <f>+INDEX('[1]Transit Time'!$A:$DZ,MATCH(V62,'[1]Transit Time'!$A:$A,0),MATCH(Z62,'[1]Transit Time'!$A$1:$DZ$1,0))</f>
        <v>17</v>
      </c>
      <c r="BD62" s="230">
        <f t="shared" si="138"/>
        <v>46361</v>
      </c>
      <c r="BE62" s="230">
        <f t="shared" si="193"/>
        <v>46363</v>
      </c>
      <c r="BF62" s="230" t="s">
        <v>157</v>
      </c>
      <c r="BG62" s="489">
        <f>BG63</f>
        <v>46387</v>
      </c>
      <c r="BH62" s="489">
        <f t="shared" si="195"/>
        <v>46387</v>
      </c>
      <c r="BI62" s="735">
        <f t="shared" si="142"/>
        <v>35000</v>
      </c>
      <c r="BJ62" s="735">
        <v>0</v>
      </c>
      <c r="BK62" s="735">
        <f t="shared" si="143"/>
        <v>2250</v>
      </c>
      <c r="BL62" s="735">
        <f t="shared" si="144"/>
        <v>5550</v>
      </c>
      <c r="BM62" s="735">
        <f t="shared" si="145"/>
        <v>0</v>
      </c>
      <c r="BN62" s="735">
        <f t="shared" si="146"/>
        <v>556.13749999999879</v>
      </c>
      <c r="BO62"/>
      <c r="BP62"/>
      <c r="BQ62"/>
      <c r="BR62"/>
      <c r="BU62"/>
      <c r="BV62"/>
    </row>
    <row r="63" spans="1:74" ht="18" customHeight="1" thickBot="1" x14ac:dyDescent="0.4">
      <c r="A63" s="163">
        <f t="shared" si="164"/>
        <v>46334</v>
      </c>
      <c r="B63" s="163">
        <f t="shared" ref="B63:B65" si="208">IF(ISBLANK(A63),"",A63+2)</f>
        <v>46336</v>
      </c>
      <c r="D63" s="153">
        <v>3</v>
      </c>
      <c r="E63" s="518">
        <f t="shared" ref="E63:E65" si="209">AVERAGE(A63:B63)+D63</f>
        <v>46338</v>
      </c>
      <c r="F63"/>
      <c r="G63"/>
      <c r="H63"/>
      <c r="I63"/>
      <c r="J63"/>
      <c r="K63"/>
      <c r="L63"/>
      <c r="M63"/>
      <c r="N63"/>
      <c r="O63"/>
      <c r="P63"/>
      <c r="Q63"/>
      <c r="S63" s="866"/>
      <c r="T63" s="975">
        <f>INDEX([2]Sheet1!$F$2:$AG$5,MATCH($V63,[2]Sheet1!$F$2:$F$5,0),MATCH(Z63,[2]Sheet1!$F$2:$AG$2,0))</f>
        <v>21.51</v>
      </c>
      <c r="U63" s="138">
        <v>0.5</v>
      </c>
      <c r="V63" s="138" t="s">
        <v>45</v>
      </c>
      <c r="W63" s="116">
        <f>W62</f>
        <v>270000</v>
      </c>
      <c r="X63" s="140">
        <f>AB63/Control!$D$84</f>
        <v>267073.15503432491</v>
      </c>
      <c r="Y63" s="864" t="s">
        <v>26</v>
      </c>
      <c r="Z63" s="142" t="s">
        <v>42</v>
      </c>
      <c r="AA63" s="142" t="str">
        <f t="shared" ref="AA63" si="210">IF(Z63=V63,"",CONCATENATE(CONCATENATE(VLOOKUP(V63,Zones,2,FALSE),"/",VLOOKUP(Z63,Zones,2,FALSE))))</f>
        <v>USGC/Nsea</v>
      </c>
      <c r="AB63" s="141">
        <f>AB62</f>
        <v>2075000</v>
      </c>
      <c r="AC63" s="141">
        <v>70</v>
      </c>
      <c r="AD63" s="549">
        <f>$AD$62</f>
        <v>35000000</v>
      </c>
      <c r="AE63" s="149">
        <f>AD63/AB63</f>
        <v>16.867469879518072</v>
      </c>
      <c r="AF63" s="15">
        <v>1</v>
      </c>
      <c r="AG63" s="155">
        <f>INDEX(Control!$AS$36:$AY$118,MATCH(WTI!$Z63,Control!$AS$36:$AS$118,0),MATCH(WTI!AG$23,Control!$AS$36:$AY$36,0))</f>
        <v>-10</v>
      </c>
      <c r="AH63" s="155">
        <f>INDEX(Control!$AS$36:$AY$118,MATCH(WTI!$Z63,Control!$AS$36:$AS$118,0),MATCH(WTI!AH$23,Control!$AS$36:$AY$36,0))</f>
        <v>0</v>
      </c>
      <c r="AI63" s="143">
        <f>AF63*VLOOKUP($Y63,Control!$F$75:$H$87,3,FALSE)/$AB63</f>
        <v>0.21686746987951808</v>
      </c>
      <c r="AJ63" s="144">
        <f>IF($AK$3=1,$AG63*Control!$D$77,0)</f>
        <v>0</v>
      </c>
      <c r="AK63" s="144">
        <f>IF($AK$4=1,$AH63*Control!$D$77,0)</f>
        <v>0</v>
      </c>
      <c r="AL63" s="143">
        <f>IF(((AB63-VLOOKUP(Y63,Control!$J$76:$K$82,2,FALSE))/AN63)&lt;=0,0,ROUNDUP(((AB63-VLOOKUP(Y63,Control!$J$76:$K$82,2,FALSE))/Control!$D$86),0)*IF(AN63=Control!$D$86,Control!$H$91,Control!$H$90)/AB63)</f>
        <v>0.89156626506024095</v>
      </c>
      <c r="AM63" s="143">
        <f>IF(I63="Corpus Christi",Control!$D$76,0)</f>
        <v>0</v>
      </c>
      <c r="AN63" s="586">
        <f>IF(AND(Control!$D$85-ROUNDUP(((AB63-VLOOKUP(Y63,Control!$J$76:$K$82,2,FALSE))),0)&gt;0,Control!$D$85-ROUNDUP(((AB63-VLOOKUP(Y63,Control!$J$76:$K$82,2,FALSE))),0)&lt;Control!$D$86-ROUNDUP(((AB63-VLOOKUP(Y63,Control!$J$76:$K$82,2,FALSE))),0)),Control!$D$85,Control!$D$86)</f>
        <v>750000</v>
      </c>
      <c r="AO63" s="143">
        <f>Control!$D$78</f>
        <v>0</v>
      </c>
      <c r="AP63" s="143">
        <f>Control!$D$79</f>
        <v>6.7299999999999999E-2</v>
      </c>
      <c r="AQ63" s="143">
        <f>IF(INDEX(Control!$Q$3:$S$62,MATCH($Z63,Control!$Q$3:$Q$62,0),MATCH(AQ$9,Control!$Q$3:$S$3,0))=1,Control!$D$81*Control!$E$81,0)</f>
        <v>0</v>
      </c>
      <c r="AR63" s="143">
        <f>AR62</f>
        <v>0</v>
      </c>
      <c r="AS63" s="143">
        <f>116490/AB64+(Control!$D$83/AB37)</f>
        <v>0.20071807228915661</v>
      </c>
      <c r="AT63" s="143"/>
      <c r="AU63" s="546">
        <f t="shared" si="197"/>
        <v>1.3764518072289156</v>
      </c>
      <c r="AV63" s="149">
        <f t="shared" si="207"/>
        <v>18.243921686746987</v>
      </c>
      <c r="AW63" s="149">
        <f t="shared" si="157"/>
        <v>2.9</v>
      </c>
      <c r="AX63" s="149">
        <f t="shared" si="158"/>
        <v>-3.98</v>
      </c>
      <c r="AY63" s="149">
        <f t="shared" si="159"/>
        <v>9.7826086956521729E-2</v>
      </c>
      <c r="AZ63" s="886">
        <f t="shared" si="160"/>
        <v>13.661747773703508</v>
      </c>
      <c r="BC63" s="153">
        <f>+INDEX('[1]Transit Time'!$A:$DZ,MATCH(V63,'[1]Transit Time'!$A:$A,0),MATCH(Z63,'[1]Transit Time'!$A$1:$DZ$1,0))</f>
        <v>17</v>
      </c>
      <c r="BD63" s="163">
        <f t="shared" si="138"/>
        <v>46355</v>
      </c>
      <c r="BE63" s="163">
        <f t="shared" ref="BE63:BE65" si="211">BD63+2</f>
        <v>46357</v>
      </c>
      <c r="BF63" s="163" t="s">
        <v>157</v>
      </c>
      <c r="BG63" s="490">
        <f t="shared" ref="BG63" si="212">EOMONTH(BE63,0)</f>
        <v>46387</v>
      </c>
      <c r="BH63" s="490">
        <f t="shared" ref="BH63:BH65" si="213">BG63</f>
        <v>46387</v>
      </c>
      <c r="BI63" s="735">
        <f t="shared" si="142"/>
        <v>35000</v>
      </c>
      <c r="BJ63" s="735">
        <v>0</v>
      </c>
      <c r="BK63" s="735">
        <f t="shared" si="143"/>
        <v>450</v>
      </c>
      <c r="BL63" s="735">
        <f t="shared" si="144"/>
        <v>1850</v>
      </c>
      <c r="BM63" s="735">
        <f t="shared" si="145"/>
        <v>0</v>
      </c>
      <c r="BN63" s="735">
        <f t="shared" si="146"/>
        <v>556.13749999999982</v>
      </c>
      <c r="BO63"/>
      <c r="BP63"/>
      <c r="BQ63"/>
      <c r="BR63"/>
      <c r="BU63"/>
      <c r="BV63"/>
    </row>
    <row r="64" spans="1:74" ht="18" customHeight="1" thickBot="1" x14ac:dyDescent="0.4">
      <c r="A64" s="163">
        <f t="shared" si="164"/>
        <v>46334</v>
      </c>
      <c r="B64" s="163">
        <f t="shared" ref="B64" si="214">IF(ISBLANK(A64),"",A64+2)</f>
        <v>46336</v>
      </c>
      <c r="D64" s="153">
        <v>3</v>
      </c>
      <c r="E64" s="518">
        <f t="shared" ref="E64" si="215">AVERAGE(A64:B64)+D64</f>
        <v>46338</v>
      </c>
      <c r="F64"/>
      <c r="G64"/>
      <c r="H64"/>
      <c r="I64"/>
      <c r="J64"/>
      <c r="K64"/>
      <c r="L64"/>
      <c r="M64"/>
      <c r="N64"/>
      <c r="O64"/>
      <c r="P64"/>
      <c r="Q64"/>
      <c r="S64" s="866"/>
      <c r="T64" s="975">
        <f>INDEX([2]Sheet1!$F$2:$AG$5,MATCH($V64,[2]Sheet1!$F$2:$F$5,0),MATCH(Z64,[2]Sheet1!$F$2:$AG$2,0))</f>
        <v>21.51</v>
      </c>
      <c r="U64" s="138">
        <v>0.5</v>
      </c>
      <c r="V64" s="138" t="s">
        <v>45</v>
      </c>
      <c r="W64" s="116">
        <f>W63</f>
        <v>270000</v>
      </c>
      <c r="X64" s="140">
        <f>AB64/Control!$D$84</f>
        <v>267073.15503432491</v>
      </c>
      <c r="Y64" s="865" t="s">
        <v>27</v>
      </c>
      <c r="Z64" s="142" t="s">
        <v>42</v>
      </c>
      <c r="AA64" s="142" t="str">
        <f t="shared" ref="AA64" si="216">IF(Z64=V64,"",CONCATENATE(CONCATENATE(VLOOKUP(V64,Zones,2,FALSE),"/",VLOOKUP(Z64,Zones,2,FALSE))))</f>
        <v>USGC/Nsea</v>
      </c>
      <c r="AB64" s="141">
        <f>AB62</f>
        <v>2075000</v>
      </c>
      <c r="AC64" s="141">
        <v>70</v>
      </c>
      <c r="AD64" s="151">
        <f>$AD$62</f>
        <v>35000000</v>
      </c>
      <c r="AE64" s="149">
        <f>AD64/AB64</f>
        <v>16.867469879518072</v>
      </c>
      <c r="AF64" s="15">
        <v>1</v>
      </c>
      <c r="AG64" s="155">
        <f>INDEX(Control!$AS$36:$AY$118,MATCH(WTI!$Z64,Control!$AS$36:$AS$118,0),MATCH(WTI!AG$23,Control!$AS$36:$AY$36,0))</f>
        <v>-10</v>
      </c>
      <c r="AH64" s="155">
        <f>INDEX(Control!$AS$36:$AY$118,MATCH(WTI!$Z64,Control!$AS$36:$AS$118,0),MATCH(WTI!AH$23,Control!$AS$36:$AY$36,0))</f>
        <v>0</v>
      </c>
      <c r="AI64" s="143">
        <f>AF64*VLOOKUP($Y64,Control!$F$75:$H$87,3,FALSE)/$AB64</f>
        <v>0.21686746987951808</v>
      </c>
      <c r="AJ64" s="144">
        <f>IF($AK$3=1,$AG64*Control!$D$77,0)</f>
        <v>0</v>
      </c>
      <c r="AK64" s="144">
        <f>IF($AK$4=1,$AH64*Control!$D$77,0)</f>
        <v>0</v>
      </c>
      <c r="AL64" s="143">
        <f>IF(((AB64-VLOOKUP(Y64,Control!$J$76:$K$82,2,FALSE))/AN64)&lt;=0,0,ROUNDUP(((AB64-VLOOKUP(Y64,Control!$J$76:$K$82,2,FALSE))/Control!$D$86),0)*IF(AN64=Control!$D$86,Control!$H$91,Control!$H$90)/AB64)</f>
        <v>0.89156626506024095</v>
      </c>
      <c r="AM64" s="143">
        <f>IF(I64="Corpus Christi",Control!$D$76,0)</f>
        <v>0</v>
      </c>
      <c r="AN64" s="586">
        <f>IF(AND(Control!$D$85-ROUNDUP(((AB64-VLOOKUP(Y64,Control!$J$76:$K$82,2,FALSE))),0)&gt;0,Control!$D$85-ROUNDUP(((AB64-VLOOKUP(Y64,Control!$J$76:$K$82,2,FALSE))),0)&lt;Control!$D$86-ROUNDUP(((AB64-VLOOKUP(Y64,Control!$J$76:$K$82,2,FALSE))),0)),Control!$D$85,Control!$D$86)</f>
        <v>750000</v>
      </c>
      <c r="AO64" s="143">
        <f>Control!$D$78</f>
        <v>0</v>
      </c>
      <c r="AP64" s="143">
        <f>Control!$D$79</f>
        <v>6.7299999999999999E-2</v>
      </c>
      <c r="AQ64" s="143">
        <f>IF(INDEX(Control!$Q$3:$S$62,MATCH($Z64,Control!$Q$3:$Q$62,0),MATCH(AQ$9,Control!$Q$3:$S$3,0))=1,Control!$D$81*Control!$E$81,0)</f>
        <v>0</v>
      </c>
      <c r="AR64" s="143">
        <f>AR63</f>
        <v>0</v>
      </c>
      <c r="AS64" s="143">
        <f>116490/AB65+(Control!$D$83/AB38)</f>
        <v>0.20071807228915661</v>
      </c>
      <c r="AT64" s="143"/>
      <c r="AU64" s="546">
        <f t="shared" ref="AU64" si="217">SUM(AI64:AM64,AO64:AT64)</f>
        <v>1.3764518072289156</v>
      </c>
      <c r="AV64" s="149">
        <f t="shared" ref="AV64" si="218">+R64+AE64+AU64</f>
        <v>18.243921686746987</v>
      </c>
      <c r="AW64" s="149">
        <f t="shared" si="157"/>
        <v>2.9</v>
      </c>
      <c r="AX64" s="149">
        <f t="shared" si="158"/>
        <v>-3.98</v>
      </c>
      <c r="AY64" s="149">
        <f t="shared" si="159"/>
        <v>9.7826086956521729E-2</v>
      </c>
      <c r="AZ64" s="887">
        <f t="shared" si="160"/>
        <v>13.661747773703508</v>
      </c>
      <c r="BC64" s="153">
        <f>+INDEX('[1]Transit Time'!$A:$DZ,MATCH(V64,'[1]Transit Time'!$A:$A,0),MATCH(Z64,'[1]Transit Time'!$A$1:$DZ$1,0))</f>
        <v>17</v>
      </c>
      <c r="BD64" s="163">
        <f t="shared" si="138"/>
        <v>46355</v>
      </c>
      <c r="BE64" s="163">
        <f t="shared" ref="BE64" si="219">BD64+2</f>
        <v>46357</v>
      </c>
      <c r="BF64" s="163" t="s">
        <v>157</v>
      </c>
      <c r="BG64" s="490">
        <f t="shared" ref="BG64" si="220">EOMONTH(BE64,0)</f>
        <v>46387</v>
      </c>
      <c r="BH64" s="490">
        <f t="shared" ref="BH64" si="221">BG64</f>
        <v>46387</v>
      </c>
      <c r="BI64" s="735">
        <f t="shared" si="142"/>
        <v>35000</v>
      </c>
      <c r="BJ64" s="735">
        <v>0</v>
      </c>
      <c r="BK64" s="735">
        <f t="shared" si="143"/>
        <v>450</v>
      </c>
      <c r="BL64" s="735">
        <f t="shared" si="144"/>
        <v>1850</v>
      </c>
      <c r="BM64" s="735">
        <f t="shared" si="145"/>
        <v>0</v>
      </c>
      <c r="BN64" s="735">
        <f t="shared" si="146"/>
        <v>556.13749999999982</v>
      </c>
      <c r="BO64"/>
      <c r="BP64"/>
      <c r="BQ64"/>
      <c r="BR64"/>
      <c r="BU64"/>
      <c r="BV64"/>
    </row>
    <row r="65" spans="1:74" ht="18" customHeight="1" x14ac:dyDescent="0.35">
      <c r="A65" s="230">
        <f t="shared" si="164"/>
        <v>46334</v>
      </c>
      <c r="B65" s="230">
        <f t="shared" si="208"/>
        <v>46336</v>
      </c>
      <c r="D65" s="229">
        <f>IF(AL65=0,0,VLOOKUP(Y65,Control!$G$41:$J$44,4,FALSE))</f>
        <v>9</v>
      </c>
      <c r="E65" s="519">
        <f t="shared" si="209"/>
        <v>46344</v>
      </c>
      <c r="F65"/>
      <c r="G65"/>
      <c r="H65"/>
      <c r="I65"/>
      <c r="J65"/>
      <c r="K65"/>
      <c r="L65"/>
      <c r="M65"/>
      <c r="N65"/>
      <c r="O65"/>
      <c r="P65"/>
      <c r="Q65"/>
      <c r="S65" s="866"/>
      <c r="T65" s="220"/>
      <c r="U65" s="220">
        <f>INDEX(Control!$E$17:$J$21,MATCH(Y65,Control!$E$17:$E$21,0),MATCH(V65,Control!$E$17:$J$17,0))</f>
        <v>0.5</v>
      </c>
      <c r="V65" s="220" t="s">
        <v>45</v>
      </c>
      <c r="W65" s="213">
        <f>INDEX(Vessel_Minimum_MT,MATCH(Y65,Control!$E$11:$E$15,0),MATCH(V65,Control!$E$11:$J$11,0))</f>
        <v>270000</v>
      </c>
      <c r="X65" s="222">
        <f>AB65/Control!$D$84</f>
        <v>267073.15503432491</v>
      </c>
      <c r="Y65" s="860" t="s">
        <v>25</v>
      </c>
      <c r="Z65" s="212" t="s">
        <v>72</v>
      </c>
      <c r="AA65" s="212" t="s">
        <v>220</v>
      </c>
      <c r="AB65" s="214">
        <f>AB62</f>
        <v>2075000</v>
      </c>
      <c r="AC65" s="214"/>
      <c r="AD65" s="224">
        <f>$AD$62+150000</f>
        <v>35150000</v>
      </c>
      <c r="AE65" s="225">
        <f>AD65/AB65</f>
        <v>16.939759036144579</v>
      </c>
      <c r="AF65" s="304">
        <v>5</v>
      </c>
      <c r="AG65" s="214">
        <f>INDEX(Control!$AS$36:$AY$118,MATCH(WTI!$Z65,Control!$AS$36:$AS$118,0),MATCH(WTI!AG$23,Control!$AS$36:$AY$36,0))</f>
        <v>-10</v>
      </c>
      <c r="AH65" s="214">
        <f>INDEX(Control!$AS$36:$AY$118,MATCH(WTI!$Z65,Control!$AS$36:$AS$118,0),MATCH(WTI!AH$23,Control!$AS$36:$AY$36,0))</f>
        <v>0</v>
      </c>
      <c r="AI65" s="227">
        <f>AF65*VLOOKUP($Y65,Control!$F$75:$H$87,3,FALSE)/$AB65</f>
        <v>1.0843373493975903</v>
      </c>
      <c r="AJ65" s="226">
        <f>IF($AK$3=1,$AG65*Control!$D$77,0)</f>
        <v>0</v>
      </c>
      <c r="AK65" s="226">
        <f>IF($AK$4=1,$AH65*Control!$D$77,0)</f>
        <v>0</v>
      </c>
      <c r="AL65" s="227">
        <f>IF(((AB65-VLOOKUP(Y65,Control!$J$76:$K$80,2,FALSE))/Control!$D$85)&lt;=0,0,ROUNDUP(((AB65-VLOOKUP(Y65,Control!$J$76:$K$80,2,FALSE))/Control!$D$85),0)*Control!$H$90/AB65)</f>
        <v>2.6746987951807228</v>
      </c>
      <c r="AM65" s="227">
        <f>IF(I65="Corpus Christi",Control!$D$76,0)</f>
        <v>0</v>
      </c>
      <c r="AN65" s="227">
        <v>0</v>
      </c>
      <c r="AO65" s="227">
        <f>Control!$D$78</f>
        <v>0</v>
      </c>
      <c r="AP65" s="227">
        <f>Control!$D$79</f>
        <v>6.7299999999999999E-2</v>
      </c>
      <c r="AQ65" s="227">
        <f>IF(INDEX(Control!$Q$3:$S$62,MATCH($Z65,Control!$Q$3:$Q$62,0),MATCH(AQ$9,Control!$Q$3:$S$3,0))=1,Control!$D$81*Control!$E$81,0)</f>
        <v>0</v>
      </c>
      <c r="AR65" s="227">
        <f>IF(INDEX(Control!$Q$3:$S$62,MATCH($Z65,Control!$Q$3:$Q$62,0),MATCH(AR$9,Control!$Q$3:$S$3,0))=1,INDEX(Control!$AK$3:$AO$69,MATCH(WTI!Z65,Control!$AK$3:$AK$29,0),MATCH(WTI!Y65,Control!$AK$3:$AO$3,0))/AB65*1000,0)</f>
        <v>0</v>
      </c>
      <c r="AS65" s="227">
        <f>650000/AB65+(116490/AB65)+(Control!$D$83/AB38)</f>
        <v>0.51397108433734939</v>
      </c>
      <c r="AT65" s="227"/>
      <c r="AU65" s="225">
        <f t="shared" ref="AU65" si="222">SUM(AI65:AT65)</f>
        <v>4.3403072289156626</v>
      </c>
      <c r="AV65" s="225">
        <f t="shared" ref="AV65:AV66" si="223">+R65+AE65+AU65</f>
        <v>21.280066265060242</v>
      </c>
      <c r="AW65" s="225">
        <f t="shared" si="157"/>
        <v>2.9</v>
      </c>
      <c r="AX65" s="225">
        <f t="shared" si="158"/>
        <v>-3.98</v>
      </c>
      <c r="AY65" s="225">
        <f t="shared" si="159"/>
        <v>9.7826086956521729E-2</v>
      </c>
      <c r="AZ65" s="882">
        <f t="shared" si="160"/>
        <v>16.697892352016762</v>
      </c>
      <c r="BB65" s="220"/>
      <c r="BC65" s="229">
        <v>21</v>
      </c>
      <c r="BD65" s="230">
        <f t="shared" si="138"/>
        <v>46365</v>
      </c>
      <c r="BE65" s="230">
        <f t="shared" si="211"/>
        <v>46367</v>
      </c>
      <c r="BF65" s="230" t="s">
        <v>157</v>
      </c>
      <c r="BG65" s="489">
        <f>EOMONTH(BD65,0)</f>
        <v>46387</v>
      </c>
      <c r="BH65" s="489">
        <f t="shared" si="213"/>
        <v>46387</v>
      </c>
      <c r="BI65" s="735">
        <f t="shared" si="142"/>
        <v>35150</v>
      </c>
      <c r="BJ65" s="735">
        <v>0</v>
      </c>
      <c r="BK65" s="735">
        <f t="shared" si="143"/>
        <v>2250</v>
      </c>
      <c r="BL65" s="735">
        <f t="shared" si="144"/>
        <v>5550</v>
      </c>
      <c r="BM65" s="735">
        <f t="shared" si="145"/>
        <v>0</v>
      </c>
      <c r="BN65" s="735">
        <f t="shared" si="146"/>
        <v>1206.1374999999996</v>
      </c>
      <c r="BO65"/>
      <c r="BP65"/>
      <c r="BQ65"/>
      <c r="BR65"/>
      <c r="BU65"/>
      <c r="BV65"/>
    </row>
    <row r="66" spans="1:74" ht="18" customHeight="1" x14ac:dyDescent="0.35">
      <c r="A66" s="163">
        <f t="shared" si="164"/>
        <v>46334</v>
      </c>
      <c r="B66" s="163">
        <f t="shared" ref="B66" si="224">IF(ISBLANK(A66),"",A66+2)</f>
        <v>46336</v>
      </c>
      <c r="D66" s="153">
        <f>IF(AL66=0,0,VLOOKUP(Y66,Control!$G$41:$J$44,4,FALSE))</f>
        <v>3</v>
      </c>
      <c r="E66" s="518">
        <f t="shared" ref="E66" si="225">AVERAGE(A66:B66)+D66</f>
        <v>46338</v>
      </c>
      <c r="F66"/>
      <c r="G66"/>
      <c r="H66"/>
      <c r="I66"/>
      <c r="J66"/>
      <c r="K66"/>
      <c r="L66"/>
      <c r="M66"/>
      <c r="N66"/>
      <c r="O66"/>
      <c r="P66"/>
      <c r="Q66"/>
      <c r="S66" s="866"/>
      <c r="T66" s="191"/>
      <c r="U66" s="138">
        <v>0.5</v>
      </c>
      <c r="V66" s="138" t="s">
        <v>45</v>
      </c>
      <c r="W66" s="116">
        <f>W65</f>
        <v>270000</v>
      </c>
      <c r="X66" s="140">
        <f>AB66/Control!$D$84</f>
        <v>267073.15503432491</v>
      </c>
      <c r="Y66" s="888" t="s">
        <v>26</v>
      </c>
      <c r="Z66" s="874" t="s">
        <v>72</v>
      </c>
      <c r="AA66" s="874" t="s">
        <v>220</v>
      </c>
      <c r="AB66" s="875">
        <f>AB65</f>
        <v>2075000</v>
      </c>
      <c r="AC66" s="875">
        <v>70</v>
      </c>
      <c r="AD66" s="889">
        <f>AD65</f>
        <v>35150000</v>
      </c>
      <c r="AE66" s="878">
        <f>AD66/AB66</f>
        <v>16.939759036144579</v>
      </c>
      <c r="AF66" s="875"/>
      <c r="AG66" s="879">
        <f>INDEX(Control!$AS$36:$AY$118,MATCH(WTI!$Z66,Control!$AS$36:$AS$118,0),MATCH(WTI!AG$23,Control!$AS$36:$AY$36,0))</f>
        <v>-10</v>
      </c>
      <c r="AH66" s="879">
        <f>INDEX(Control!$AS$36:$AY$118,MATCH(WTI!$Z66,Control!$AS$36:$AS$118,0),MATCH(WTI!AH$23,Control!$AS$36:$AY$36,0))</f>
        <v>0</v>
      </c>
      <c r="AI66" s="880">
        <f>AF66*VLOOKUP($Y66,Control!$F$75:$H$87,3,FALSE)/$AB66</f>
        <v>0</v>
      </c>
      <c r="AJ66" s="881">
        <f>IF($AK$3=1,$AG66*Control!$D$77,0)</f>
        <v>0</v>
      </c>
      <c r="AK66" s="881">
        <f>IF($AK$4=1,$AH66*Control!$D$77,0)</f>
        <v>0</v>
      </c>
      <c r="AL66" s="880">
        <f>IF(((AB66-VLOOKUP(Y66,Control!$J$76:$K$80,2,FALSE))/Control!$D$85)&lt;=0,0,ROUNDUP(((AB66-VLOOKUP(Y66,Control!$J$76:$K$80,2,FALSE))/Control!$D$85),0)*Control!$H$90/AB66)</f>
        <v>0.89156626506024095</v>
      </c>
      <c r="AM66" s="880">
        <f>IF(I66="Corpus Christi",Control!$D$76,0)</f>
        <v>0</v>
      </c>
      <c r="AN66" s="890">
        <f>IF(AND(Control!$D$85-ROUNDUP(((AB66-VLOOKUP(Y66,Control!$J$76:$K$82,2,FALSE))),0)&gt;0,Control!$D$85-ROUNDUP(((AB66-VLOOKUP(Y66,Control!$J$76:$K$82,2,FALSE))),0)&lt;Control!$D$86-ROUNDUP(((AB66-VLOOKUP(Y66,Control!$J$76:$K$82,2,FALSE))),0)),Control!$D$85,Control!$D$86)</f>
        <v>750000</v>
      </c>
      <c r="AO66" s="880">
        <f>Control!$D$78</f>
        <v>0</v>
      </c>
      <c r="AP66" s="880">
        <f>Control!$D$79</f>
        <v>6.7299999999999999E-2</v>
      </c>
      <c r="AQ66" s="880">
        <f>IF(INDEX(Control!$Q$3:$S$62,MATCH($Z66,Control!$Q$3:$Q$62,0),MATCH(AQ$9,Control!$Q$3:$S$3,0))=1,Control!$D$81*Control!$E$81,0)</f>
        <v>0</v>
      </c>
      <c r="AR66" s="880">
        <f>AR65</f>
        <v>0</v>
      </c>
      <c r="AS66" s="891">
        <f>AS65</f>
        <v>0.51397108433734939</v>
      </c>
      <c r="AT66" s="880"/>
      <c r="AU66" s="892">
        <f t="shared" ref="AU66" si="226">SUM(AI66:AM66,AO66:AT66)</f>
        <v>1.4728373493975904</v>
      </c>
      <c r="AV66" s="878">
        <f t="shared" si="223"/>
        <v>18.412596385542169</v>
      </c>
      <c r="AW66" s="878">
        <f t="shared" si="157"/>
        <v>2.9</v>
      </c>
      <c r="AX66" s="878">
        <f t="shared" si="158"/>
        <v>-3.98</v>
      </c>
      <c r="AY66" s="878">
        <f t="shared" si="159"/>
        <v>9.7826086956521729E-2</v>
      </c>
      <c r="AZ66" s="893">
        <f t="shared" si="160"/>
        <v>13.830422472498691</v>
      </c>
      <c r="BC66" s="153">
        <v>21</v>
      </c>
      <c r="BD66" s="163">
        <f t="shared" si="138"/>
        <v>46359</v>
      </c>
      <c r="BE66" s="163">
        <f t="shared" ref="BE66:BE67" si="227">BD66+2</f>
        <v>46361</v>
      </c>
      <c r="BF66" s="163" t="s">
        <v>157</v>
      </c>
      <c r="BG66" s="490">
        <f t="shared" ref="BG66:BG67" si="228">EOMONTH(BE66,0)</f>
        <v>46387</v>
      </c>
      <c r="BH66" s="490">
        <f t="shared" ref="BH66:BH67" si="229">BG66</f>
        <v>46387</v>
      </c>
      <c r="BI66" s="735">
        <f t="shared" si="142"/>
        <v>35150</v>
      </c>
      <c r="BJ66" s="735">
        <v>0</v>
      </c>
      <c r="BK66" s="735">
        <f t="shared" si="143"/>
        <v>0</v>
      </c>
      <c r="BL66" s="735">
        <f t="shared" si="144"/>
        <v>1850</v>
      </c>
      <c r="BM66" s="735">
        <f t="shared" si="145"/>
        <v>0</v>
      </c>
      <c r="BN66" s="735">
        <f t="shared" si="146"/>
        <v>1206.1375</v>
      </c>
      <c r="BO66"/>
      <c r="BP66"/>
      <c r="BQ66"/>
      <c r="BR66"/>
      <c r="BU66"/>
      <c r="BV66"/>
    </row>
    <row r="67" spans="1:74" ht="18.5" x14ac:dyDescent="0.45">
      <c r="A67" s="163"/>
      <c r="B67" s="163"/>
      <c r="D67" s="77"/>
      <c r="E67" s="520"/>
      <c r="F67"/>
      <c r="G67"/>
      <c r="H67"/>
      <c r="I67"/>
      <c r="J67"/>
      <c r="K67"/>
      <c r="L67"/>
      <c r="M67"/>
      <c r="N67"/>
      <c r="O67"/>
      <c r="P67"/>
      <c r="Q67"/>
      <c r="T67" s="9"/>
      <c r="U67" s="9"/>
      <c r="V67" s="9"/>
      <c r="W67" s="9"/>
      <c r="X67" s="9"/>
      <c r="Y67" s="1002" t="s">
        <v>221</v>
      </c>
      <c r="Z67" s="1003"/>
      <c r="AA67" s="1003"/>
      <c r="AB67" s="1003"/>
      <c r="AC67" s="1003"/>
      <c r="AD67" s="1003"/>
      <c r="AE67" s="1003"/>
      <c r="AF67" s="1003"/>
      <c r="AG67" s="1003"/>
      <c r="AH67" s="1003"/>
      <c r="AI67" s="1003"/>
      <c r="AJ67" s="1003"/>
      <c r="AK67" s="1003"/>
      <c r="AL67" s="1003"/>
      <c r="AM67" s="1003"/>
      <c r="AN67" s="1003"/>
      <c r="AO67" s="1003"/>
      <c r="AP67" s="1003"/>
      <c r="AQ67" s="1003"/>
      <c r="AR67" s="1003"/>
      <c r="AS67" s="1003"/>
      <c r="AT67" s="1003"/>
      <c r="AU67" s="1003"/>
      <c r="AV67" s="1003"/>
      <c r="AW67" s="1003"/>
      <c r="AX67" s="1003"/>
      <c r="AY67" s="1003"/>
      <c r="AZ67" s="1004"/>
      <c r="BC67" s="77"/>
      <c r="BD67" s="77">
        <f>AZ59-AZ52</f>
        <v>6.3408007622811997</v>
      </c>
      <c r="BE67" s="530">
        <f t="shared" si="227"/>
        <v>8.3408007622811997</v>
      </c>
      <c r="BF67"/>
      <c r="BG67" s="658">
        <f t="shared" si="228"/>
        <v>31</v>
      </c>
      <c r="BH67" s="658">
        <f t="shared" si="229"/>
        <v>31</v>
      </c>
      <c r="BI67"/>
      <c r="BJ67"/>
      <c r="BL67" s="2">
        <f t="shared" ref="BL67" si="230">(AU67-AI67-AJ67)*AB67</f>
        <v>0</v>
      </c>
      <c r="BM67" s="2">
        <f t="shared" ref="BM67" si="231">AJ67*AB67</f>
        <v>0</v>
      </c>
      <c r="BO67"/>
      <c r="BP67"/>
      <c r="BQ67"/>
      <c r="BR67"/>
      <c r="BU67"/>
      <c r="BV67"/>
    </row>
    <row r="68" spans="1:74" ht="46.5" x14ac:dyDescent="0.35">
      <c r="A68" s="1011" t="s">
        <v>167</v>
      </c>
      <c r="B68" s="1011"/>
      <c r="D68" s="137" t="str">
        <f>D49</f>
        <v>STS Time</v>
      </c>
      <c r="E68" s="521" t="str">
        <f>E49</f>
        <v>Depart</v>
      </c>
      <c r="F68"/>
      <c r="G68"/>
      <c r="H68"/>
      <c r="I68"/>
      <c r="J68"/>
      <c r="K68"/>
      <c r="L68"/>
      <c r="M68"/>
      <c r="N68"/>
      <c r="O68"/>
      <c r="P68"/>
      <c r="Q68"/>
      <c r="T68" s="120" t="s">
        <v>172</v>
      </c>
      <c r="U68" s="120" t="s">
        <v>2</v>
      </c>
      <c r="V68" s="120" t="s">
        <v>173</v>
      </c>
      <c r="W68" s="152" t="str">
        <f>$W$9</f>
        <v>Vessel MT</v>
      </c>
      <c r="X68" s="120" t="s">
        <v>175</v>
      </c>
      <c r="Y68" s="120" t="s">
        <v>176</v>
      </c>
      <c r="Z68" s="120" t="s">
        <v>177</v>
      </c>
      <c r="AA68" s="120" t="s">
        <v>178</v>
      </c>
      <c r="AB68" s="120" t="s">
        <v>200</v>
      </c>
      <c r="AC68" s="146" t="str">
        <f>$AC$9</f>
        <v xml:space="preserve">Current WS Rate </v>
      </c>
      <c r="AD68" s="128" t="s">
        <v>202</v>
      </c>
      <c r="AE68" s="150" t="s">
        <v>182</v>
      </c>
      <c r="AF68" s="136" t="s">
        <v>183</v>
      </c>
      <c r="AG68" s="146" t="str">
        <f>AG23</f>
        <v>ATA tvm</v>
      </c>
      <c r="AH68" s="146" t="str">
        <f>AH23</f>
        <v>Ext. TVM</v>
      </c>
      <c r="AI68" s="136" t="s">
        <v>184</v>
      </c>
      <c r="AJ68" s="784" t="str">
        <f t="shared" ref="AJ68:AK68" si="232">AG68</f>
        <v>ATA tvm</v>
      </c>
      <c r="AK68" s="784" t="str">
        <f t="shared" si="232"/>
        <v>Ext. TVM</v>
      </c>
      <c r="AL68" s="136" t="str">
        <f>AL23</f>
        <v>STS</v>
      </c>
      <c r="AM68" s="136" t="s">
        <v>186</v>
      </c>
      <c r="AN68" s="136" t="s">
        <v>187</v>
      </c>
      <c r="AO68" s="136" t="s">
        <v>141</v>
      </c>
      <c r="AP68" s="136" t="s">
        <v>188</v>
      </c>
      <c r="AQ68" s="136" t="s">
        <v>17</v>
      </c>
      <c r="AR68" s="136" t="s">
        <v>207</v>
      </c>
      <c r="AS68" s="136" t="s">
        <v>189</v>
      </c>
      <c r="AT68" s="136" t="s">
        <v>152</v>
      </c>
      <c r="AU68" s="150" t="s">
        <v>208</v>
      </c>
      <c r="AV68" s="150" t="s">
        <v>209</v>
      </c>
      <c r="AW68" s="150" t="s">
        <v>210</v>
      </c>
      <c r="AX68" s="150" t="str">
        <f>AX49</f>
        <v>Basis</v>
      </c>
      <c r="AY68" s="150"/>
      <c r="AZ68" s="137" t="s">
        <v>211</v>
      </c>
      <c r="BC68" s="137" t="s">
        <v>195</v>
      </c>
      <c r="BD68" s="522" t="s">
        <v>196</v>
      </c>
      <c r="BE68" s="522"/>
      <c r="BF68" s="487" t="str">
        <f>BF9</f>
        <v>Basis</v>
      </c>
      <c r="BG68" s="487" t="str">
        <f>BG49</f>
        <v>Pricing Month</v>
      </c>
      <c r="BH68" s="487" t="str">
        <f>BH49</f>
        <v>Delivery Month</v>
      </c>
      <c r="BI68" s="735"/>
      <c r="BJ68" s="735"/>
      <c r="BK68" s="735"/>
      <c r="BL68" s="735"/>
      <c r="BM68" s="735"/>
      <c r="BN68" s="735"/>
      <c r="BO68"/>
      <c r="BP68"/>
      <c r="BQ68"/>
      <c r="BR68"/>
      <c r="BU68"/>
      <c r="BV68"/>
    </row>
    <row r="69" spans="1:74" x14ac:dyDescent="0.35">
      <c r="A69" s="407">
        <f t="shared" ref="A69" si="233">+$A$10</f>
        <v>46334</v>
      </c>
      <c r="B69" s="407">
        <f t="shared" ref="B69" si="234">IF(ISBLANK(A69),"",A69+2)</f>
        <v>46336</v>
      </c>
      <c r="D69" s="409">
        <f>IF(AL69=0,0,VLOOKUP(Y69,Control!$G$41:$J$44,4,FALSE))</f>
        <v>0</v>
      </c>
      <c r="E69" s="593">
        <f t="shared" ref="E69" si="235">AVERAGE(A69:B69)+D69</f>
        <v>46335</v>
      </c>
      <c r="F69"/>
      <c r="G69"/>
      <c r="H69"/>
      <c r="I69"/>
      <c r="J69"/>
      <c r="K69"/>
      <c r="L69"/>
      <c r="M69"/>
      <c r="N69"/>
      <c r="O69"/>
      <c r="P69"/>
      <c r="Q69"/>
      <c r="T69" s="140">
        <f>$T$52</f>
        <v>21.51</v>
      </c>
      <c r="U69" s="138">
        <f>INDEX(Control!$E$17:$J$21,MATCH(Y69,Control!$E$17:$E$21,0),MATCH(V69,Control!$E$17:$J$17,0))</f>
        <v>0</v>
      </c>
      <c r="V69" s="138" t="s">
        <v>45</v>
      </c>
      <c r="W69" s="116">
        <f>INDEX(Vessel_Minimum_MT,MATCH(Y69,Control!$E$11:$E$15,0),MATCH(V69,Control!$E$11:$J$11,0))</f>
        <v>70000</v>
      </c>
      <c r="X69" s="140">
        <f>AB69/Control!$D$84</f>
        <v>90096.96796338672</v>
      </c>
      <c r="Y69" s="48" t="s">
        <v>23</v>
      </c>
      <c r="Z69" s="26" t="s">
        <v>119</v>
      </c>
      <c r="AA69" s="26" t="str">
        <f>AA52</f>
        <v>USGC/Nsea</v>
      </c>
      <c r="AB69" s="594">
        <v>700000</v>
      </c>
      <c r="AC69" s="15">
        <v>70</v>
      </c>
      <c r="AD69" s="549">
        <v>180</v>
      </c>
      <c r="AE69" s="50">
        <f>IF(AC69&gt;1000,IF(AD69=0,AC69,AD69)/AB69,((W69*T69*(IF(AD69=0,AC69,AD69)/100))+IF(X69&lt;W69,0,(X69-W69)*T69*IF(AD69=0,AC69,AD69)/100*U69))/AB69)</f>
        <v>3.8717999999999999</v>
      </c>
      <c r="AF69" s="28">
        <v>0</v>
      </c>
      <c r="AG69" s="595">
        <f>INDEX(Control!$AS$36:$AY$118,MATCH(WTI!$Z69,Control!$AS$36:$AS$118,0),MATCH(WTI!AG$23,Control!$AS$36:$AY$36,0))</f>
        <v>-10</v>
      </c>
      <c r="AH69" s="595">
        <v>16</v>
      </c>
      <c r="AI69" s="29">
        <f>AF69*VLOOKUP($Y69,Control!$F$75:$H$87,3,FALSE)/$AB69</f>
        <v>0</v>
      </c>
      <c r="AJ69" s="28">
        <f>IF(AND($AK$3=1,$AG69*Control!$D$77&lt;0),$AG69*Control!$D$77,0)</f>
        <v>0</v>
      </c>
      <c r="AK69" s="28">
        <f>IF($AK$4=1,$AH69*Control!$D$77,0)</f>
        <v>0.20857863013698633</v>
      </c>
      <c r="AL69" s="29">
        <f>IF(((AB69-VLOOKUP(Y69,Control!$J$76:$K$80,2,FALSE))/Control!$D$85)&lt;=0,0,ROUNDUP(((AB69-VLOOKUP(Y69,Control!$J$76:$K$80,2,FALSE))/Control!$D$85),0)*Control!$H$90/AB69)</f>
        <v>0</v>
      </c>
      <c r="AM69" s="29">
        <f>IF(I69="Corpus Christi",Control!$D$76,0)</f>
        <v>0</v>
      </c>
      <c r="AN69" s="29">
        <v>0</v>
      </c>
      <c r="AO69" s="29">
        <f>Control!$D$78</f>
        <v>0</v>
      </c>
      <c r="AP69" s="29"/>
      <c r="AQ69" s="29"/>
      <c r="AR69" s="29"/>
      <c r="AS69" s="29">
        <f>AS52</f>
        <v>0.13425714285714285</v>
      </c>
      <c r="AT69" s="29">
        <f>IF(AND(L69="Chiriqui Grande",V69="Puerto Armuelles"),Control!$G$93,0)</f>
        <v>0</v>
      </c>
      <c r="AU69" s="50">
        <f t="shared" ref="AU69" si="236">SUM(AI69:AT69)</f>
        <v>0.34283577299412915</v>
      </c>
      <c r="AV69" s="50">
        <f>+R69+AE69+AU69</f>
        <v>4.2146357729941286</v>
      </c>
      <c r="AW69" s="50">
        <f>IF((MONTH(A69)=MONTH(BH69)),0,IF(((MONTH(BH69))-MONTH(A69))+12*YEAR(BG69)-YEAR(A69)&gt;1,SUMIFS($BD$4:$BG$4,$BD$3:$BG$3,"&lt;="&amp;EOMONTH(BG69,-1),$BD$3:$BG$3,"&gt;="&amp;EOMONTH(A69,0)),VLOOKUP("Spreads",$BC$3:$BG$4,MATCH(EOMONTH(A69,0),$BC$3:$BG$3,0))))</f>
        <v>0</v>
      </c>
      <c r="AX69" s="149">
        <v>-1.9</v>
      </c>
      <c r="AY69" s="50"/>
      <c r="AZ69" s="596">
        <f>$Y$3+AV69+AW69+AX69</f>
        <v>-1.2853642270058714</v>
      </c>
      <c r="BC69" s="409">
        <v>19</v>
      </c>
      <c r="BD69" s="407">
        <f>IF(ISBLANK(E69),"",E69+$BC69+D69)</f>
        <v>46354</v>
      </c>
      <c r="BE69" s="407">
        <f t="shared" ref="BE69" si="237">BD69+2</f>
        <v>46356</v>
      </c>
      <c r="BF69" s="407" t="s">
        <v>157</v>
      </c>
      <c r="BG69" s="597">
        <f t="shared" ref="BG69" si="238">EOMONTH(BE69,0)</f>
        <v>46356</v>
      </c>
      <c r="BH69" s="597">
        <f t="shared" ref="BH69:BH72" si="239">BG69</f>
        <v>46356</v>
      </c>
      <c r="BI69" s="735">
        <f>AE69*AB69</f>
        <v>2710260</v>
      </c>
      <c r="BJ69" s="735"/>
      <c r="BK69" s="735">
        <f>AI69*AB69</f>
        <v>0</v>
      </c>
      <c r="BL69" s="735">
        <f>(AU69-AI69-AJ69)*AB69</f>
        <v>239985.0410958904</v>
      </c>
      <c r="BM69" s="735">
        <f>AJ69*AB69</f>
        <v>0</v>
      </c>
      <c r="BN69" s="735"/>
      <c r="BO69"/>
      <c r="BP69"/>
      <c r="BQ69"/>
      <c r="BR69"/>
      <c r="BU69"/>
      <c r="BV69"/>
    </row>
    <row r="70" spans="1:74" ht="6.75" customHeight="1" x14ac:dyDescent="0.35">
      <c r="A70"/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W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B70"/>
      <c r="BC70"/>
      <c r="BD70"/>
      <c r="BE70"/>
      <c r="BF70"/>
      <c r="BG70"/>
      <c r="BH70"/>
      <c r="BI70"/>
      <c r="BJ70"/>
      <c r="BL70" s="2">
        <f>(AU70-AI70-AJ70)*AB70</f>
        <v>0</v>
      </c>
      <c r="BM70" s="2">
        <f>AJ70*AB70</f>
        <v>0</v>
      </c>
      <c r="BO70"/>
      <c r="BP70"/>
      <c r="BQ70"/>
      <c r="BR70"/>
      <c r="BU70"/>
      <c r="BV70"/>
    </row>
    <row r="71" spans="1:74" x14ac:dyDescent="0.35">
      <c r="A71"/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W71"/>
      <c r="Y71" s="570">
        <v>-5.65</v>
      </c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 s="1017" t="s">
        <v>222</v>
      </c>
      <c r="AX71" s="1018"/>
      <c r="AY71" s="991"/>
      <c r="AZ71" s="643">
        <f>AZ73-AZ72</f>
        <v>1.6259677984344427</v>
      </c>
      <c r="BC71" s="640"/>
      <c r="BD71" s="530"/>
      <c r="BE71" s="530"/>
      <c r="BF71" s="530"/>
      <c r="BG71" s="597"/>
      <c r="BH71" s="597"/>
      <c r="BI71" s="735"/>
      <c r="BJ71" s="735"/>
      <c r="BK71" s="735"/>
      <c r="BL71" s="735"/>
      <c r="BM71" s="735"/>
      <c r="BN71" s="735"/>
      <c r="BO71"/>
      <c r="BP71"/>
      <c r="BQ71"/>
      <c r="BR71"/>
      <c r="BU71"/>
      <c r="BV71"/>
    </row>
    <row r="72" spans="1:74" x14ac:dyDescent="0.35">
      <c r="A72" s="598">
        <f>A9</f>
        <v>46334</v>
      </c>
      <c r="B72" s="599">
        <f t="shared" ref="B72" si="240">IF(ISBLANK(A72),"",A72+2)</f>
        <v>46336</v>
      </c>
      <c r="C72" s="600"/>
      <c r="D72" s="601">
        <v>0</v>
      </c>
      <c r="E72" s="602">
        <f>A72</f>
        <v>46334</v>
      </c>
      <c r="F72" s="600"/>
      <c r="G72" s="600"/>
      <c r="H72" s="600"/>
      <c r="I72" s="600"/>
      <c r="J72" s="600"/>
      <c r="K72" s="600"/>
      <c r="L72" s="600"/>
      <c r="M72" s="600"/>
      <c r="N72" s="600"/>
      <c r="O72" s="600"/>
      <c r="P72" s="600"/>
      <c r="Q72" s="600"/>
      <c r="R72" s="600"/>
      <c r="S72" s="600"/>
      <c r="T72" s="603">
        <f>T69</f>
        <v>21.51</v>
      </c>
      <c r="U72" s="604">
        <f>INDEX(Control!$E$17:$J$21,MATCH(Y72,Control!$E$17:$E$21,0),MATCH(V72,Control!$E$17:$J$17,0))</f>
        <v>0</v>
      </c>
      <c r="V72" s="604" t="s">
        <v>45</v>
      </c>
      <c r="W72" s="605">
        <f>INDEX(Vessel_Minimum_MT,MATCH(Y72,Control!$E$11:$E$15,0),MATCH(V72,Control!$E$11:$J$11,0))</f>
        <v>70000</v>
      </c>
      <c r="X72" s="603">
        <f>AB72/Control!$D$84</f>
        <v>90096.96796338672</v>
      </c>
      <c r="Y72" s="606" t="s">
        <v>23</v>
      </c>
      <c r="Z72" s="607" t="s">
        <v>119</v>
      </c>
      <c r="AA72" s="607" t="str">
        <f>AA53</f>
        <v>USGC/Nsea</v>
      </c>
      <c r="AB72" s="608">
        <v>700000</v>
      </c>
      <c r="AC72" s="609">
        <v>70</v>
      </c>
      <c r="AD72" s="610">
        <v>240</v>
      </c>
      <c r="AE72" s="611">
        <f>IF(AC72&gt;1000,IF(AD72=0,AC72,AD72)/AB72,((W72*T72*(IF(AD72=0,AC72,AD72)/100))+IF(X72&lt;W72,0,(X72-W72)*T72*IF(AD72=0,AC72,AD72)/100*U72))/AB72)</f>
        <v>5.1623999999999999</v>
      </c>
      <c r="AF72" s="612">
        <v>0</v>
      </c>
      <c r="AG72" s="595">
        <f>INDEX(Control!$AS$36:$AY$118,MATCH(WTI!$Z72,Control!$AS$36:$AS$118,0),MATCH(WTI!AG$23,Control!$AS$36:$AY$36,0))</f>
        <v>-10</v>
      </c>
      <c r="AH72" s="782">
        <f>AH69</f>
        <v>16</v>
      </c>
      <c r="AI72" s="613">
        <f>AF72*VLOOKUP($Y72,Control!$F$75:$H$87,3,FALSE)/$AB72</f>
        <v>0</v>
      </c>
      <c r="AJ72" s="28">
        <f>IF(AND($AK$3=1,$AG72*Control!$D$77&lt;0),$AG72*Control!$D$77,0)</f>
        <v>0</v>
      </c>
      <c r="AK72" s="28">
        <f>IF($AK$4=1,$AH72*Control!$D$77,0)</f>
        <v>0.20857863013698633</v>
      </c>
      <c r="AL72" s="613">
        <f>IF(((AB72-VLOOKUP(Y72,Control!$J$76:$K$80,2,FALSE))/Control!$D$85)&lt;=0,0,ROUNDUP(((AB72-VLOOKUP(Y72,Control!$J$76:$K$80,2,FALSE))/Control!$D$85),0)*Control!$H$90/AB72)</f>
        <v>0</v>
      </c>
      <c r="AM72" s="613">
        <f>IF(I72="Corpus Christi",Control!$D$76,0)</f>
        <v>0</v>
      </c>
      <c r="AN72" s="613">
        <v>0</v>
      </c>
      <c r="AO72" s="613">
        <f>Control!$D$78</f>
        <v>0</v>
      </c>
      <c r="AP72" s="613"/>
      <c r="AQ72" s="613"/>
      <c r="AR72" s="613">
        <v>0.13</v>
      </c>
      <c r="AS72" s="29"/>
      <c r="AT72" s="613">
        <f>IF(AND(L72="Chiriqui Grande",V72="Puerto Armuelles"),Control!$G$93,0)</f>
        <v>0</v>
      </c>
      <c r="AU72" s="50">
        <f t="shared" ref="AU72:AU73" si="241">SUM(AI72:AT72)</f>
        <v>0.3385786301369863</v>
      </c>
      <c r="AV72" s="611">
        <f>+R72+AE72+AU72</f>
        <v>5.5009786301369861</v>
      </c>
      <c r="AW72" s="50"/>
      <c r="AX72" s="614"/>
      <c r="AY72" s="994"/>
      <c r="AZ72" s="642">
        <f>$Y$71+AV72+AW72+AX72</f>
        <v>-0.14902136986301429</v>
      </c>
      <c r="BB72" s="615"/>
      <c r="BC72" s="601">
        <v>19</v>
      </c>
      <c r="BD72" s="599">
        <f>IF(ISBLANK(E72),"",E72+$BC72+D72)</f>
        <v>46353</v>
      </c>
      <c r="BE72" s="599">
        <f t="shared" ref="BE72" si="242">BD72+2</f>
        <v>46355</v>
      </c>
      <c r="BF72" s="599" t="s">
        <v>157</v>
      </c>
      <c r="BG72" s="636">
        <f>EOMONTH(BD72,0)</f>
        <v>46356</v>
      </c>
      <c r="BH72" s="637">
        <f t="shared" si="239"/>
        <v>46356</v>
      </c>
      <c r="BI72" s="735">
        <f>AE72*AB72</f>
        <v>3613680</v>
      </c>
      <c r="BJ72" s="735"/>
      <c r="BK72" s="735">
        <f>AI72*AB72</f>
        <v>0</v>
      </c>
      <c r="BL72" s="735">
        <f>(AU72-AI72-AJ72)*AB72</f>
        <v>237005.04109589042</v>
      </c>
      <c r="BM72" s="735">
        <f>AJ72*AB72</f>
        <v>0</v>
      </c>
      <c r="BN72" s="735"/>
      <c r="BO72"/>
      <c r="BP72"/>
      <c r="BQ72"/>
      <c r="BR72"/>
      <c r="BU72"/>
      <c r="BV72"/>
    </row>
    <row r="73" spans="1:74" x14ac:dyDescent="0.35">
      <c r="A73" s="616">
        <f>BD72</f>
        <v>46353</v>
      </c>
      <c r="B73" s="617">
        <f t="shared" ref="B73" si="243">IF(ISBLANK(A73),"",A73+2)</f>
        <v>46355</v>
      </c>
      <c r="C73" s="618"/>
      <c r="D73" s="619">
        <f>IF(AL73=0,0,VLOOKUP(Y73,Control!$G$41:$J$44,4,FALSE))</f>
        <v>0</v>
      </c>
      <c r="E73" s="602">
        <f>A73</f>
        <v>46353</v>
      </c>
      <c r="F73" s="618"/>
      <c r="G73" s="618"/>
      <c r="H73" s="618"/>
      <c r="I73" s="618"/>
      <c r="J73" s="618"/>
      <c r="K73" s="618"/>
      <c r="L73" s="618"/>
      <c r="M73" s="618"/>
      <c r="N73" s="618"/>
      <c r="O73" s="618"/>
      <c r="P73" s="618"/>
      <c r="Q73" s="618"/>
      <c r="R73" s="618"/>
      <c r="S73" s="618"/>
      <c r="T73" s="621">
        <v>7.25</v>
      </c>
      <c r="U73" s="622">
        <f>INDEX(Control!$E$17:$J$21,MATCH(Y73,Control!$E$17:$E$21,0),MATCH(V73,Control!$E$17:$J$17,0))</f>
        <v>0</v>
      </c>
      <c r="V73" s="622" t="s">
        <v>45</v>
      </c>
      <c r="W73" s="623">
        <v>86700</v>
      </c>
      <c r="X73" s="621">
        <f>AB73/Control!$D$84</f>
        <v>90096.96796338672</v>
      </c>
      <c r="Y73" s="624" t="s">
        <v>23</v>
      </c>
      <c r="Z73" s="625" t="s">
        <v>119</v>
      </c>
      <c r="AA73" s="625" t="str">
        <f>AA54</f>
        <v>USGC/Nsea</v>
      </c>
      <c r="AB73" s="626">
        <v>700000</v>
      </c>
      <c r="AC73" s="627">
        <v>70</v>
      </c>
      <c r="AD73" s="628">
        <v>150</v>
      </c>
      <c r="AE73" s="629">
        <f>IF(AC73&gt;1000,IF(AD73=0,AC73,AD73)/AB73,((W73*T73*(IF(AD73=0,AC73,AD73)/100))+IF(X73&lt;W73,0,(X73-W73)*T73*IF(AD73=0,AC73,AD73)/100*U73))/AB73)</f>
        <v>1.3469464285714285</v>
      </c>
      <c r="AF73" s="630">
        <v>0</v>
      </c>
      <c r="AG73" s="631">
        <v>0</v>
      </c>
      <c r="AH73" s="631"/>
      <c r="AI73" s="632">
        <f>AF73*VLOOKUP($Y73,Control!$F$75:$H$87,3,FALSE)/$AB73</f>
        <v>0</v>
      </c>
      <c r="AJ73" s="630">
        <f>$AG73*Control!$D$77</f>
        <v>0</v>
      </c>
      <c r="AK73" s="630"/>
      <c r="AL73" s="632">
        <f>IF(((AB73-VLOOKUP(Y73,Control!$J$76:$K$80,2,FALSE))/Control!$D$85)&lt;=0,0,ROUNDUP(((AB73-VLOOKUP(Y73,Control!$J$76:$K$80,2,FALSE))/Control!$D$85),0)*Control!$H$90/AB73)</f>
        <v>0</v>
      </c>
      <c r="AM73" s="632">
        <f>IF(I73="Corpus Christi",Control!$D$76,0)</f>
        <v>0</v>
      </c>
      <c r="AN73" s="632">
        <v>0</v>
      </c>
      <c r="AO73" s="632">
        <f>Control!$D$78</f>
        <v>0</v>
      </c>
      <c r="AP73" s="632"/>
      <c r="AQ73" s="632"/>
      <c r="AR73" s="632">
        <v>0.13</v>
      </c>
      <c r="AS73" s="632"/>
      <c r="AT73" s="632">
        <f>IF(AND(L73="Chiriqui Grande",V73="Puerto Armuelles"),Control!$G$93,0)</f>
        <v>0</v>
      </c>
      <c r="AU73" s="50">
        <f t="shared" si="241"/>
        <v>0.13</v>
      </c>
      <c r="AV73" s="629">
        <f>+R73+AE73+AU73</f>
        <v>1.4769464285714284</v>
      </c>
      <c r="AW73" s="629"/>
      <c r="AX73" s="633"/>
      <c r="AY73" s="633"/>
      <c r="AZ73" s="634">
        <f>$Y$5+AV73+AW73+AX73</f>
        <v>1.4769464285714284</v>
      </c>
      <c r="BB73" s="635"/>
      <c r="BC73" s="619">
        <v>0</v>
      </c>
      <c r="BD73" s="617">
        <f>IF(ISBLANK(E73),"",E73+$BC73+D73)</f>
        <v>46353</v>
      </c>
      <c r="BE73" s="617">
        <f t="shared" ref="BE73" si="244">BD73+2</f>
        <v>46355</v>
      </c>
      <c r="BF73" s="617" t="s">
        <v>157</v>
      </c>
      <c r="BG73" s="636">
        <f>EOMONTH(BD73,0)</f>
        <v>46356</v>
      </c>
      <c r="BH73" s="637">
        <f t="shared" ref="BH73" si="245">BG73</f>
        <v>46356</v>
      </c>
      <c r="BI73" s="735">
        <f>AE73*AB73</f>
        <v>942862.5</v>
      </c>
      <c r="BJ73" s="735"/>
      <c r="BK73" s="735">
        <f>AI73*AB73</f>
        <v>0</v>
      </c>
      <c r="BL73" s="735">
        <f>(AU73-AI73-AJ73)*AB73</f>
        <v>91000</v>
      </c>
      <c r="BM73" s="735">
        <f>AJ73*AB73</f>
        <v>0</v>
      </c>
      <c r="BN73" s="735"/>
      <c r="BO73"/>
      <c r="BP73"/>
      <c r="BQ73"/>
      <c r="BR73"/>
      <c r="BU73"/>
      <c r="BV73"/>
    </row>
    <row r="74" spans="1:74" ht="18.5" x14ac:dyDescent="0.45">
      <c r="A74" s="82"/>
      <c r="B74" s="82"/>
      <c r="D74" s="77"/>
      <c r="E74" s="520"/>
      <c r="F74"/>
      <c r="G74"/>
      <c r="H74"/>
      <c r="I74"/>
      <c r="J74"/>
      <c r="K74"/>
      <c r="L74"/>
      <c r="M74"/>
      <c r="N74"/>
      <c r="O74"/>
      <c r="P74"/>
      <c r="Q74"/>
      <c r="T74" s="410"/>
      <c r="U74" s="410"/>
      <c r="V74" s="410"/>
      <c r="W74" s="410"/>
      <c r="X74" s="410"/>
      <c r="Y74" s="1008" t="s">
        <v>223</v>
      </c>
      <c r="Z74" s="1009"/>
      <c r="AA74" s="1009"/>
      <c r="AB74" s="1009"/>
      <c r="AC74" s="1009"/>
      <c r="AD74" s="1009"/>
      <c r="AE74" s="1009"/>
      <c r="AF74" s="1009"/>
      <c r="AG74" s="1009"/>
      <c r="AH74" s="1009"/>
      <c r="AI74" s="1009"/>
      <c r="AJ74" s="1009"/>
      <c r="AK74" s="1009"/>
      <c r="AL74" s="1009"/>
      <c r="AM74" s="1009"/>
      <c r="AN74" s="1009"/>
      <c r="AO74" s="1009"/>
      <c r="AP74" s="1009"/>
      <c r="AQ74" s="1009"/>
      <c r="AR74" s="1009"/>
      <c r="AS74" s="1009"/>
      <c r="AT74" s="1009"/>
      <c r="AU74" s="1009"/>
      <c r="AV74" s="1009"/>
      <c r="AW74" s="1009"/>
      <c r="AX74" s="1009"/>
      <c r="AY74" s="1009"/>
      <c r="AZ74" s="1010"/>
      <c r="BC74" s="77"/>
      <c r="BD74"/>
      <c r="BE74"/>
      <c r="BF74"/>
      <c r="BG74"/>
      <c r="BH74"/>
      <c r="BI74" s="735">
        <f t="shared" ref="BI74:BM74" si="246">BI72-BI73</f>
        <v>2670817.5</v>
      </c>
      <c r="BJ74" s="735"/>
      <c r="BK74" s="735">
        <f t="shared" si="246"/>
        <v>0</v>
      </c>
      <c r="BL74" s="735">
        <f t="shared" si="246"/>
        <v>146005.04109589042</v>
      </c>
      <c r="BM74" s="735">
        <f t="shared" si="246"/>
        <v>0</v>
      </c>
      <c r="BN74" s="735"/>
      <c r="BO74"/>
      <c r="BP74"/>
      <c r="BQ74"/>
      <c r="BR74"/>
      <c r="BU74"/>
      <c r="BV74"/>
    </row>
    <row r="75" spans="1:74" ht="23.25" customHeight="1" x14ac:dyDescent="0.35">
      <c r="A75" s="309">
        <f>A9</f>
        <v>46334</v>
      </c>
      <c r="B75" s="310">
        <f>A75+2</f>
        <v>46336</v>
      </c>
      <c r="D75" s="229">
        <f>IF(AL75=0,0,VLOOKUP(Y75,Control!$G$41:$J$44,4,FALSE))</f>
        <v>3</v>
      </c>
      <c r="E75" s="519">
        <f t="shared" ref="E75" si="247">AVERAGE(A75:B75)+D75</f>
        <v>46338</v>
      </c>
      <c r="F75"/>
      <c r="G75"/>
      <c r="H75"/>
      <c r="I75"/>
      <c r="J75"/>
      <c r="K75"/>
      <c r="L75"/>
      <c r="M75"/>
      <c r="N75"/>
      <c r="O75"/>
      <c r="P75"/>
      <c r="Q75"/>
      <c r="T75" s="220">
        <v>0</v>
      </c>
      <c r="U75" s="220">
        <v>0</v>
      </c>
      <c r="V75" s="220" t="s">
        <v>45</v>
      </c>
      <c r="W75" s="213" t="e">
        <f>INDEX(Vessel_Minimum_MT,MATCH(Y75,Control!$E$11:$E$15,0),MATCH(V75,Control!$E$11:$J$11,0))</f>
        <v>#N/A</v>
      </c>
      <c r="X75" s="222">
        <f>AB75/Control!$D$84</f>
        <v>267073.15503432491</v>
      </c>
      <c r="Y75" s="215" t="s">
        <v>26</v>
      </c>
      <c r="Z75" s="212" t="s">
        <v>42</v>
      </c>
      <c r="AA75" s="212" t="str">
        <f>IF(Z75=V75,"",CONCATENATE(CONCATENATE(VLOOKUP(V75,Zones,2,FALSE),"/",VLOOKUP(Z75,Zones,2,FALSE))))</f>
        <v>USGC/Nsea</v>
      </c>
      <c r="AB75" s="214">
        <f>2075000</f>
        <v>2075000</v>
      </c>
      <c r="AC75" s="214"/>
      <c r="AD75" s="377">
        <f>AD62</f>
        <v>35000000</v>
      </c>
      <c r="AE75" s="225">
        <f>AD75/AB75</f>
        <v>16.867469879518072</v>
      </c>
      <c r="AF75" s="306">
        <v>7</v>
      </c>
      <c r="AG75" s="214">
        <f>IF(AND($BC$48=1,VLOOKUP(Z75,Control!$AS$37:$AV$68,4,FALSE)&lt;0),0,VLOOKUP(Z75,Control!$AS$37:$AV$68,4,FALSE))</f>
        <v>-8</v>
      </c>
      <c r="AH75" s="214"/>
      <c r="AI75" s="227">
        <f>AF75*VLOOKUP($Y75,Control!$F$75:$H$87,3,FALSE)/$AB75</f>
        <v>1.5180722891566265</v>
      </c>
      <c r="AJ75" s="226"/>
      <c r="AK75" s="226"/>
      <c r="AL75" s="227">
        <f>IF(((AB75-VLOOKUP(Y75,Control!$J$76:$K$80,2,FALSE))/Control!$D$85)&lt;=0,0,ROUNDUP(((AB75-VLOOKUP(Y75,Control!$J$76:$K$80,2,FALSE))/Control!$D$85),0)*Control!$H$90/AB75)</f>
        <v>0.89156626506024095</v>
      </c>
      <c r="AM75" s="227">
        <f>IF(I75="Corpus Christi",Control!$D$76,0)</f>
        <v>0</v>
      </c>
      <c r="AN75" s="227">
        <v>0</v>
      </c>
      <c r="AO75" s="227">
        <f>Control!$D$78</f>
        <v>0</v>
      </c>
      <c r="AP75" s="227">
        <f>Control!$D$79</f>
        <v>6.7299999999999999E-2</v>
      </c>
      <c r="AQ75" s="227">
        <f>IF(INDEX(Control!$Q$3:$S$62,MATCH($Z75,Control!$Q$3:$Q$62,0),MATCH(AQ$9,Control!$Q$3:$S$3,0))=1,Control!$D$81*Control!$E$81,0)</f>
        <v>0</v>
      </c>
      <c r="AR75" s="227">
        <f>IF(INDEX(Control!$Q$3:$S$62,MATCH($Z75,Control!$Q$3:$Q$62,0),MATCH(AR$9,Control!$Q$3:$S$3,0))=1,INDEX(Control!$AK$3:$AO$69,MATCH(WTI!Z75,Control!$AK$3:$AK$29,0),MATCH(WTI!Y75,Control!$AK$3:$AO$3,0))/AB75*1000,0)</f>
        <v>0</v>
      </c>
      <c r="AS75" s="143">
        <f>116490/AB75</f>
        <v>5.6139759036144578E-2</v>
      </c>
      <c r="AT75" s="227"/>
      <c r="AU75" s="225">
        <f>SUM(AI75:AT75)</f>
        <v>2.5330783132530117</v>
      </c>
      <c r="AV75" s="225">
        <f>+R75+AE75+AU75</f>
        <v>19.400548192771083</v>
      </c>
      <c r="AW75" s="225">
        <f>IF((MONTH(A75)=MONTH(BH75)),0,IF(((MONTH(BH75))-MONTH(A75))+12*YEAR(BG75)-YEAR(A75)&gt;1,SUMIFS($BD$4:$BH$4,$BD$3:$BH$3,"&lt;="&amp;EOMONTH(BG75,-1),$BD$3:$BH$3,"&gt;="&amp;EOMONTH(A75,0)),VLOOKUP("Spreads",$BC$3:$BH$4,MATCH(EOMONTH(A75,0),$BC$3:$BH$3,0))))</f>
        <v>0</v>
      </c>
      <c r="AX75" s="225">
        <f>-HLOOKUP(EOMONTH(BG75,0),$BD$3:$BG$6,3,FALSE)</f>
        <v>-5.28</v>
      </c>
      <c r="AY75" s="225"/>
      <c r="AZ75" s="656">
        <f>$Y$3+AV75+AW75+AX75</f>
        <v>10.520548192771084</v>
      </c>
      <c r="BB75" s="220"/>
      <c r="BC75" s="229">
        <f>+INDEX('[1]Transit Time'!$A:$DZ,MATCH(V75,'[1]Transit Time'!$A:$A,0),MATCH(Z75,'[1]Transit Time'!$A$1:$DZ$1,0))</f>
        <v>17</v>
      </c>
      <c r="BD75" s="230">
        <f t="shared" ref="BD75" si="248">IF(ISBLANK(A75),"",A75+$BC75+D75)</f>
        <v>46354</v>
      </c>
      <c r="BE75" s="230">
        <f t="shared" ref="BE75" si="249">BD75+2</f>
        <v>46356</v>
      </c>
      <c r="BF75" s="230" t="s">
        <v>157</v>
      </c>
      <c r="BG75" s="489">
        <f t="shared" ref="BG75" si="250">EOMONTH(BE75,0)</f>
        <v>46356</v>
      </c>
      <c r="BH75" s="489">
        <f t="shared" ref="BH75" si="251">BG75</f>
        <v>46356</v>
      </c>
      <c r="BI75"/>
      <c r="BJ75"/>
      <c r="BO75"/>
      <c r="BP75"/>
      <c r="BQ75"/>
      <c r="BR75"/>
      <c r="BU75"/>
      <c r="BV75"/>
    </row>
    <row r="76" spans="1:74" ht="17.25" customHeight="1" x14ac:dyDescent="0.35">
      <c r="A76"/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W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</row>
    <row r="77" spans="1:74" ht="17.25" customHeight="1" x14ac:dyDescent="0.35">
      <c r="A77" s="163">
        <f>BD75+1</f>
        <v>46355</v>
      </c>
      <c r="B77" s="163">
        <f>A77+2</f>
        <v>46357</v>
      </c>
      <c r="D77" s="153">
        <f>IF(AL77=0,0,VLOOKUP(Y77,Control!$G$41:$J$44,4,FALSE))</f>
        <v>0</v>
      </c>
      <c r="E77" s="518">
        <f t="shared" ref="E77:E85" si="252">AVERAGE(A77:B77)+D77</f>
        <v>46356</v>
      </c>
      <c r="F77"/>
      <c r="G77"/>
      <c r="H77"/>
      <c r="I77"/>
      <c r="J77"/>
      <c r="K77"/>
      <c r="L77"/>
      <c r="M77"/>
      <c r="N77"/>
      <c r="O77"/>
      <c r="P77"/>
      <c r="Q77"/>
      <c r="T77" s="140">
        <v>0</v>
      </c>
      <c r="U77" s="138">
        <v>0</v>
      </c>
      <c r="V77" s="138" t="s">
        <v>64</v>
      </c>
      <c r="W77" s="116">
        <f>INDEX(Vessel_Minimum_MT,MATCH(Y77,Control!$E$11:$E$15,0),MATCH(V77,Control!$E$11:$O$11,0))</f>
        <v>80000</v>
      </c>
      <c r="X77" s="140">
        <f>AB77/Control!$D$84</f>
        <v>90096.96796338672</v>
      </c>
      <c r="Y77" s="48" t="s">
        <v>23</v>
      </c>
      <c r="Z77" s="639" t="s">
        <v>42</v>
      </c>
      <c r="AA77" s="142" t="str">
        <f t="shared" ref="AA77:AA82" si="253">IF(Z77=V77,"",CONCATENATE(CONCATENATE(VLOOKUP(V77,Zones,2,FALSE),"/",VLOOKUP(Z77,Zones,2,FALSE))))</f>
        <v>Nsea/Nsea</v>
      </c>
      <c r="AB77" s="379">
        <v>700000</v>
      </c>
      <c r="AC77" s="141">
        <v>70</v>
      </c>
      <c r="AD77" s="654">
        <f>AD73</f>
        <v>150</v>
      </c>
      <c r="AE77" s="149">
        <f>IF(AC77&gt;1000,IF(AD77=0,AC77,AD77)/AB77,((W77*T77*(IF(AD77=0,AC77,AD77)/100))+IF(X77&lt;W77,0,(X77-W77)*T77*IF(AD77=0,AC77,AD77)/100*U77))/AB77)</f>
        <v>0</v>
      </c>
      <c r="AF77" s="144"/>
      <c r="AG77" s="155">
        <f>IF(AND($BC$48=1,VLOOKUP(Z77,Control!$AS$37:$AV$68,4,FALSE)&lt;0),0,VLOOKUP(Z77,Control!$AS$37:$AV$68,4,FALSE))-$AG$75+2</f>
        <v>2</v>
      </c>
      <c r="AH77" s="155"/>
      <c r="AI77" s="143">
        <f>AF77*VLOOKUP($Y77,Control!$F$75:$H$87,3,FALSE)/$AB77</f>
        <v>0</v>
      </c>
      <c r="AJ77" s="144">
        <f>$AG77*Control!$D$77</f>
        <v>2.6072328767123291E-2</v>
      </c>
      <c r="AK77" s="144"/>
      <c r="AL77" s="143">
        <f>Control!$I$90/WTI!AB77</f>
        <v>0.10714285714285714</v>
      </c>
      <c r="AM77" s="143">
        <f>IF(I77="Corpus Christi",Control!$D$76,0)</f>
        <v>0</v>
      </c>
      <c r="AN77" s="143">
        <v>0</v>
      </c>
      <c r="AO77" s="143">
        <f>Control!$D$78</f>
        <v>0</v>
      </c>
      <c r="AP77" s="143">
        <f>Control!$D$79</f>
        <v>6.7299999999999999E-2</v>
      </c>
      <c r="AQ77" s="143">
        <f>IF(INDEX(Control!$Q$3:$S$62,MATCH($Z77,Control!$Q$3:$Q$62,0),MATCH(AQ$9,Control!$Q$3:$S$3,0))=1,Control!$D$81*Control!$E$81,0)</f>
        <v>0</v>
      </c>
      <c r="AR77" s="143">
        <f>IF(INDEX(Control!$Q$3:$S$62,MATCH($Z77,Control!$Q$3:$Q$62,0),MATCH(AR$9,Control!$Q$3:$S$3,0))=1,INDEX(Control!$AK$3:$AO$69,MATCH(WTI!Z77,Control!$AK$3:$AK$29,0),MATCH(WTI!Y77,Control!$AK$3:$AO$3,0))/AB77*1000,0)</f>
        <v>0</v>
      </c>
      <c r="AS77" s="143">
        <f>93980/AB77</f>
        <v>0.13425714285714285</v>
      </c>
      <c r="AT77" s="143"/>
      <c r="AU77" s="149">
        <f t="shared" ref="AU77:AU78" si="254">SUM(AI77:AT77)</f>
        <v>0.33477232876712326</v>
      </c>
      <c r="AV77" s="149">
        <f t="shared" ref="AV77:AV85" si="255">+R77+AE77+AU77</f>
        <v>0.33477232876712326</v>
      </c>
      <c r="AW77" s="98">
        <f t="shared" ref="AW77:AW85" si="256">IF((MONTH(A77)=MONTH(BH77)),0,IF(((MONTH(BH77))-MONTH(A77))+12*YEAR(BG77)-YEAR(A77)&gt;1,SUMIFS($BD$4:$BH$4,$BD$3:$BH$3,"&lt;="&amp;EOMONTH(BG77,-1),$BD$3:$BH$3,"&gt;="&amp;EOMONTH(A77,0)),VLOOKUP("Spreads",$BC$3:$BH$4,MATCH(EOMONTH(A77,0),$BC$3:$BH$3,0))))</f>
        <v>2.9</v>
      </c>
      <c r="AX77" s="149">
        <v>0</v>
      </c>
      <c r="AY77" s="149"/>
      <c r="AZ77" s="638">
        <f t="shared" ref="AZ77:AZ85" si="257">$AZ$75+AV77+AW77+AX77</f>
        <v>13.755320521538208</v>
      </c>
      <c r="BC77" s="153">
        <v>4</v>
      </c>
      <c r="BD77" s="163">
        <f>IF(ISBLANK(E77),"",E77+$BC77+D77)</f>
        <v>46360</v>
      </c>
      <c r="BE77" s="163">
        <f t="shared" ref="BE77:BE85" si="258">BD77+2</f>
        <v>46362</v>
      </c>
      <c r="BF77" s="163" t="s">
        <v>157</v>
      </c>
      <c r="BG77" s="490">
        <f t="shared" ref="BG77:BG85" si="259">EOMONTH(BE77,0)</f>
        <v>46387</v>
      </c>
      <c r="BH77" s="490">
        <f t="shared" ref="BH77:BH85" si="260">BG77</f>
        <v>46387</v>
      </c>
      <c r="BI77"/>
      <c r="BJ77"/>
      <c r="BO77"/>
      <c r="BP77"/>
      <c r="BQ77"/>
      <c r="BR77"/>
      <c r="BU77"/>
      <c r="BV77"/>
    </row>
    <row r="78" spans="1:74" ht="17.25" customHeight="1" x14ac:dyDescent="0.35">
      <c r="A78" s="230">
        <f>A77</f>
        <v>46355</v>
      </c>
      <c r="B78" s="230">
        <f>B77</f>
        <v>46357</v>
      </c>
      <c r="D78" s="229">
        <f>IF(AL78=0,0,VLOOKUP(Y78,Control!$G$41:$J$44,4,FALSE))</f>
        <v>0</v>
      </c>
      <c r="E78" s="519">
        <f t="shared" si="252"/>
        <v>46356</v>
      </c>
      <c r="F78"/>
      <c r="G78"/>
      <c r="H78"/>
      <c r="I78"/>
      <c r="J78"/>
      <c r="K78"/>
      <c r="L78"/>
      <c r="M78"/>
      <c r="N78"/>
      <c r="O78"/>
      <c r="P78"/>
      <c r="Q78"/>
      <c r="T78" s="478">
        <f>INDEX([2]Sheet1!$F$2:$AG$5,MATCH($V78,[2]Sheet1!$F$2:$F$5,0),MATCH(Z78,[2]Sheet1!$F$2:$AG$2,0))</f>
        <v>7.84</v>
      </c>
      <c r="U78" s="220">
        <v>0</v>
      </c>
      <c r="V78" s="220" t="s">
        <v>64</v>
      </c>
      <c r="W78" s="213">
        <f>INDEX(Vessel_Minimum_MT,MATCH(Y78,Control!$E$11:$E$15,0),MATCH(V78,Control!$E$11:$O$11,0))</f>
        <v>80000</v>
      </c>
      <c r="X78" s="222">
        <f>AB78/Control!$D$84</f>
        <v>90096.96796338672</v>
      </c>
      <c r="Y78" s="215" t="s">
        <v>23</v>
      </c>
      <c r="Z78" s="212" t="s">
        <v>47</v>
      </c>
      <c r="AA78" s="212" t="str">
        <f t="shared" si="253"/>
        <v>Nsea/Nsea</v>
      </c>
      <c r="AB78" s="312">
        <f>AB77</f>
        <v>700000</v>
      </c>
      <c r="AC78" s="214">
        <v>70</v>
      </c>
      <c r="AD78" s="262">
        <f t="shared" ref="AD78:AD85" si="261">$AD$77</f>
        <v>150</v>
      </c>
      <c r="AE78" s="225">
        <f t="shared" ref="AE78" si="262">IF(AC78&gt;1000,IF(AD78=0,AC78,AD78)/AB78,((W78*T78*(IF(AD78=0,AC78,AD78)/100))+IF(X78&lt;W78,0,(X78-W78)*T78*IF(AD78=0,AC78,AD78)/100*U78))/AB78)</f>
        <v>1.3440000000000001</v>
      </c>
      <c r="AF78" s="226">
        <f t="shared" ref="AF78:AF85" si="263">$AF$52</f>
        <v>0</v>
      </c>
      <c r="AG78" s="214">
        <f>IF(AND($BC$48=1,VLOOKUP(Z78,Control!$AS$37:$AV$68,4,FALSE)&lt;0),0,VLOOKUP(Z78,Control!$AS$37:$AV$68,4,FALSE))-$AG$75+2</f>
        <v>2</v>
      </c>
      <c r="AH78" s="214"/>
      <c r="AI78" s="227">
        <f>AF78*VLOOKUP($Y78,Control!$F$75:$H$87,3,FALSE)/$AB78</f>
        <v>0</v>
      </c>
      <c r="AJ78" s="226">
        <f>$AG78*Control!$D$77</f>
        <v>2.6072328767123291E-2</v>
      </c>
      <c r="AK78" s="226"/>
      <c r="AL78" s="227">
        <f>Control!$I$90/WTI!AB78</f>
        <v>0.10714285714285714</v>
      </c>
      <c r="AM78" s="227">
        <f>IF(I78="Corpus Christi",Control!$D$76,0)</f>
        <v>0</v>
      </c>
      <c r="AN78" s="227">
        <v>0</v>
      </c>
      <c r="AO78" s="227">
        <f>Control!$D$78</f>
        <v>0</v>
      </c>
      <c r="AP78" s="227">
        <f>Control!$D$79</f>
        <v>6.7299999999999999E-2</v>
      </c>
      <c r="AQ78" s="227">
        <f>IF(INDEX(Control!$Q$3:$S$62,MATCH($Z78,Control!$Q$3:$Q$62,0),MATCH(AQ$9,Control!$Q$3:$S$3,0))=1,Control!$D$81*Control!$E$81,0)</f>
        <v>0</v>
      </c>
      <c r="AR78" s="227">
        <f>IF(INDEX(Control!$Q$3:$S$62,MATCH($Z78,Control!$Q$3:$Q$62,0),MATCH(AR$9,Control!$Q$3:$S$3,0))=1,INDEX(Control!$AK$3:$AO$69,MATCH(WTI!Z78,Control!$AK$3:$AK$29,0),MATCH(WTI!Y78,Control!$AK$3:$AO$3,0))/AB78*1000,0)</f>
        <v>0</v>
      </c>
      <c r="AS78" s="227" t="str">
        <f t="shared" ref="AS78:AS84" si="264">IF(Z78="Rotterdam",0.114,"")</f>
        <v/>
      </c>
      <c r="AT78" s="227"/>
      <c r="AU78" s="225">
        <f t="shared" si="254"/>
        <v>0.20051518590998044</v>
      </c>
      <c r="AV78" s="225">
        <f t="shared" si="255"/>
        <v>1.5445151859099806</v>
      </c>
      <c r="AW78" s="225">
        <f t="shared" si="256"/>
        <v>2.9</v>
      </c>
      <c r="AX78" s="225">
        <v>0</v>
      </c>
      <c r="AY78" s="225"/>
      <c r="AZ78" s="498">
        <f t="shared" si="257"/>
        <v>14.965063378681066</v>
      </c>
      <c r="BB78" s="220"/>
      <c r="BC78" s="229">
        <v>4</v>
      </c>
      <c r="BD78" s="230">
        <f t="shared" ref="BD78:BD84" si="265">IF(ISBLANK(E78),"",E78+$BC78+D78)</f>
        <v>46360</v>
      </c>
      <c r="BE78" s="230">
        <f t="shared" si="258"/>
        <v>46362</v>
      </c>
      <c r="BF78" s="230" t="s">
        <v>157</v>
      </c>
      <c r="BG78" s="489">
        <f t="shared" si="259"/>
        <v>46387</v>
      </c>
      <c r="BH78" s="489">
        <f t="shared" si="260"/>
        <v>46387</v>
      </c>
      <c r="BO78"/>
      <c r="BP78"/>
      <c r="BQ78"/>
      <c r="BR78"/>
    </row>
    <row r="79" spans="1:74" ht="17.25" customHeight="1" x14ac:dyDescent="0.35">
      <c r="A79" s="163">
        <f t="shared" ref="A79:A85" si="266">A78</f>
        <v>46355</v>
      </c>
      <c r="B79" s="163">
        <f t="shared" ref="B79:B85" si="267">B78</f>
        <v>46357</v>
      </c>
      <c r="D79" s="153">
        <f>IF(AL79=0,0,VLOOKUP(Y79,Control!$G$41:$J$44,4,FALSE))</f>
        <v>0</v>
      </c>
      <c r="E79" s="518">
        <f t="shared" si="252"/>
        <v>46356</v>
      </c>
      <c r="F79"/>
      <c r="G79"/>
      <c r="H79"/>
      <c r="I79"/>
      <c r="J79"/>
      <c r="K79"/>
      <c r="L79"/>
      <c r="M79"/>
      <c r="N79"/>
      <c r="O79"/>
      <c r="P79"/>
      <c r="Q79"/>
      <c r="T79" s="191">
        <f>INDEX([2]Sheet1!$F$2:$AG$5,MATCH($V79,[2]Sheet1!$F$2:$F$5,0),MATCH(Z79,[2]Sheet1!$F$2:$AG$2,0))</f>
        <v>6.37</v>
      </c>
      <c r="U79" s="138">
        <v>0</v>
      </c>
      <c r="V79" s="138" t="s">
        <v>64</v>
      </c>
      <c r="W79" s="116">
        <f>INDEX(Vessel_Minimum_MT,MATCH(Y79,Control!$E$11:$E$15,0),MATCH(V79,Control!$E$11:$O$11,0))</f>
        <v>80000</v>
      </c>
      <c r="X79" s="140">
        <f>AB79/Control!$D$84</f>
        <v>90096.96796338672</v>
      </c>
      <c r="Y79" s="566" t="s">
        <v>23</v>
      </c>
      <c r="Z79" s="142" t="s">
        <v>39</v>
      </c>
      <c r="AA79" s="142" t="str">
        <f t="shared" si="253"/>
        <v>Nsea/Nsea</v>
      </c>
      <c r="AB79" s="141">
        <f t="shared" ref="AB79:AB83" si="268">AB78</f>
        <v>700000</v>
      </c>
      <c r="AC79" s="567">
        <v>70</v>
      </c>
      <c r="AD79" s="568">
        <f t="shared" si="261"/>
        <v>150</v>
      </c>
      <c r="AE79" s="149">
        <f>IF(AC79&gt;1000,IF(AD79=0,AC79,AD79)/AB79,((W79*T79*(IF(AD79=0,AC79,AD79)/100))+IF(X79&lt;W79,0,(X79-W79)*T79*IF(AD79=0,AC79,AD79)/100*U79))/AB79)</f>
        <v>1.0920000000000001</v>
      </c>
      <c r="AF79" s="144">
        <f t="shared" si="263"/>
        <v>0</v>
      </c>
      <c r="AG79" s="155">
        <f>IF(AND($BC$48=1,VLOOKUP(Z79,Control!$AS$37:$AV$68,4,FALSE)&lt;0),0,VLOOKUP(Z79,Control!$AS$37:$AV$68,4,FALSE))-$AG$75+2</f>
        <v>2</v>
      </c>
      <c r="AH79" s="155"/>
      <c r="AI79" s="143">
        <f>AF79*VLOOKUP($Y79,Control!$F$75:$H$87,3,FALSE)/$AB79</f>
        <v>0</v>
      </c>
      <c r="AJ79" s="144">
        <f>$AG79*Control!$D$77</f>
        <v>2.6072328767123291E-2</v>
      </c>
      <c r="AK79" s="144"/>
      <c r="AL79" s="143">
        <f>Control!$I$90/WTI!AB79</f>
        <v>0.10714285714285714</v>
      </c>
      <c r="AM79" s="143">
        <f>IF(I79="Corpus Christi",Control!$D$76,0)</f>
        <v>0</v>
      </c>
      <c r="AN79" s="143">
        <v>0</v>
      </c>
      <c r="AO79" s="143">
        <f>Control!$D$78</f>
        <v>0</v>
      </c>
      <c r="AP79" s="143">
        <f>Control!$D$79</f>
        <v>6.7299999999999999E-2</v>
      </c>
      <c r="AQ79" s="143">
        <f>IF(INDEX(Control!$Q$3:$S$62,MATCH($Z79,Control!$Q$3:$Q$62,0),MATCH(AQ$9,Control!$Q$3:$S$3,0))=1,Control!$D$81*Control!$E$81,0)</f>
        <v>0</v>
      </c>
      <c r="AR79" s="143">
        <f>IF(INDEX(Control!$Q$3:$S$62,MATCH($Z79,Control!$Q$3:$Q$62,0),MATCH(AR$9,Control!$Q$3:$S$3,0))=1,INDEX(Control!$AK$3:$AO$69,MATCH(WTI!Z79,Control!$AK$3:$AK$29,0),MATCH(WTI!Y79,Control!$AK$3:$AO$3,0))/AB79*1000,0)</f>
        <v>0</v>
      </c>
      <c r="AS79" s="143" t="str">
        <f t="shared" si="264"/>
        <v/>
      </c>
      <c r="AT79" s="143"/>
      <c r="AU79" s="149">
        <f t="shared" ref="AU79" si="269">SUM(AI79:AT79)</f>
        <v>0.20051518590998044</v>
      </c>
      <c r="AV79" s="149">
        <f t="shared" si="255"/>
        <v>1.2925151859099806</v>
      </c>
      <c r="AW79" s="149">
        <f t="shared" si="256"/>
        <v>2.9</v>
      </c>
      <c r="AX79" s="149">
        <v>0</v>
      </c>
      <c r="AY79" s="149"/>
      <c r="AZ79" s="501">
        <f t="shared" si="257"/>
        <v>14.713063378681065</v>
      </c>
      <c r="BC79" s="153">
        <v>4</v>
      </c>
      <c r="BD79" s="163">
        <f t="shared" si="265"/>
        <v>46360</v>
      </c>
      <c r="BE79" s="163">
        <f t="shared" si="258"/>
        <v>46362</v>
      </c>
      <c r="BF79" s="163" t="s">
        <v>157</v>
      </c>
      <c r="BG79" s="490">
        <f t="shared" si="259"/>
        <v>46387</v>
      </c>
      <c r="BH79" s="490">
        <f t="shared" si="260"/>
        <v>46387</v>
      </c>
      <c r="BO79"/>
      <c r="BP79"/>
      <c r="BQ79"/>
      <c r="BR79"/>
    </row>
    <row r="80" spans="1:74" ht="17.25" customHeight="1" x14ac:dyDescent="0.35">
      <c r="A80" s="230">
        <f t="shared" si="266"/>
        <v>46355</v>
      </c>
      <c r="B80" s="230">
        <f t="shared" si="267"/>
        <v>46357</v>
      </c>
      <c r="D80" s="229">
        <f>IF(AL80=0,0,VLOOKUP(Y80,Control!$G$41:$J$44,4,FALSE))</f>
        <v>0</v>
      </c>
      <c r="E80" s="519">
        <f t="shared" si="252"/>
        <v>46356</v>
      </c>
      <c r="F80"/>
      <c r="G80"/>
      <c r="H80"/>
      <c r="I80"/>
      <c r="J80"/>
      <c r="K80"/>
      <c r="L80"/>
      <c r="M80"/>
      <c r="N80"/>
      <c r="O80"/>
      <c r="P80"/>
      <c r="Q80"/>
      <c r="T80" s="220">
        <f>INDEX([2]Sheet1!$F$2:$AG$5,MATCH($V80,[2]Sheet1!$F$2:$F$5,0),MATCH(Z80,[2]Sheet1!$F$2:$AG$2,0))</f>
        <v>8.52</v>
      </c>
      <c r="U80" s="220">
        <v>0</v>
      </c>
      <c r="V80" s="220" t="s">
        <v>64</v>
      </c>
      <c r="W80" s="213">
        <f>INDEX(Vessel_Minimum_MT,MATCH(Y80,Control!$E$11:$E$15,0),MATCH(V80,Control!$E$11:$O$11,0))</f>
        <v>80000</v>
      </c>
      <c r="X80" s="222">
        <f>AB80/Control!$D$84</f>
        <v>90096.96796338672</v>
      </c>
      <c r="Y80" s="258" t="s">
        <v>23</v>
      </c>
      <c r="Z80" s="212" t="s">
        <v>82</v>
      </c>
      <c r="AA80" s="212" t="str">
        <f t="shared" si="253"/>
        <v>Nsea/Nsea</v>
      </c>
      <c r="AB80" s="214">
        <f t="shared" si="268"/>
        <v>700000</v>
      </c>
      <c r="AC80" s="214">
        <v>70</v>
      </c>
      <c r="AD80" s="224">
        <f t="shared" si="261"/>
        <v>150</v>
      </c>
      <c r="AE80" s="225">
        <f t="shared" ref="AE80:AE85" si="270">IF(AC80&gt;1000,IF(AD80=0,AC80,AD80)/AB80,((W80*T80*(IF(AD80=0,AC80,AD80)/100))+IF(X80&lt;W80,0,(X80-W80)*T80*IF(AD80=0,AC80,AD80)/100*U80))/AB80)</f>
        <v>1.4605714285714286</v>
      </c>
      <c r="AF80" s="226">
        <f t="shared" si="263"/>
        <v>0</v>
      </c>
      <c r="AG80" s="214">
        <f>IF(AND($BC$48=1,VLOOKUP(Z80,Control!$AS$37:$AV$68,4,FALSE)&lt;0),0,VLOOKUP(Z80,Control!$AS$37:$AV$68,4,FALSE))-$AG$75+2</f>
        <v>2</v>
      </c>
      <c r="AH80" s="214"/>
      <c r="AI80" s="227">
        <f>AF80*VLOOKUP($Y80,Control!$F$75:$H$87,3,FALSE)/$AB80</f>
        <v>0</v>
      </c>
      <c r="AJ80" s="226">
        <f>$AG80*Control!$D$77</f>
        <v>2.6072328767123291E-2</v>
      </c>
      <c r="AK80" s="226"/>
      <c r="AL80" s="227">
        <f>Control!$I$90/WTI!AB80</f>
        <v>0.10714285714285714</v>
      </c>
      <c r="AM80" s="227">
        <f>IF(I80="Corpus Christi",Control!$D$76,0)</f>
        <v>0</v>
      </c>
      <c r="AN80" s="227">
        <v>0</v>
      </c>
      <c r="AO80" s="227">
        <f>Control!$D$78</f>
        <v>0</v>
      </c>
      <c r="AP80" s="227">
        <f>Control!$D$79</f>
        <v>6.7299999999999999E-2</v>
      </c>
      <c r="AQ80" s="227">
        <f>IF(INDEX(Control!$Q$3:$S$62,MATCH($Z80,Control!$Q$3:$Q$62,0),MATCH(AQ$9,Control!$Q$3:$S$3,0))=1,Control!$D$81*Control!$E$81,0)</f>
        <v>0.2</v>
      </c>
      <c r="AR80" s="227">
        <f>IF(INDEX(Control!$Q$3:$S$62,MATCH($Z80,Control!$Q$3:$Q$62,0),MATCH(AR$9,Control!$Q$3:$S$3,0))=1,INDEX(Control!$AK$3:$AO$69,MATCH(WTI!Z80,Control!$AK$3:$AK$29,0),MATCH(WTI!Y80,Control!$AK$3:$AO$3,0))/AB80*1000,0)</f>
        <v>0</v>
      </c>
      <c r="AS80" s="227" t="str">
        <f t="shared" si="264"/>
        <v/>
      </c>
      <c r="AT80" s="227"/>
      <c r="AU80" s="225">
        <f t="shared" ref="AU80" si="271">SUM(AI80:AT80)</f>
        <v>0.40051518590998048</v>
      </c>
      <c r="AV80" s="225">
        <f t="shared" si="255"/>
        <v>1.8610866144814091</v>
      </c>
      <c r="AW80" s="225">
        <f t="shared" si="256"/>
        <v>2.9</v>
      </c>
      <c r="AX80" s="225">
        <v>0</v>
      </c>
      <c r="AY80" s="225"/>
      <c r="AZ80" s="498">
        <f t="shared" si="257"/>
        <v>15.281634807252493</v>
      </c>
      <c r="BB80" s="220"/>
      <c r="BC80" s="229">
        <v>4</v>
      </c>
      <c r="BD80" s="230">
        <f t="shared" si="265"/>
        <v>46360</v>
      </c>
      <c r="BE80" s="230">
        <f t="shared" si="258"/>
        <v>46362</v>
      </c>
      <c r="BF80" s="230" t="s">
        <v>157</v>
      </c>
      <c r="BG80" s="489">
        <f t="shared" si="259"/>
        <v>46387</v>
      </c>
      <c r="BH80" s="489">
        <f t="shared" si="260"/>
        <v>46387</v>
      </c>
      <c r="BO80"/>
      <c r="BP80"/>
      <c r="BQ80"/>
      <c r="BR80"/>
    </row>
    <row r="81" spans="1:70" ht="17.25" customHeight="1" x14ac:dyDescent="0.35">
      <c r="A81" s="163">
        <f t="shared" si="266"/>
        <v>46355</v>
      </c>
      <c r="B81" s="163">
        <f t="shared" si="267"/>
        <v>46357</v>
      </c>
      <c r="D81" s="153">
        <f>IF(AL81=0,0,VLOOKUP(Y81,Control!$G$41:$J$44,4,FALSE))</f>
        <v>0</v>
      </c>
      <c r="E81" s="518">
        <f t="shared" si="252"/>
        <v>46356</v>
      </c>
      <c r="F81"/>
      <c r="G81"/>
      <c r="H81"/>
      <c r="I81"/>
      <c r="J81"/>
      <c r="K81"/>
      <c r="L81"/>
      <c r="M81"/>
      <c r="N81"/>
      <c r="O81"/>
      <c r="P81"/>
      <c r="Q81"/>
      <c r="T81" s="191">
        <f>INDEX([2]Sheet1!$F$2:$AG$5,MATCH($V81,[2]Sheet1!$F$2:$F$5,0),MATCH(Z81,[2]Sheet1!$F$2:$AG$2,0))</f>
        <v>13.58</v>
      </c>
      <c r="U81" s="138">
        <v>0</v>
      </c>
      <c r="V81" s="138" t="s">
        <v>64</v>
      </c>
      <c r="W81" s="116">
        <f>INDEX(Vessel_Minimum_MT,MATCH(Y81,Control!$E$11:$E$15,0),MATCH(V81,Control!$E$11:$O$11,0))</f>
        <v>80000</v>
      </c>
      <c r="X81" s="140">
        <f>AB81/Control!$D$84</f>
        <v>90096.96796338672</v>
      </c>
      <c r="Y81" s="147" t="s">
        <v>23</v>
      </c>
      <c r="Z81" s="142" t="s">
        <v>78</v>
      </c>
      <c r="AA81" s="142" t="str">
        <f t="shared" si="253"/>
        <v>Nsea/Nsea</v>
      </c>
      <c r="AB81" s="141">
        <f t="shared" si="268"/>
        <v>700000</v>
      </c>
      <c r="AC81" s="141">
        <v>70</v>
      </c>
      <c r="AD81" s="49">
        <f t="shared" si="261"/>
        <v>150</v>
      </c>
      <c r="AE81" s="149">
        <f t="shared" si="270"/>
        <v>2.3279999999999998</v>
      </c>
      <c r="AF81" s="28">
        <f t="shared" si="263"/>
        <v>0</v>
      </c>
      <c r="AG81" s="155">
        <f>IF(AND($BC$48=1,VLOOKUP(Z81,Control!$AS$37:$AV$68,4,FALSE)&lt;0),0,VLOOKUP(Z81,Control!$AS$37:$AV$68,4,FALSE))-$AG$75+2</f>
        <v>2</v>
      </c>
      <c r="AH81" s="155"/>
      <c r="AI81" s="143">
        <f>AF81*VLOOKUP($Y81,Control!$F$75:$H$87,3,FALSE)/$AB81</f>
        <v>0</v>
      </c>
      <c r="AJ81" s="144">
        <f>$AG81*Control!$D$77</f>
        <v>2.6072328767123291E-2</v>
      </c>
      <c r="AK81" s="144"/>
      <c r="AL81" s="143">
        <f>Control!$I$90/WTI!AB81</f>
        <v>0.10714285714285714</v>
      </c>
      <c r="AM81" s="143">
        <f>IF(I81="Corpus Christi",Control!$D$76,0)</f>
        <v>0</v>
      </c>
      <c r="AN81" s="143">
        <v>0</v>
      </c>
      <c r="AO81" s="143">
        <f>Control!$D$78</f>
        <v>0</v>
      </c>
      <c r="AP81" s="143">
        <f>Control!$D$79</f>
        <v>6.7299999999999999E-2</v>
      </c>
      <c r="AQ81" s="143">
        <f>IF(INDEX(Control!$Q$3:$S$62,MATCH($Z81,Control!$Q$3:$Q$62,0),MATCH(AQ$9,Control!$Q$3:$S$3,0))=1,Control!$D$81*Control!$E$81,0)</f>
        <v>0</v>
      </c>
      <c r="AR81" s="143">
        <f>IF(INDEX(Control!$Q$3:$S$62,MATCH($Z81,Control!$Q$3:$Q$62,0),MATCH(AR$9,Control!$Q$3:$S$3,0))=1,INDEX(Control!$AK$3:$AO$69,MATCH(WTI!Z81,Control!$AK$3:$AK$29,0),MATCH(WTI!Y81,Control!$AK$3:$AO$3,0))/AB81*1000,0)</f>
        <v>0</v>
      </c>
      <c r="AS81" s="143" t="str">
        <f t="shared" si="264"/>
        <v/>
      </c>
      <c r="AT81" s="143"/>
      <c r="AU81" s="149">
        <f t="shared" ref="AU81:AU82" si="272">SUM(AI81:AT81)</f>
        <v>0.20051518590998044</v>
      </c>
      <c r="AV81" s="149">
        <f t="shared" si="255"/>
        <v>2.5285151859099804</v>
      </c>
      <c r="AW81" s="149">
        <f t="shared" si="256"/>
        <v>2.9</v>
      </c>
      <c r="AX81" s="149">
        <v>0</v>
      </c>
      <c r="AY81" s="149"/>
      <c r="AZ81" s="501">
        <f t="shared" si="257"/>
        <v>15.949063378681066</v>
      </c>
      <c r="BC81" s="153">
        <v>4</v>
      </c>
      <c r="BD81" s="163">
        <f t="shared" si="265"/>
        <v>46360</v>
      </c>
      <c r="BE81" s="163">
        <f t="shared" si="258"/>
        <v>46362</v>
      </c>
      <c r="BF81" s="163" t="s">
        <v>157</v>
      </c>
      <c r="BG81" s="490">
        <f t="shared" si="259"/>
        <v>46387</v>
      </c>
      <c r="BH81" s="490">
        <f t="shared" si="260"/>
        <v>46387</v>
      </c>
      <c r="BO81"/>
      <c r="BP81"/>
      <c r="BQ81"/>
      <c r="BR81"/>
    </row>
    <row r="82" spans="1:70" ht="17.25" customHeight="1" x14ac:dyDescent="0.35">
      <c r="A82" s="230">
        <f t="shared" si="266"/>
        <v>46355</v>
      </c>
      <c r="B82" s="230">
        <f t="shared" si="267"/>
        <v>46357</v>
      </c>
      <c r="D82" s="229">
        <f>IF(AL82=0,0,VLOOKUP(Y82,Control!$G$41:$J$44,4,FALSE))</f>
        <v>0</v>
      </c>
      <c r="E82" s="519">
        <f t="shared" si="252"/>
        <v>46356</v>
      </c>
      <c r="F82"/>
      <c r="G82"/>
      <c r="H82"/>
      <c r="I82"/>
      <c r="J82"/>
      <c r="K82"/>
      <c r="L82"/>
      <c r="M82"/>
      <c r="N82"/>
      <c r="O82"/>
      <c r="P82"/>
      <c r="Q82"/>
      <c r="T82" s="220">
        <f>INDEX([2]Sheet1!$F$2:$AG$5,MATCH($V82,[2]Sheet1!$F$2:$F$5,0),MATCH(Z82,[2]Sheet1!$F$2:$AG$2,0))</f>
        <v>13.7</v>
      </c>
      <c r="U82" s="220">
        <v>0</v>
      </c>
      <c r="V82" s="220" t="s">
        <v>64</v>
      </c>
      <c r="W82" s="213">
        <f>INDEX(Vessel_Minimum_MT,MATCH(Y82,Control!$E$11:$E$15,0),MATCH(V82,Control!$E$11:$O$11,0))</f>
        <v>80000</v>
      </c>
      <c r="X82" s="222">
        <f>AB82/Control!$D$84</f>
        <v>90096.96796338672</v>
      </c>
      <c r="Y82" s="215" t="s">
        <v>23</v>
      </c>
      <c r="Z82" s="212" t="s">
        <v>29</v>
      </c>
      <c r="AA82" s="212" t="str">
        <f t="shared" si="253"/>
        <v>Nsea/Med</v>
      </c>
      <c r="AB82" s="214">
        <f t="shared" si="268"/>
        <v>700000</v>
      </c>
      <c r="AC82" s="214"/>
      <c r="AD82" s="224">
        <f t="shared" si="261"/>
        <v>150</v>
      </c>
      <c r="AE82" s="225">
        <f t="shared" si="270"/>
        <v>2.3485714285714288</v>
      </c>
      <c r="AF82" s="306">
        <f t="shared" si="263"/>
        <v>0</v>
      </c>
      <c r="AG82" s="214">
        <f>IF(AND($BC$48=1,VLOOKUP(Z82,Control!$AS$37:$AV$68,4,FALSE)&lt;0),0,VLOOKUP(Z82,Control!$AS$37:$AV$68,4,FALSE))-$AG$75+2</f>
        <v>2</v>
      </c>
      <c r="AH82" s="214"/>
      <c r="AI82" s="227">
        <f>AF82*VLOOKUP($Y82,Control!$F$75:$H$87,3,FALSE)/$AB82</f>
        <v>0</v>
      </c>
      <c r="AJ82" s="226">
        <f>$AG82*Control!$D$77</f>
        <v>2.6072328767123291E-2</v>
      </c>
      <c r="AK82" s="226"/>
      <c r="AL82" s="227">
        <f>Control!$I$90/WTI!AB82</f>
        <v>0.10714285714285714</v>
      </c>
      <c r="AM82" s="227">
        <f>IF(I82="Corpus Christi",Control!$D$76,0)</f>
        <v>0</v>
      </c>
      <c r="AN82" s="227">
        <v>0</v>
      </c>
      <c r="AO82" s="227">
        <f>Control!$D$78</f>
        <v>0</v>
      </c>
      <c r="AP82" s="227">
        <f>Control!$D$79</f>
        <v>6.7299999999999999E-2</v>
      </c>
      <c r="AQ82" s="227">
        <f>IF(INDEX(Control!$Q$3:$S$62,MATCH($Z82,Control!$Q$3:$Q$62,0),MATCH(AQ$9,Control!$Q$3:$S$3,0))=1,Control!$D$81*Control!$E$81,0)</f>
        <v>0</v>
      </c>
      <c r="AR82" s="227">
        <f>IF(INDEX(Control!$Q$3:$S$62,MATCH($Z82,Control!$Q$3:$Q$62,0),MATCH(AR$9,Control!$Q$3:$S$3,0))=1,INDEX(Control!$AK$3:$AO$69,MATCH(WTI!Z82,Control!$AK$3:$AK$29,0),MATCH(WTI!Y82,Control!$AK$3:$AO$3,0))/AB82*1000,0)</f>
        <v>0</v>
      </c>
      <c r="AS82" s="227" t="str">
        <f t="shared" si="264"/>
        <v/>
      </c>
      <c r="AT82" s="227"/>
      <c r="AU82" s="225">
        <f t="shared" si="272"/>
        <v>0.20051518590998044</v>
      </c>
      <c r="AV82" s="225">
        <f t="shared" si="255"/>
        <v>2.5490866144814093</v>
      </c>
      <c r="AW82" s="225">
        <f t="shared" si="256"/>
        <v>2.9</v>
      </c>
      <c r="AX82" s="225">
        <v>0</v>
      </c>
      <c r="AY82" s="225"/>
      <c r="AZ82" s="498">
        <f t="shared" si="257"/>
        <v>15.969634807252493</v>
      </c>
      <c r="BB82" s="220"/>
      <c r="BC82" s="229">
        <v>4</v>
      </c>
      <c r="BD82" s="230">
        <f t="shared" si="265"/>
        <v>46360</v>
      </c>
      <c r="BE82" s="230">
        <f t="shared" si="258"/>
        <v>46362</v>
      </c>
      <c r="BF82" s="230" t="s">
        <v>157</v>
      </c>
      <c r="BG82" s="489">
        <f t="shared" si="259"/>
        <v>46387</v>
      </c>
      <c r="BH82" s="489">
        <f t="shared" si="260"/>
        <v>46387</v>
      </c>
      <c r="BO82"/>
      <c r="BP82"/>
      <c r="BQ82"/>
      <c r="BR82"/>
    </row>
    <row r="83" spans="1:70" ht="17.25" customHeight="1" x14ac:dyDescent="0.35">
      <c r="A83" s="163">
        <f t="shared" si="266"/>
        <v>46355</v>
      </c>
      <c r="B83" s="163">
        <f t="shared" si="267"/>
        <v>46357</v>
      </c>
      <c r="D83" s="153">
        <f>IF(AL83=0,0,VLOOKUP(Y83,Control!$G$41:$J$44,4,FALSE))</f>
        <v>0</v>
      </c>
      <c r="E83" s="518">
        <f t="shared" si="252"/>
        <v>46356</v>
      </c>
      <c r="F83"/>
      <c r="G83"/>
      <c r="H83"/>
      <c r="I83"/>
      <c r="J83"/>
      <c r="K83"/>
      <c r="L83"/>
      <c r="M83"/>
      <c r="N83"/>
      <c r="O83"/>
      <c r="P83"/>
      <c r="Q83"/>
      <c r="T83" s="191">
        <f>INDEX([2]Sheet1!$F$2:$AG$5,MATCH($V83,[2]Sheet1!$F$2:$F$5,0),MATCH(Z83,[2]Sheet1!$F$2:$AG$2,0))</f>
        <v>7.84</v>
      </c>
      <c r="U83" s="138">
        <v>0</v>
      </c>
      <c r="V83" s="138" t="s">
        <v>64</v>
      </c>
      <c r="W83" s="116">
        <f>INDEX(Vessel_Minimum_MT,MATCH(Y83,Control!$E$11:$E$15,0),MATCH(V83,Control!$E$11:$O$11,0))</f>
        <v>80000</v>
      </c>
      <c r="X83" s="140">
        <f>AB83/Control!$D$84</f>
        <v>90096.96796338672</v>
      </c>
      <c r="Y83" s="147" t="s">
        <v>23</v>
      </c>
      <c r="Z83" s="142" t="s">
        <v>47</v>
      </c>
      <c r="AA83" s="142" t="str">
        <f>$AA$57</f>
        <v>USGC/Nsea</v>
      </c>
      <c r="AB83" s="141">
        <f t="shared" si="268"/>
        <v>700000</v>
      </c>
      <c r="AC83" s="141">
        <v>70</v>
      </c>
      <c r="AD83" s="49">
        <f t="shared" si="261"/>
        <v>150</v>
      </c>
      <c r="AE83" s="149">
        <f t="shared" si="270"/>
        <v>1.3440000000000001</v>
      </c>
      <c r="AF83" s="28">
        <f t="shared" si="263"/>
        <v>0</v>
      </c>
      <c r="AG83" s="155">
        <f>IF(AND($BC$48=1,VLOOKUP(Z83,Control!$AS$37:$AV$68,4,FALSE)&lt;0),0,VLOOKUP(Z83,Control!$AS$37:$AV$68,4,FALSE))-$AG$75+2</f>
        <v>2</v>
      </c>
      <c r="AH83" s="155"/>
      <c r="AI83" s="143">
        <f>AF83*VLOOKUP($Y83,Control!$F$75:$H$87,3,FALSE)/$AB83</f>
        <v>0</v>
      </c>
      <c r="AJ83" s="144">
        <f>$AG83*Control!$D$77</f>
        <v>2.6072328767123291E-2</v>
      </c>
      <c r="AK83" s="144"/>
      <c r="AL83" s="143">
        <f>Control!$I$90/WTI!AB83</f>
        <v>0.10714285714285714</v>
      </c>
      <c r="AM83" s="143">
        <f>IF(I83="Corpus Christi",Control!$D$76,0)</f>
        <v>0</v>
      </c>
      <c r="AN83" s="143">
        <v>0</v>
      </c>
      <c r="AO83" s="143">
        <f>Control!$D$78</f>
        <v>0</v>
      </c>
      <c r="AP83" s="143">
        <f>Control!$D$79</f>
        <v>6.7299999999999999E-2</v>
      </c>
      <c r="AQ83" s="143">
        <f>IF(INDEX(Control!$Q$3:$S$62,MATCH($Z83,Control!$Q$3:$Q$62,0),MATCH(AQ$9,Control!$Q$3:$S$3,0))=1,Control!$D$81*Control!$E$81,0)</f>
        <v>0</v>
      </c>
      <c r="AR83" s="143">
        <v>0</v>
      </c>
      <c r="AS83" s="143" t="str">
        <f t="shared" si="264"/>
        <v/>
      </c>
      <c r="AT83" s="143"/>
      <c r="AU83" s="149">
        <f t="shared" ref="AU83:AU84" si="273">SUM(AI83:AT83)</f>
        <v>0.20051518590998044</v>
      </c>
      <c r="AV83" s="149">
        <f t="shared" si="255"/>
        <v>1.5445151859099806</v>
      </c>
      <c r="AW83" s="149">
        <f t="shared" si="256"/>
        <v>2.9</v>
      </c>
      <c r="AX83" s="149">
        <v>0</v>
      </c>
      <c r="AY83" s="149"/>
      <c r="AZ83" s="590">
        <f t="shared" si="257"/>
        <v>14.965063378681066</v>
      </c>
      <c r="BC83" s="153">
        <v>4</v>
      </c>
      <c r="BD83" s="163">
        <f t="shared" si="265"/>
        <v>46360</v>
      </c>
      <c r="BE83" s="163">
        <f t="shared" si="258"/>
        <v>46362</v>
      </c>
      <c r="BF83" s="163" t="s">
        <v>157</v>
      </c>
      <c r="BG83" s="490">
        <f t="shared" si="259"/>
        <v>46387</v>
      </c>
      <c r="BH83" s="490">
        <f t="shared" si="260"/>
        <v>46387</v>
      </c>
      <c r="BO83"/>
      <c r="BP83"/>
      <c r="BQ83"/>
      <c r="BR83"/>
    </row>
    <row r="84" spans="1:70" ht="17.25" customHeight="1" x14ac:dyDescent="0.35">
      <c r="A84" s="230">
        <f t="shared" si="266"/>
        <v>46355</v>
      </c>
      <c r="B84" s="230">
        <f t="shared" si="267"/>
        <v>46357</v>
      </c>
      <c r="D84" s="229">
        <f>IF(AL84=0,0,VLOOKUP(Y84,Control!$G$41:$J$44,4,FALSE))</f>
        <v>0</v>
      </c>
      <c r="E84" s="519">
        <f t="shared" si="252"/>
        <v>46356</v>
      </c>
      <c r="F84"/>
      <c r="G84"/>
      <c r="H84"/>
      <c r="I84"/>
      <c r="J84"/>
      <c r="K84"/>
      <c r="L84"/>
      <c r="M84"/>
      <c r="N84"/>
      <c r="O84"/>
      <c r="P84"/>
      <c r="Q84"/>
      <c r="T84" s="220">
        <f>INDEX([2]Sheet1!$F$2:$AG$5,MATCH($V84,[2]Sheet1!$F$2:$F$5,0),MATCH(Z84,[2]Sheet1!$F$2:$AG$2,0))</f>
        <v>7.39</v>
      </c>
      <c r="U84" s="220">
        <v>0</v>
      </c>
      <c r="V84" s="220" t="s">
        <v>64</v>
      </c>
      <c r="W84" s="213">
        <f>INDEX(Vessel_Minimum_MT,MATCH(Y84,Control!$E$11:$E$15,0),MATCH(V84,Control!$E$11:$O$11,0))</f>
        <v>80000</v>
      </c>
      <c r="X84" s="222">
        <f>AB84/Control!$D$84</f>
        <v>90096.96796338672</v>
      </c>
      <c r="Y84" s="215" t="s">
        <v>23</v>
      </c>
      <c r="Z84" s="212" t="s">
        <v>96</v>
      </c>
      <c r="AA84" s="212" t="str">
        <f t="shared" ref="AA84:AA85" si="274">IF(Z84=V84,"",CONCATENATE(CONCATENATE(VLOOKUP(V84,Zones,2,FALSE),"/",VLOOKUP(Z84,Zones,2,FALSE))))</f>
        <v>Nsea/Nsea</v>
      </c>
      <c r="AB84" s="214">
        <f>AB77</f>
        <v>700000</v>
      </c>
      <c r="AC84" s="214"/>
      <c r="AD84" s="264">
        <f t="shared" si="261"/>
        <v>150</v>
      </c>
      <c r="AE84" s="225">
        <f t="shared" si="270"/>
        <v>1.2668571428571429</v>
      </c>
      <c r="AF84" s="306">
        <v>0</v>
      </c>
      <c r="AG84" s="214">
        <f>IF(AND($BC$48=1,VLOOKUP(Z84,Control!$AS$37:$AV$68,4,FALSE)&lt;0),0,VLOOKUP(Z84,Control!$AS$37:$AV$68,4,FALSE))-$AG$75+2</f>
        <v>2</v>
      </c>
      <c r="AH84" s="214"/>
      <c r="AI84" s="227">
        <f>AF84*VLOOKUP($Y84,Control!$F$75:$H$87,3,FALSE)/$AB84</f>
        <v>0</v>
      </c>
      <c r="AJ84" s="226">
        <f>$AG84*Control!$D$77</f>
        <v>2.6072328767123291E-2</v>
      </c>
      <c r="AK84" s="226"/>
      <c r="AL84" s="227">
        <f>Control!$I$90/WTI!AB84</f>
        <v>0.10714285714285714</v>
      </c>
      <c r="AM84" s="227">
        <f>IF(I84="Corpus Christi",Control!$D$76,0)</f>
        <v>0</v>
      </c>
      <c r="AN84" s="227">
        <v>0</v>
      </c>
      <c r="AO84" s="227">
        <f>Control!$D$78</f>
        <v>0</v>
      </c>
      <c r="AP84" s="227">
        <f>Control!$D$79</f>
        <v>6.7299999999999999E-2</v>
      </c>
      <c r="AQ84" s="227">
        <f>IF(INDEX(Control!$Q$3:$S$62,MATCH($Z84,Control!$Q$3:$Q$62,0),MATCH(AQ$9,Control!$Q$3:$S$3,0))=1,Control!$D$81*Control!$E$81,0)</f>
        <v>0</v>
      </c>
      <c r="AR84" s="227">
        <v>0</v>
      </c>
      <c r="AS84" s="227" t="str">
        <f t="shared" si="264"/>
        <v/>
      </c>
      <c r="AT84" s="227"/>
      <c r="AU84" s="225">
        <f t="shared" si="273"/>
        <v>0.20051518590998044</v>
      </c>
      <c r="AV84" s="225">
        <f t="shared" si="255"/>
        <v>1.4673723287671234</v>
      </c>
      <c r="AW84" s="225">
        <f t="shared" si="256"/>
        <v>2.9</v>
      </c>
      <c r="AX84" s="225">
        <v>0</v>
      </c>
      <c r="AY84" s="225"/>
      <c r="AZ84" s="497">
        <f t="shared" si="257"/>
        <v>14.887920521538208</v>
      </c>
      <c r="BB84" s="220"/>
      <c r="BC84" s="229">
        <v>4</v>
      </c>
      <c r="BD84" s="230">
        <f t="shared" si="265"/>
        <v>46360</v>
      </c>
      <c r="BE84" s="230">
        <f t="shared" si="258"/>
        <v>46362</v>
      </c>
      <c r="BF84" s="230" t="s">
        <v>157</v>
      </c>
      <c r="BG84" s="489">
        <f t="shared" si="259"/>
        <v>46387</v>
      </c>
      <c r="BH84" s="489">
        <f t="shared" si="260"/>
        <v>46387</v>
      </c>
      <c r="BO84"/>
      <c r="BP84"/>
      <c r="BQ84"/>
      <c r="BR84"/>
    </row>
    <row r="85" spans="1:70" ht="17.25" customHeight="1" x14ac:dyDescent="0.35">
      <c r="A85" s="163">
        <f t="shared" si="266"/>
        <v>46355</v>
      </c>
      <c r="B85" s="163">
        <f t="shared" si="267"/>
        <v>46357</v>
      </c>
      <c r="D85" s="153">
        <f>IF(AL85=0,0,VLOOKUP(Y85,Control!$G$41:$J$44,4,FALSE))</f>
        <v>3</v>
      </c>
      <c r="E85" s="518">
        <f t="shared" si="252"/>
        <v>46359</v>
      </c>
      <c r="F85"/>
      <c r="G85"/>
      <c r="H85"/>
      <c r="I85"/>
      <c r="J85"/>
      <c r="K85"/>
      <c r="L85"/>
      <c r="M85"/>
      <c r="N85"/>
      <c r="O85"/>
      <c r="P85"/>
      <c r="Q85"/>
      <c r="T85" s="191">
        <f>INDEX([2]Sheet1!$F$2:$AG$5,MATCH($V85,[2]Sheet1!$F$2:$F$5,0),MATCH(Z85,[2]Sheet1!$F$2:$AG$2,0))</f>
        <v>7.39</v>
      </c>
      <c r="U85" s="138">
        <v>0</v>
      </c>
      <c r="V85" s="138" t="s">
        <v>64</v>
      </c>
      <c r="W85" s="641">
        <f>INDEX(Vessel_Minimum_MT,MATCH(Y85,Control!$E$11:$E$15,0),MATCH(V85,Control!$E$11:$O$11,0))</f>
        <v>145000</v>
      </c>
      <c r="X85" s="140">
        <f>AB85/Control!$D$84</f>
        <v>109403.46109839817</v>
      </c>
      <c r="Y85" s="147" t="s">
        <v>24</v>
      </c>
      <c r="Z85" s="142" t="s">
        <v>96</v>
      </c>
      <c r="AA85" s="142" t="str">
        <f t="shared" si="274"/>
        <v>Nsea/Nsea</v>
      </c>
      <c r="AB85" s="141">
        <v>850000</v>
      </c>
      <c r="AC85" s="141">
        <v>70</v>
      </c>
      <c r="AD85" s="49">
        <f t="shared" si="261"/>
        <v>150</v>
      </c>
      <c r="AE85" s="149">
        <f t="shared" si="270"/>
        <v>1.8909705882352941</v>
      </c>
      <c r="AF85" s="28">
        <f t="shared" si="263"/>
        <v>0</v>
      </c>
      <c r="AG85" s="155">
        <f>IF(AND($BC$48=1,VLOOKUP(Z85,Control!$AS$37:$AV$68,4,FALSE)&lt;0),0,VLOOKUP(Z85,Control!$AS$37:$AV$68,4,FALSE))-$AG$75+2</f>
        <v>2</v>
      </c>
      <c r="AH85" s="155"/>
      <c r="AI85" s="143">
        <f>AF85*VLOOKUP($Y85,Control!$F$75:$H$87,3,FALSE)/$AB85</f>
        <v>0</v>
      </c>
      <c r="AJ85" s="144">
        <f>$AG85*Control!$D$77</f>
        <v>2.6072328767123291E-2</v>
      </c>
      <c r="AK85" s="144"/>
      <c r="AL85" s="143">
        <f>Control!$I$90/WTI!AB85</f>
        <v>8.8235294117647065E-2</v>
      </c>
      <c r="AM85" s="143">
        <f>IF(I85="Corpus Christi",Control!$D$76,0)</f>
        <v>0</v>
      </c>
      <c r="AN85" s="143">
        <f>IF(AND(Control!$D$85-ROUNDUP(((AB85-VLOOKUP(Y85,Control!$J$76:$K$82,2,FALSE))),0)&gt;0,Control!$D$85-ROUNDUP(((AB85-VLOOKUP(Y85,Control!$J$76:$K$82,2,FALSE))),0)&lt;Control!$D$86-ROUNDUP(((AB85-VLOOKUP(Y85,Control!$J$76:$K$82,2,FALSE))),0)),Control!$D$85,Control!$D$86)</f>
        <v>750000</v>
      </c>
      <c r="AO85" s="143">
        <f>Control!$D$78</f>
        <v>0</v>
      </c>
      <c r="AP85" s="143">
        <f>Control!$D$79</f>
        <v>6.7299999999999999E-2</v>
      </c>
      <c r="AQ85" s="143">
        <f>IF(INDEX(Control!$Q$3:$S$62,MATCH($Z85,Control!$Q$3:$Q$62,0),MATCH(AQ$9,Control!$Q$3:$S$3,0))=1,Control!$D$81*Control!$E$81,0)</f>
        <v>0</v>
      </c>
      <c r="AR85" s="143">
        <f>AR78</f>
        <v>0</v>
      </c>
      <c r="AS85" s="143">
        <f>116490/AB85</f>
        <v>0.13704705882352941</v>
      </c>
      <c r="AT85" s="143"/>
      <c r="AU85" s="149">
        <f t="shared" ref="AU85" si="275">SUM(AI85:AM85,AO85:AT85)</f>
        <v>0.31865468170829975</v>
      </c>
      <c r="AV85" s="149">
        <f t="shared" si="255"/>
        <v>2.2096252699435937</v>
      </c>
      <c r="AW85" s="149">
        <f t="shared" si="256"/>
        <v>2.9</v>
      </c>
      <c r="AX85" s="149">
        <v>0</v>
      </c>
      <c r="AY85" s="149"/>
      <c r="AZ85" s="501">
        <f t="shared" si="257"/>
        <v>15.630173462714678</v>
      </c>
      <c r="BC85" s="153">
        <v>4</v>
      </c>
      <c r="BD85" s="163">
        <f t="shared" ref="BD85" si="276">IF(ISBLANK(A85),"",A85+$BC85+D85)</f>
        <v>46362</v>
      </c>
      <c r="BE85" s="163">
        <f t="shared" si="258"/>
        <v>46364</v>
      </c>
      <c r="BF85" s="163" t="s">
        <v>157</v>
      </c>
      <c r="BG85" s="490">
        <f t="shared" si="259"/>
        <v>46387</v>
      </c>
      <c r="BH85" s="490">
        <f t="shared" si="260"/>
        <v>46387</v>
      </c>
      <c r="BO85"/>
      <c r="BP85"/>
      <c r="BQ85"/>
      <c r="BR85"/>
    </row>
    <row r="86" spans="1:70" ht="17.25" customHeight="1" x14ac:dyDescent="0.35">
      <c r="A86"/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W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O86"/>
      <c r="BP86"/>
      <c r="BQ86"/>
      <c r="BR86"/>
    </row>
    <row r="87" spans="1:70" ht="17.25" customHeight="1" x14ac:dyDescent="0.35">
      <c r="A87" s="309">
        <v>45940</v>
      </c>
      <c r="B87" s="310">
        <f>A87+2</f>
        <v>45942</v>
      </c>
      <c r="D87" s="229">
        <v>6</v>
      </c>
      <c r="E87" s="519">
        <f t="shared" ref="E87" si="277">AVERAGE(A87:B87)+D87</f>
        <v>45947</v>
      </c>
      <c r="F87"/>
      <c r="G87"/>
      <c r="H87"/>
      <c r="I87"/>
      <c r="J87"/>
      <c r="K87"/>
      <c r="L87"/>
      <c r="M87"/>
      <c r="N87"/>
      <c r="O87"/>
      <c r="P87"/>
      <c r="Q87"/>
      <c r="T87" s="220">
        <v>0</v>
      </c>
      <c r="U87" s="220">
        <f>INDEX(Control!$E$17:$J$21,MATCH(Y87,Control!$E$17:$E$21,0),MATCH(V87,Control!$E$17:$J$17,0))</f>
        <v>0.5</v>
      </c>
      <c r="V87" s="220" t="s">
        <v>45</v>
      </c>
      <c r="W87" s="213">
        <f>INDEX(Vessel_Minimum_MT,MATCH(Y87,Control!$E$11:$E$15,0),MATCH(V87,Control!$E$11:$J$11,0))</f>
        <v>270000</v>
      </c>
      <c r="X87" s="222">
        <f>AB87/Control!$D$84</f>
        <v>269647.3541189931</v>
      </c>
      <c r="Y87" s="215" t="s">
        <v>25</v>
      </c>
      <c r="Z87" s="212" t="s">
        <v>42</v>
      </c>
      <c r="AA87" s="212" t="str">
        <f t="shared" ref="AA87" si="278">IF(Z87=V87,"",CONCATENATE(CONCATENATE(VLOOKUP(V87,Zones,2,FALSE),"/",VLOOKUP(Z87,Zones,2,FALSE))))</f>
        <v>USGC/Nsea</v>
      </c>
      <c r="AB87" s="214">
        <v>2095000</v>
      </c>
      <c r="AC87" s="214"/>
      <c r="AD87" s="377">
        <f>AD43-1000000</f>
        <v>54000000</v>
      </c>
      <c r="AE87" s="225">
        <f>AD87/AB87</f>
        <v>25.775656324582339</v>
      </c>
      <c r="AF87" s="306">
        <v>9</v>
      </c>
      <c r="AG87" s="214">
        <f>BD87+10-(A87+30)-(D87/3)</f>
        <v>31</v>
      </c>
      <c r="AH87" s="214"/>
      <c r="AI87" s="227">
        <f>AF87*VLOOKUP($Y87,Control!$F$75:$H$87,3,FALSE)/$AB87</f>
        <v>1.9331742243436754</v>
      </c>
      <c r="AJ87" s="226">
        <f>$AG87*Control!$D$77</f>
        <v>0.40412109589041101</v>
      </c>
      <c r="AK87" s="226"/>
      <c r="AL87" s="227">
        <v>0</v>
      </c>
      <c r="AM87" s="227">
        <f>IF(I87="Corpus Christi",Control!$D$76,0)</f>
        <v>0</v>
      </c>
      <c r="AN87" s="227">
        <v>0</v>
      </c>
      <c r="AO87" s="227">
        <f>Control!$D$78</f>
        <v>0</v>
      </c>
      <c r="AP87" s="227">
        <f>Control!$D$79</f>
        <v>6.7299999999999999E-2</v>
      </c>
      <c r="AQ87" s="227">
        <f>IF(INDEX(Control!$Q$3:$S$62,MATCH($Z87,Control!$Q$3:$Q$62,0),MATCH(AQ$9,Control!$Q$3:$S$3,0))=1,Control!$D$81*Control!$E$81,0)</f>
        <v>0</v>
      </c>
      <c r="AR87" s="227">
        <f>IF(INDEX(Control!$Q$3:$S$62,MATCH($Z87,Control!$Q$3:$Q$62,0),MATCH(AR$9,Control!$Q$3:$S$3,0))=1,INDEX(Control!$AK$3:$AO$69,MATCH(WTI!Z87,Control!$AK$3:$AK$29,0),MATCH(WTI!Y87,Control!$AK$3:$AO$3,0))/AB87*1000,0)</f>
        <v>0</v>
      </c>
      <c r="AS87" s="227"/>
      <c r="AT87" s="227"/>
      <c r="AU87" s="225">
        <f>SUM(AI87:AT87)+0.5</f>
        <v>2.9045953202340864</v>
      </c>
      <c r="AV87" s="225">
        <f t="shared" ref="AV87" si="279">+R87+AE87+AU87</f>
        <v>28.680251644816426</v>
      </c>
      <c r="AW87" s="225">
        <f>IF((MONTH(A87)=MONTH(BH87)),0,IF(((MONTH(BH87))-MONTH(A87))+12*YEAR(BG87)-YEAR(A87)&gt;1,SUMIFS($BD$4:$BH$4,$BD$3:$BH$3,"&lt;="&amp;EOMONTH(BG87,-1),$BD$3:$BH$3,"&gt;="&amp;EOMONTH(A87,0)),VLOOKUP("Spreads",$BC$3:$BH$4,MATCH(EOMONTH(A87,0),$BC$3:$BH$3,0))))</f>
        <v>0</v>
      </c>
      <c r="AX87" s="479" t="e">
        <f>IF(BF87="Dated",-INDEX($BC$3:$BH$6,MATCH(BF87,$BC$3:$BC$6,0),MATCH(BG87,BC3:BH3,0)),INDEX($BC$3:$BH$6,MATCH(BF87,$BC$3:$BC$6,0),MATCH(BG87,BC3:BH3,0)))</f>
        <v>#N/A</v>
      </c>
      <c r="AY87" s="479"/>
      <c r="AZ87" s="498" t="e">
        <f>$A$88+AV87+AW87+AX87</f>
        <v>#N/A</v>
      </c>
      <c r="BB87" s="220"/>
      <c r="BC87" s="229">
        <v>47</v>
      </c>
      <c r="BD87" s="230">
        <f t="shared" ref="BD87" si="280">IF(ISBLANK(A87),"",A87+$BC87+D87)</f>
        <v>45993</v>
      </c>
      <c r="BE87" s="230">
        <f t="shared" ref="BE87" si="281">BD87+2</f>
        <v>45995</v>
      </c>
      <c r="BF87" s="380" t="s">
        <v>156</v>
      </c>
      <c r="BG87" s="592">
        <f t="shared" ref="BG87" si="282">IF($BC$8=0,IF(BF87="ICE Brent",EOMONTH(BE87,2),EOMONTH(BE87,0)),IF(BF87="ICE Brent",EOMONTH(BE87,1),EOMONTH(BE87,-1)))</f>
        <v>45991</v>
      </c>
      <c r="BH87" s="489">
        <f t="shared" ref="BH87" si="283">IF($BC$8=1,EOMONTH(BE87,-1),EOMONTH(BE87,0))</f>
        <v>45991</v>
      </c>
      <c r="BO87"/>
      <c r="BP87"/>
      <c r="BQ87"/>
      <c r="BR87"/>
    </row>
    <row r="88" spans="1:70" x14ac:dyDescent="0.35">
      <c r="A88" s="570">
        <f>A89+BE5</f>
        <v>5.53</v>
      </c>
      <c r="B88"/>
      <c r="D88"/>
      <c r="E88"/>
      <c r="F88" s="132"/>
      <c r="N88" s="362"/>
      <c r="O88"/>
      <c r="P88"/>
      <c r="Q88"/>
      <c r="W88"/>
      <c r="AA88"/>
      <c r="AB88" s="485"/>
      <c r="AC88" s="77"/>
      <c r="AD88"/>
      <c r="AE88" s="485"/>
      <c r="AF88"/>
      <c r="AG88" s="485"/>
      <c r="AH88" s="485"/>
      <c r="AI88" s="30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 s="194"/>
      <c r="AY88" s="194"/>
      <c r="AZ88" s="503"/>
      <c r="BA88"/>
      <c r="BB88"/>
      <c r="BC88"/>
      <c r="BD88"/>
      <c r="BE88"/>
      <c r="BF88"/>
      <c r="BG88"/>
      <c r="BH88"/>
      <c r="BO88"/>
      <c r="BP88"/>
      <c r="BQ88"/>
      <c r="BR88"/>
    </row>
    <row r="89" spans="1:70" x14ac:dyDescent="0.35">
      <c r="A89" s="2">
        <v>0.25</v>
      </c>
      <c r="B89" t="s">
        <v>157</v>
      </c>
      <c r="D89"/>
      <c r="E89"/>
      <c r="F89" s="132"/>
      <c r="N89"/>
      <c r="O89"/>
      <c r="P89"/>
      <c r="Q89"/>
      <c r="W89"/>
      <c r="AA89"/>
      <c r="AB89" s="485"/>
      <c r="AC89"/>
      <c r="AD89"/>
      <c r="AE89" s="485"/>
      <c r="AF89"/>
      <c r="AG89" s="485"/>
      <c r="AH89" s="485"/>
      <c r="AI89" s="308"/>
      <c r="AJ89">
        <v>75</v>
      </c>
      <c r="AK89">
        <v>75</v>
      </c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 s="511"/>
      <c r="BA89"/>
      <c r="BB89"/>
      <c r="BC89"/>
      <c r="BD89"/>
      <c r="BE89"/>
      <c r="BF89"/>
      <c r="BG89"/>
      <c r="BH89"/>
      <c r="BO89"/>
      <c r="BP89"/>
      <c r="BQ89"/>
      <c r="BR89"/>
    </row>
    <row r="90" spans="1:70" x14ac:dyDescent="0.35">
      <c r="A90"/>
      <c r="B90"/>
      <c r="N90"/>
      <c r="O90"/>
      <c r="P90"/>
      <c r="Q90"/>
      <c r="W90"/>
      <c r="AA90"/>
      <c r="AB90" s="485"/>
      <c r="AC90" s="77"/>
      <c r="AD90"/>
      <c r="AE90" s="485"/>
      <c r="AF90"/>
      <c r="AG90" s="485"/>
      <c r="AH90" s="485"/>
      <c r="AI90"/>
      <c r="AJ90">
        <v>100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 s="512"/>
      <c r="BO90"/>
      <c r="BP90"/>
      <c r="BQ90"/>
      <c r="BR90"/>
    </row>
    <row r="91" spans="1:70" x14ac:dyDescent="0.35">
      <c r="A91"/>
      <c r="B91"/>
      <c r="D91"/>
      <c r="E91"/>
      <c r="N91"/>
      <c r="O91"/>
      <c r="P91"/>
      <c r="Q91"/>
      <c r="W91"/>
      <c r="Z91" t="e">
        <f>AVERAGE(Z88:Z90)</f>
        <v>#DIV/0!</v>
      </c>
      <c r="AA91"/>
      <c r="AB91" s="485"/>
      <c r="AC91"/>
      <c r="AD91"/>
      <c r="AE91" s="485"/>
      <c r="AF91"/>
      <c r="AG91" s="485"/>
      <c r="AH91" s="485"/>
      <c r="AI91"/>
      <c r="AJ91">
        <f>270*0.5</f>
        <v>135</v>
      </c>
      <c r="AK91" s="896">
        <f>370*0.5</f>
        <v>185</v>
      </c>
      <c r="AM91"/>
      <c r="AN91"/>
      <c r="AO91"/>
      <c r="AP91"/>
      <c r="AQ91"/>
      <c r="AR91"/>
      <c r="AS91"/>
      <c r="AT91"/>
      <c r="AU91"/>
      <c r="AV91"/>
      <c r="AW91"/>
      <c r="AZ91" s="21"/>
      <c r="BC91" s="495"/>
      <c r="BD91" s="43"/>
      <c r="BE91" s="406"/>
      <c r="BO91"/>
      <c r="BP91"/>
      <c r="BQ91"/>
      <c r="BR91"/>
    </row>
    <row r="92" spans="1:70" x14ac:dyDescent="0.35">
      <c r="A92"/>
      <c r="B92"/>
      <c r="D92" s="194">
        <f>BD87</f>
        <v>45993</v>
      </c>
      <c r="E92" s="194">
        <f>D92+10</f>
        <v>46003</v>
      </c>
      <c r="N92"/>
      <c r="O92"/>
      <c r="P92"/>
      <c r="Q92"/>
      <c r="W92"/>
      <c r="Z92" t="s">
        <v>224</v>
      </c>
      <c r="AA92" s="77">
        <f>Y3</f>
        <v>-3.6</v>
      </c>
      <c r="AB92" s="485" t="str">
        <f>Z92</f>
        <v>FOB vs ICE Brent</v>
      </c>
      <c r="AC92"/>
      <c r="AD92" s="77">
        <f>Y3</f>
        <v>-3.6</v>
      </c>
      <c r="AE92" s="485" t="s">
        <v>225</v>
      </c>
      <c r="AF92"/>
      <c r="AG92" s="485"/>
      <c r="AH92" s="485"/>
      <c r="AI92"/>
      <c r="AJ92">
        <f>SUM(AJ89:AJ91)</f>
        <v>310</v>
      </c>
      <c r="AK92">
        <f>SUM(AK89:AK91)</f>
        <v>260</v>
      </c>
      <c r="AL92"/>
      <c r="AM92"/>
      <c r="AN92"/>
      <c r="AO92"/>
      <c r="AP92"/>
      <c r="AQ92"/>
      <c r="AR92"/>
      <c r="AS92"/>
      <c r="AT92"/>
      <c r="AU92"/>
      <c r="AV92"/>
      <c r="AW92"/>
      <c r="BC92" s="495"/>
      <c r="BD92" s="513"/>
      <c r="BE92" s="406"/>
      <c r="BO92"/>
      <c r="BP92"/>
      <c r="BQ92"/>
      <c r="BR92"/>
    </row>
    <row r="93" spans="1:70" x14ac:dyDescent="0.35">
      <c r="A93"/>
      <c r="B93"/>
      <c r="D93" s="194">
        <f>A87</f>
        <v>45940</v>
      </c>
      <c r="E93" s="194">
        <f>D93+30</f>
        <v>45970</v>
      </c>
      <c r="N93"/>
      <c r="O93"/>
      <c r="P93"/>
      <c r="Q93"/>
      <c r="W93"/>
      <c r="Z93" t="s">
        <v>226</v>
      </c>
      <c r="AA93" s="114">
        <f>AW31</f>
        <v>2.9</v>
      </c>
      <c r="AB93" s="485" t="str">
        <f t="shared" ref="AB93:AB96" si="284">Z93</f>
        <v>Brent Sprds</v>
      </c>
      <c r="AC93"/>
      <c r="AD93" s="114">
        <f>AW29</f>
        <v>0</v>
      </c>
      <c r="AE93" s="485" t="s">
        <v>226</v>
      </c>
      <c r="AF93"/>
      <c r="AG93" s="485"/>
      <c r="AH93" s="485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BC93" s="495"/>
      <c r="BD93" s="513"/>
      <c r="BE93" s="406"/>
      <c r="BH93" s="3"/>
      <c r="BO93"/>
      <c r="BP93"/>
      <c r="BQ93"/>
      <c r="BR93"/>
    </row>
    <row r="94" spans="1:70" x14ac:dyDescent="0.35">
      <c r="A94"/>
      <c r="B94"/>
      <c r="D94" s="43">
        <f>D92-D93</f>
        <v>53</v>
      </c>
      <c r="E94" s="43">
        <f>E92-E93</f>
        <v>33</v>
      </c>
      <c r="N94" s="308"/>
      <c r="O94"/>
      <c r="P94"/>
      <c r="Q94"/>
      <c r="W94"/>
      <c r="Z94" s="577" t="s">
        <v>227</v>
      </c>
      <c r="AA94" s="480">
        <f>AX31</f>
        <v>-3.98</v>
      </c>
      <c r="AB94" s="485" t="s">
        <v>228</v>
      </c>
      <c r="AC94"/>
      <c r="AD94" s="114">
        <f>-AX46</f>
        <v>3.98</v>
      </c>
      <c r="AE94" s="485" t="s">
        <v>229</v>
      </c>
      <c r="AF94"/>
      <c r="AG94" s="485"/>
      <c r="AH94" s="485"/>
      <c r="AI94"/>
      <c r="AJ94"/>
      <c r="AK94"/>
      <c r="AL94"/>
      <c r="AM94"/>
      <c r="AN94"/>
      <c r="AO94"/>
      <c r="AP94"/>
      <c r="AQ94"/>
      <c r="AR94"/>
      <c r="AS94"/>
      <c r="AT94"/>
      <c r="AU94" s="7" t="s">
        <v>230</v>
      </c>
      <c r="AV94" s="79"/>
      <c r="AW94"/>
      <c r="BO94"/>
      <c r="BP94"/>
      <c r="BQ94"/>
      <c r="BR94"/>
    </row>
    <row r="95" spans="1:70" x14ac:dyDescent="0.35">
      <c r="A95"/>
      <c r="B95"/>
      <c r="N95" s="308"/>
      <c r="O95"/>
      <c r="P95"/>
      <c r="Q95"/>
      <c r="W95"/>
      <c r="Z95" t="s">
        <v>203</v>
      </c>
      <c r="AA95" s="114">
        <f>AE28</f>
        <v>26.506024096385541</v>
      </c>
      <c r="AB95" s="485" t="str">
        <f t="shared" si="284"/>
        <v>Freight</v>
      </c>
      <c r="AC95"/>
      <c r="AD95" s="114">
        <f>AE29</f>
        <v>26.024096385542169</v>
      </c>
      <c r="AE95" s="485" t="s">
        <v>203</v>
      </c>
      <c r="AF95"/>
      <c r="AG95" s="485"/>
      <c r="AH95" s="485"/>
      <c r="AI95"/>
      <c r="AJ95"/>
      <c r="AK95"/>
      <c r="AL95"/>
      <c r="AM95"/>
      <c r="AN95"/>
      <c r="AO95"/>
      <c r="AP95"/>
      <c r="AQ95"/>
      <c r="AR95"/>
      <c r="AS95"/>
      <c r="AT95"/>
      <c r="AU95" t="str">
        <f>"1. 2,000kb WTI +/- 5% s.o. DAP 1sp"&amp;" "&amp;VLOOKUP(Z28,Zones,2,FALSE)&amp;" "&amp;TEXT(MROUND(BD28,5),"mmm-dd")&amp;" - "&amp;TEXT(MROUND(BD28+10,5),"mmm-dd")&amp;"; "&amp;TEXT(BG28,"mmm")&amp;" "&amp;BF28&amp;" "&amp;TEXT(ROUND(AZ28,1),("+0.00;-0.00;0"))</f>
        <v>1. 2,000kb WTI +/- 5% s.o. DAP 1sp KOREA Jan-03 - Jan-13; Dec Dubai +26.90</v>
      </c>
      <c r="AV95"/>
      <c r="AW95" s="362"/>
      <c r="BC95"/>
      <c r="BO95"/>
      <c r="BP95"/>
      <c r="BQ95"/>
      <c r="BR95"/>
    </row>
    <row r="96" spans="1:70" x14ac:dyDescent="0.35">
      <c r="N96"/>
      <c r="O96"/>
      <c r="P96"/>
      <c r="Q96"/>
      <c r="W96"/>
      <c r="Z96" t="s">
        <v>231</v>
      </c>
      <c r="AA96" s="114">
        <f>AU31</f>
        <v>1.8565655454695493</v>
      </c>
      <c r="AB96" s="485" t="str">
        <f t="shared" si="284"/>
        <v>Costs</v>
      </c>
      <c r="AC96"/>
      <c r="AD96" s="114">
        <f>AU29</f>
        <v>2.0304932167024261</v>
      </c>
      <c r="AE96" s="485" t="s">
        <v>231</v>
      </c>
      <c r="AF96"/>
      <c r="AG96" s="485"/>
      <c r="AH96" s="485"/>
      <c r="AI96"/>
      <c r="AJ96"/>
      <c r="AK96"/>
      <c r="AL96"/>
      <c r="AM96"/>
      <c r="AN96"/>
      <c r="AO96"/>
      <c r="AP96"/>
      <c r="AQ96"/>
      <c r="AR96"/>
      <c r="AS96"/>
      <c r="AT96"/>
      <c r="AU96" t="str">
        <f>"2. 2,000kb WTI +/- 10% s.o. DAP 1sp"&amp;" "&amp;VLOOKUP(Z29,Zones,2,FALSE)&amp;" "&amp;TEXT(MROUND(BD29,5),"mmm-dd")&amp;" - "&amp;TEXT(MROUND(BD29+10,5),"mmm-dd")&amp;"; "&amp;TEXT(BG29,"mmm")&amp;" "&amp;BF29&amp;" "&amp;TEXT(ROUND(AZ29,1),("+0.00;-0.00;0"))</f>
        <v>2. 2,000kb WTI +/- 10% s.o. DAP 1sp Singapore Dec-24 - Jan-03; Nov Dated +19.20</v>
      </c>
      <c r="AV96"/>
      <c r="AW96"/>
      <c r="BC96"/>
      <c r="BD96"/>
      <c r="BE96"/>
      <c r="BO96"/>
      <c r="BP96"/>
      <c r="BQ96"/>
      <c r="BR96"/>
    </row>
    <row r="97" spans="4:70" x14ac:dyDescent="0.35">
      <c r="N97"/>
      <c r="O97"/>
      <c r="P97"/>
      <c r="Q97"/>
      <c r="W97"/>
      <c r="Z97" t="s">
        <v>232</v>
      </c>
      <c r="AA97" s="77">
        <f>SUM(AA92:AA96)</f>
        <v>23.682589641855092</v>
      </c>
      <c r="AB97" s="485" t="s">
        <v>233</v>
      </c>
      <c r="AC97"/>
      <c r="AD97" s="77">
        <f>AD92+AD93+AD95+AD96-AD94</f>
        <v>20.474589602244592</v>
      </c>
      <c r="AE97" s="485" t="str">
        <f>AB97</f>
        <v>Landed vs Dtd</v>
      </c>
      <c r="AF97"/>
      <c r="AG97" s="485"/>
      <c r="AH97" s="485"/>
      <c r="AI97"/>
      <c r="AJ97"/>
      <c r="AK97"/>
      <c r="AL97"/>
      <c r="AM97"/>
      <c r="AN97"/>
      <c r="AO97"/>
      <c r="AP97"/>
      <c r="AQ97"/>
      <c r="AR97"/>
      <c r="AS97"/>
      <c r="AT97"/>
      <c r="AU97" t="str">
        <f>"3. 2,000kb WTI +/- 10% s.o. DAP 1sp"&amp;" "&amp;VLOOKUP(Z30,Zones,2,FALSE)&amp;" "&amp;TEXT(MROUND(BD30,5),"mmm-dd")&amp;" - "&amp;TEXT(MROUND(BD30+10,5),"mmm-dd")&amp;"; "&amp;TEXT(BG30,"mmm")&amp;" "&amp;BF30&amp;" "&amp;TEXT(ROUND(AZ30,1),("+0.00;-0.00;0"))</f>
        <v>3. 2,000kb WTI +/- 10% s.o. DAP 1sp INDIA Dec-24 - Jan-03; Nov Dated +19.10</v>
      </c>
      <c r="AV97"/>
      <c r="AW97"/>
      <c r="BC97"/>
      <c r="BD97"/>
      <c r="BE97"/>
      <c r="BO97"/>
      <c r="BP97"/>
      <c r="BQ97"/>
      <c r="BR97"/>
    </row>
    <row r="98" spans="4:70" x14ac:dyDescent="0.35">
      <c r="N98"/>
      <c r="O98"/>
      <c r="P98"/>
      <c r="Q98"/>
      <c r="W98"/>
      <c r="Y98" t="s">
        <v>234</v>
      </c>
      <c r="AA98"/>
      <c r="AB98" s="485"/>
      <c r="AC98"/>
      <c r="AE98" s="485"/>
      <c r="AF98"/>
      <c r="AG98" s="485"/>
      <c r="AH98" s="485"/>
      <c r="AI98"/>
      <c r="AJ98"/>
      <c r="AK98"/>
      <c r="AL98"/>
      <c r="AM98"/>
      <c r="AN98"/>
      <c r="AO98"/>
      <c r="AP98"/>
      <c r="AQ98"/>
      <c r="AR98"/>
      <c r="AS98"/>
      <c r="AT98"/>
      <c r="AU98" t="str">
        <f>"4. 2,000kb WTI +/- 10% s.o. CFR 1sp"&amp;" "&amp;VLOOKUP(Z31,Zones,2,FALSE)&amp;" "&amp;TEXT(MROUND(BD31,5),"mmm-dd")&amp;" - "&amp;TEXT(MROUND(BD31+10,5),"mmm-dd")&amp;"; "&amp;TEXT(BG31,"mmm")&amp;" "&amp;BF31&amp;" "&amp;TEXT(ROUND(AZ31,1),("+0.00;-0.00;0"))</f>
        <v>4. 2,000kb WTI +/- 10% s.o. CFR 1sp TAIWAN Dec-29 - Jan-08; Dec Dated +23.50</v>
      </c>
      <c r="AV98"/>
      <c r="AW98"/>
      <c r="AX98"/>
      <c r="AY98"/>
      <c r="BC98"/>
      <c r="BD98"/>
      <c r="BE98"/>
      <c r="BO98"/>
      <c r="BP98"/>
      <c r="BQ98"/>
      <c r="BR98"/>
    </row>
    <row r="99" spans="4:70" x14ac:dyDescent="0.35">
      <c r="N99"/>
      <c r="O99"/>
      <c r="P99"/>
      <c r="Q99"/>
      <c r="W99"/>
      <c r="Y99" s="7" t="s">
        <v>235</v>
      </c>
      <c r="AA99"/>
      <c r="AB99" s="485"/>
      <c r="AC99"/>
      <c r="AD99"/>
      <c r="AE99" s="7" t="s">
        <v>236</v>
      </c>
      <c r="AF99"/>
      <c r="AG99" s="485"/>
      <c r="AH99" s="485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 s="201"/>
      <c r="AX99" s="194"/>
      <c r="AY99" s="194"/>
      <c r="AZ99" s="362"/>
      <c r="BC99"/>
      <c r="BD99"/>
      <c r="BE99" s="201"/>
      <c r="BO99"/>
      <c r="BP99"/>
      <c r="BQ99"/>
      <c r="BR99"/>
    </row>
    <row r="100" spans="4:70" x14ac:dyDescent="0.35">
      <c r="N100"/>
      <c r="O100"/>
      <c r="P100"/>
      <c r="Q100"/>
      <c r="W100"/>
      <c r="Y100" s="7" t="s">
        <v>237</v>
      </c>
      <c r="AA100"/>
      <c r="AB100" s="485"/>
      <c r="AC100"/>
      <c r="AE100" s="485"/>
      <c r="AG100" s="485"/>
      <c r="AH100" s="485"/>
      <c r="AI100"/>
      <c r="AJ100"/>
      <c r="AK100"/>
      <c r="AL100"/>
      <c r="AM100"/>
      <c r="AN100"/>
      <c r="AO100"/>
      <c r="AP100"/>
      <c r="AQ100"/>
      <c r="AR100"/>
      <c r="AS100"/>
      <c r="AT100"/>
      <c r="AU100" s="7" t="s">
        <v>238</v>
      </c>
      <c r="AV100"/>
      <c r="AW100" s="523"/>
      <c r="AX100"/>
      <c r="AY100"/>
      <c r="BC100"/>
      <c r="BD100"/>
      <c r="BE100" s="523"/>
    </row>
    <row r="101" spans="4:70" x14ac:dyDescent="0.35">
      <c r="N101"/>
      <c r="O101"/>
      <c r="P101"/>
      <c r="Q101"/>
      <c r="W101"/>
      <c r="Y101" t="str">
        <f>"1. 2,000kb WTI +/- 10% s.o. DAP 1sp"&amp;" "&amp;VLOOKUP(Z43,Zones,2,FALSE)&amp;" "&amp;TEXT(MROUND(BD43,5),"mmm-dd")&amp;" - "&amp;TEXT(MROUND(BD43+10,5),"mmm-dd")&amp;"; "&amp;TEXT(BG43,"mmm")&amp;" "&amp;BF43&amp;" "&amp;TEXT(ROUND(AZ43,1),("+0.00;-0.00;0"))</f>
        <v>1. 2,000kb WTI +/- 10% s.o. DAP 1sp KOREA Jan-08 - Jan-18; Dec Dubai +29.50</v>
      </c>
      <c r="AA101"/>
      <c r="AB101" s="485"/>
      <c r="AC101"/>
      <c r="AE101" t="str">
        <f>"1. 2,000kb WTI +/- 10% s.o. DAP 1sp"&amp;" "&amp;VLOOKUP(Z28,Zones,2,FALSE)&amp;" "&amp;TEXT(MROUND(BD34,5),"mmm-dd")&amp;" - "&amp;TEXT(MROUND(BD34+5,5),"mmm-dd")&amp;"; "&amp;TEXT(BG34,"mmm")&amp;" "&amp;BF34&amp;" "&amp;TEXT(ROUND(AVERAGE(AZ34,AZ43),1),("+0.00;-0.00;0"))</f>
        <v>1. 2,000kb WTI +/- 10% s.o. DAP 1sp KOREA Jan-03 - Jan-08; Dec Dubai +28.30</v>
      </c>
      <c r="AF101"/>
      <c r="AG101" s="494"/>
      <c r="AH101" s="494"/>
      <c r="AJ101"/>
      <c r="AK101"/>
      <c r="AL101"/>
      <c r="AM101"/>
      <c r="AN101"/>
      <c r="AO101"/>
      <c r="AP101"/>
      <c r="AQ101"/>
      <c r="AR101"/>
      <c r="AS101"/>
      <c r="AT101"/>
      <c r="AU101" t="str">
        <f>"1. 2,000kb WTI +/- 10% s.o. DAP 1sp"&amp;" "&amp;VLOOKUP(Z34,Zones,2,FALSE)&amp;" "&amp;TEXT(MROUND(BD34,5),"mmm-dd")&amp;" - "&amp;TEXT(MROUND(BD34+10,5),"mmm-dd")&amp;"; "&amp;TEXT(BG34,"mmm")&amp;" "&amp;BF34&amp;" "&amp;TEXT(ROUND(AZ34,1),("+0.00;-0.00;0"))</f>
        <v>1. 2,000kb WTI +/- 10% s.o. DAP 1sp KOREA Jan-03 - Jan-13; Dec Dubai +27.10</v>
      </c>
      <c r="AV101"/>
      <c r="AW101"/>
      <c r="AX101"/>
      <c r="AY101"/>
      <c r="BC101"/>
      <c r="BD101"/>
      <c r="BE101"/>
    </row>
    <row r="102" spans="4:70" x14ac:dyDescent="0.35">
      <c r="N102"/>
      <c r="O102"/>
      <c r="P102"/>
      <c r="Q102"/>
      <c r="W102"/>
      <c r="Y102" t="str">
        <f>"2. 2,000kb WTI +/- 10% s.o. DAP 1sp"&amp;" "&amp;VLOOKUP(Z44,Zones,2,FALSE)&amp;" "&amp;TEXT(MROUND(BD44,5),"mmm-dd")&amp;" - "&amp;TEXT(MROUND(BD44+10,5),"mmm-dd")&amp;"; "&amp;TEXT(BG44,"mmm")&amp;" "&amp;BF44&amp;" "&amp;TEXT(ROUND(AZ44,1),("+0.00;-0.00;0"))</f>
        <v>2. 2,000kb WTI +/- 10% s.o. DAP 1sp Singapore Jan-03 - Jan-13; Dec Dated +25.80</v>
      </c>
      <c r="AE102" t="str">
        <f>"2. 2,000kb WTI +/- 5% s.o. DAP 1sp"&amp;" "&amp;VLOOKUP(Z29,Zones,2,FALSE)&amp;" "&amp;TEXT(MROUND(BD35,5),"mmm-dd")&amp;" - "&amp;TEXT(MROUND(BD35+5,5),"mmm-dd")&amp;"; "&amp;TEXT(BG35,"mmm")&amp;" "&amp;BF35&amp;" "&amp;TEXT(ROUND(AVERAGE(AZ35,AZ44),1),("+0.00;-0.00;0"))</f>
        <v>2. 2,000kb WTI +/- 5% s.o. DAP 1sp Singapore Dec-29 - Jan-03; Nov Dated +22.60</v>
      </c>
      <c r="AF102"/>
      <c r="AG102" s="485"/>
      <c r="AH102" s="485"/>
      <c r="AI102"/>
      <c r="AJ102"/>
      <c r="AK102"/>
      <c r="AL102"/>
      <c r="AM102"/>
      <c r="AN102"/>
      <c r="AO102"/>
      <c r="AP102"/>
      <c r="AQ102"/>
      <c r="AR102"/>
      <c r="AS102"/>
      <c r="AT102"/>
      <c r="AU102" t="str">
        <f>"2. 2,000kb WTI +/- 10% s.o. DAP 1sp"&amp;" "&amp;VLOOKUP(Z35,Zones,2,FALSE)&amp;" "&amp;TEXT(MROUND(BD35,5),"mmm-dd")&amp;" - "&amp;TEXT(MROUND(BD35+10,5),"mmm-dd")&amp;"; "&amp;TEXT(BG35,"mmm")&amp;" "&amp;BF35&amp;" "&amp;TEXT(ROUND(AZ35,1),("+0.00;-0.00;0"))</f>
        <v>2. 2,000kb WTI +/- 10% s.o. DAP 1sp Singapore Dec-29 - Jan-08; Nov Dated +19.30</v>
      </c>
      <c r="AV102"/>
      <c r="AW102"/>
      <c r="AX102"/>
      <c r="AY102"/>
      <c r="BE102" s="406"/>
    </row>
    <row r="103" spans="4:70" x14ac:dyDescent="0.35">
      <c r="D103" s="2"/>
      <c r="E103" s="2"/>
      <c r="N103"/>
      <c r="O103"/>
      <c r="P103"/>
      <c r="Q103"/>
      <c r="W103"/>
      <c r="Y103" t="str">
        <f>"3. 2,000kb WTI +/- 10% s.o. DAP 1sp"&amp;" "&amp;VLOOKUP(Z46,Zones,2,FALSE)&amp;" "&amp;TEXT(MROUND(BD46,5),"mmm-dd")&amp;" - "&amp;TEXT(MROUND(BD46+10,5),"mmm-dd")&amp;"; "&amp;TEXT(BG46,"mmm")&amp;" "&amp;BF46&amp;" "&amp;TEXT(ROUND(AZ46,1),("+0.00;-0.00;0"))</f>
        <v>3. 2,000kb WTI +/- 10% s.o. DAP 1sp INDIA Jan-03 - Jan-13; Dec Dated +25.80</v>
      </c>
      <c r="AA103"/>
      <c r="AB103" s="485"/>
      <c r="AC103"/>
      <c r="AE103" t="str">
        <f>"3. 2,000kb WTI +/- 5% s.o. DAP 1sp"&amp;" "&amp;VLOOKUP(Z30,Zones,2,FALSE)&amp;" "&amp;TEXT(MROUND(BD36,5),"mmm-dd")&amp;" - "&amp;TEXT(MROUND(BD36+5,5),"mmm-dd")&amp;"; "&amp;TEXT(BG36,"mmm")&amp;" "&amp;BF36&amp;" "&amp;TEXT(ROUND(AVERAGE(AZ36,AZ46),1),("+0.00;-0.00;0"))</f>
        <v>3. 2,000kb WTI +/- 5% s.o. DAP 1sp INDIA Dec-24 - Dec-29; Nov Dated +22.50</v>
      </c>
      <c r="AF103"/>
      <c r="AG103" s="485"/>
      <c r="AH103" s="485"/>
      <c r="AI103"/>
      <c r="AJ103"/>
      <c r="AK103"/>
      <c r="AL103"/>
      <c r="AM103"/>
      <c r="AN103"/>
      <c r="AO103"/>
      <c r="AP103"/>
      <c r="AQ103"/>
      <c r="AR103"/>
      <c r="AS103"/>
      <c r="AT103"/>
      <c r="AU103" t="str">
        <f>"3. 2,000kb WTI +/- 10% s.o. DAP 1sp"&amp;" "&amp;VLOOKUP(Z36,Zones,2,FALSE)&amp;" "&amp;TEXT(MROUND(BD36,5),"mmm-dd")&amp;" - "&amp;TEXT(MROUND(BD36+10,5),"mmm-dd")&amp;"; "&amp;TEXT(BG36,"mmm")&amp;" "&amp;BF36&amp;" "&amp;TEXT(ROUND(AZ36,1),("+0.00;-0.00;0"))</f>
        <v>3. 2,000kb WTI +/- 10% s.o. DAP 1sp INDIA Dec-24 - Jan-03; Nov Dated +19.30</v>
      </c>
      <c r="AV103"/>
      <c r="AW103" s="201"/>
      <c r="AX103"/>
      <c r="AY103"/>
      <c r="AZ103" s="152"/>
      <c r="BC103" s="2"/>
      <c r="BE103" s="201"/>
    </row>
    <row r="104" spans="4:70" x14ac:dyDescent="0.35">
      <c r="D104" s="2"/>
      <c r="E104" s="2"/>
      <c r="N104"/>
      <c r="O104"/>
      <c r="P104"/>
      <c r="Q104"/>
      <c r="W104"/>
      <c r="Y104" t="str">
        <f>"3. 2,000kb WTI +/- 10% s.o. CFR. 1sp"&amp;" "&amp;VLOOKUP(Z47,Zones,2,FALSE)&amp;" "&amp;TEXT(MROUND(BD47,5),"mmm-dd")&amp;" - "&amp;TEXT(MROUND(BD47+10,5),"mmm-dd")&amp;"; "&amp;TEXT(BG47,"mmm")&amp;" "&amp;BF47&amp;" "&amp;TEXT(ROUND(AZ47,1),("+0.00;-0.00;0"))</f>
        <v>3. 2,000kb WTI +/- 10% s.o. CFR. 1sp TAIWAN Jan-08 - Jan-18; Dec Dated +26.00</v>
      </c>
      <c r="AA104"/>
      <c r="AB104" s="485"/>
      <c r="AC104"/>
      <c r="AE104" t="str">
        <f>"4. 2,000kb WTI +/- 5% s.o. CFR 1-2sp"&amp;" "&amp;VLOOKUP(Z31,Zones,2,FALSE)&amp;" "&amp;TEXT(MROUND(BD37,5),"mmm-dd")&amp;" - "&amp;TEXT(MROUND(BD37+5,5),"mmm-dd")&amp;"; "&amp;TEXT(BG37,"mmm")&amp;" "&amp;BF37&amp;" "&amp;TEXT(ROUND(AVERAGE(AZ37,AZ47),1),("+0.00;-0.00;0"))</f>
        <v>4. 2,000kb WTI +/- 5% s.o. CFR 1-2sp TAIWAN Dec-29 - Jan-03; Dec Dated +24.80</v>
      </c>
      <c r="AF104"/>
      <c r="AG104" s="485"/>
      <c r="AH104" s="485"/>
      <c r="AI104"/>
      <c r="AJ104"/>
      <c r="AK104"/>
      <c r="AL104"/>
      <c r="AM104"/>
      <c r="AN104"/>
      <c r="AO104"/>
      <c r="AP104"/>
      <c r="AQ104"/>
      <c r="AR104"/>
      <c r="AS104"/>
      <c r="AT104"/>
      <c r="AU104" t="str">
        <f>"4. 2,000kb WTI +/- 10% s.o. DAP 1sp"&amp;" "&amp;VLOOKUP(Z37,Zones,2,FALSE)&amp;" "&amp;TEXT(MROUND(BD37,5),"mmm-dd")&amp;" - "&amp;TEXT(MROUND(BD37+10,5),"mmm-dd")&amp;"; "&amp;TEXT(BG37,"mmm")&amp;" "&amp;BF37&amp;" "&amp;TEXT(ROUND(AZ37,1),("+0.00;-0.00;0"))</f>
        <v>4. 2,000kb WTI +/- 10% s.o. DAP 1sp TAIWAN Dec-29 - Jan-08; Dec Dated +23.60</v>
      </c>
      <c r="AV104"/>
      <c r="AW104"/>
      <c r="AX104"/>
      <c r="AY104"/>
      <c r="AZ104" s="152"/>
      <c r="BC104" s="2"/>
    </row>
    <row r="105" spans="4:70" x14ac:dyDescent="0.35">
      <c r="D105" s="2"/>
      <c r="E105" s="2"/>
      <c r="N105"/>
      <c r="O105"/>
      <c r="P105"/>
      <c r="Q105"/>
      <c r="W105"/>
      <c r="Y105" s="7" t="s">
        <v>239</v>
      </c>
      <c r="AA105"/>
      <c r="AB105" s="485"/>
      <c r="AC105"/>
      <c r="AD105"/>
      <c r="AE105" s="485"/>
      <c r="AF105"/>
      <c r="AG105" s="485"/>
      <c r="AH105" s="48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 s="152"/>
      <c r="BC105" s="2"/>
    </row>
    <row r="106" spans="4:70" x14ac:dyDescent="0.35">
      <c r="N106"/>
      <c r="O106"/>
      <c r="P106" t="str">
        <f>AB52/1000&amp;" test"</f>
        <v>700 test</v>
      </c>
      <c r="Q106"/>
      <c r="W106"/>
      <c r="Y106" t="str">
        <f>AB52/1000&amp;"kb WTI +/- 1% s.o. CIF"&amp;" "&amp;Z52&amp;" "&amp;TEXT(BD52,"mmm-dd")&amp;" - "&amp;TEXT(BD52+4,"mmm-dd")&amp;"; "&amp;TEXT(BG52,"mmm")&amp;" "&amp;BF52&amp;" "&amp;TEXT(ROUND(AZ52,1),("+0.00;-0.00;0"))</f>
        <v>700kb WTI +/- 1% s.o. CIF Rotterdam Nov-26 - Nov-30; Nov Dated +11.20</v>
      </c>
      <c r="AA106"/>
      <c r="AB106" s="485"/>
      <c r="AC106"/>
      <c r="AD106" t="str">
        <f>"1,000kb WTI +/- 10% s.o. DAP 1sp"&amp;" "&amp;VLOOKUP(Z42,Zones,2,FALSE)&amp;" "&amp;TEXT(MROUND(BD42,5),"mmm-dd")&amp;" - "&amp;TEXT(MROUND(BD42+5,5),"mmm-dd")&amp;"; "&amp;TEXT(BG42,"mmm")&amp;" "&amp;BF42&amp;" "&amp;TEXT(ROUND(AVERAGE(AZ42,AZ49),1),("+0.00;-0.00;0"))</f>
        <v>1,000kb WTI +/- 10% s.o. DAP 1sp KOREA Jan-03 - Jan-08; Dec Dated +10.70</v>
      </c>
      <c r="AF106"/>
      <c r="AG106" s="485"/>
      <c r="AH106" s="485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</row>
    <row r="107" spans="4:70" x14ac:dyDescent="0.35">
      <c r="N107"/>
      <c r="O107"/>
      <c r="P107"/>
      <c r="Q107"/>
      <c r="W107"/>
      <c r="Y107" t="str">
        <f t="shared" ref="Y107:Y113" si="285">AB53/1000&amp;"kb WTI +/- 1% s.o. CIF"&amp;" "&amp;Z53&amp;" "&amp;TEXT(BD53,"mmm-dd")&amp;" - "&amp;TEXT(BD53+4,"mmm-dd")&amp;"; "&amp;TEXT(BG53,"mmm")&amp;" "&amp;BF53&amp;" "&amp;TEXT(ROUND(AZ53,1),("+0.00;-0.00;0"))</f>
        <v>700kb WTI +/- 1% s.o. CIF Tranmere Nov-26 - Nov-30; Nov Dated +10.40</v>
      </c>
      <c r="AA107"/>
      <c r="AB107" s="485"/>
      <c r="AC107"/>
      <c r="AD107"/>
      <c r="AE107" s="486"/>
      <c r="AF107" s="308"/>
      <c r="AG107" s="485"/>
      <c r="AH107" s="485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</row>
    <row r="108" spans="4:70" x14ac:dyDescent="0.35">
      <c r="N108"/>
      <c r="O108"/>
      <c r="P108"/>
      <c r="Q108"/>
      <c r="W108"/>
      <c r="Y108" t="str">
        <f t="shared" si="285"/>
        <v>700kb WTI +/- 1% s.o. CIF Pembroke Nov-26 - Nov-30; Nov Dated +9.20</v>
      </c>
      <c r="AA108"/>
      <c r="AB108" s="485"/>
      <c r="AC108"/>
      <c r="AD108"/>
      <c r="AE108" s="485"/>
      <c r="AF108"/>
      <c r="AG108" s="485"/>
      <c r="AH108" s="485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</row>
    <row r="109" spans="4:70" x14ac:dyDescent="0.35">
      <c r="N109"/>
      <c r="O109"/>
      <c r="P109"/>
      <c r="Q109"/>
      <c r="W109"/>
      <c r="Y109" t="str">
        <f t="shared" si="285"/>
        <v>700kb WTI +/- 1% s.o. CIF Butinge Nov-28 - Dec-02; Nov Dated +14.70</v>
      </c>
      <c r="AA109"/>
      <c r="AB109" s="485"/>
      <c r="AC109"/>
      <c r="AD109"/>
      <c r="AE109" s="485"/>
      <c r="AF109" t="s">
        <v>240</v>
      </c>
      <c r="AG109" s="485"/>
      <c r="AH109" s="485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</row>
    <row r="110" spans="4:70" x14ac:dyDescent="0.35">
      <c r="N110"/>
      <c r="O110"/>
      <c r="Y110" t="str">
        <f t="shared" si="285"/>
        <v>700kb WTI +/- 1% s.o. CIF Augusta Nov-28 - Dec-02; Nov Dated +14.20</v>
      </c>
      <c r="AA110"/>
      <c r="AB110" s="485"/>
      <c r="AC110"/>
      <c r="AD110" t="s">
        <v>159</v>
      </c>
      <c r="AE110" s="485"/>
      <c r="AF110"/>
      <c r="AG110" s="485"/>
      <c r="AH110" s="485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</row>
    <row r="111" spans="4:70" x14ac:dyDescent="0.35">
      <c r="D111"/>
      <c r="E111"/>
      <c r="F111"/>
      <c r="G111"/>
      <c r="H111"/>
      <c r="I111"/>
      <c r="J111"/>
      <c r="K111"/>
      <c r="L111"/>
      <c r="M111"/>
      <c r="N111"/>
      <c r="O111"/>
      <c r="Y111" t="str">
        <f t="shared" si="285"/>
        <v>700kb WTI +/- 1% s.o. CIF Wilhelmshaven Nov-27 - Dec-01; Nov Dated +13.50</v>
      </c>
      <c r="AA111"/>
      <c r="AB111" s="485"/>
      <c r="AC111"/>
      <c r="AD111"/>
      <c r="AE111" s="485"/>
      <c r="AF111"/>
      <c r="AG111" s="485"/>
      <c r="AH111" s="485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4:70" x14ac:dyDescent="0.35">
      <c r="D112"/>
      <c r="F112" s="509">
        <v>4</v>
      </c>
      <c r="G112"/>
      <c r="H112"/>
      <c r="I112"/>
      <c r="J112"/>
      <c r="K112"/>
      <c r="L112"/>
      <c r="M112"/>
      <c r="N112"/>
      <c r="O112"/>
      <c r="Y112" t="str">
        <f t="shared" si="285"/>
        <v>700kb WTI +/- 1% s.o. CIF Sines Nov-25 - Nov-29; Nov Dated +9.40</v>
      </c>
      <c r="AA112"/>
      <c r="AB112" s="485"/>
      <c r="AC112"/>
      <c r="AD112"/>
      <c r="AE112" s="485"/>
      <c r="AF112"/>
      <c r="AG112" s="485"/>
      <c r="AH112" s="485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 t="s">
        <v>363</v>
      </c>
      <c r="AW112" t="s">
        <v>364</v>
      </c>
      <c r="AX112" t="s">
        <v>365</v>
      </c>
      <c r="AY112" t="s">
        <v>249</v>
      </c>
    </row>
    <row r="113" spans="4:51" x14ac:dyDescent="0.35">
      <c r="D113"/>
      <c r="F113" s="509">
        <v>2</v>
      </c>
      <c r="G113"/>
      <c r="H113"/>
      <c r="I113"/>
      <c r="J113"/>
      <c r="K113"/>
      <c r="L113"/>
      <c r="M113" t="s">
        <v>241</v>
      </c>
      <c r="N113"/>
      <c r="O113"/>
      <c r="Y113" t="str">
        <f t="shared" si="285"/>
        <v>700kb WTI +/- 1% s.o. CIF Kalundborg Nov-29 - Dec-03; Dec Dated +17.60</v>
      </c>
      <c r="AA113"/>
      <c r="AB113" s="485"/>
      <c r="AC113"/>
      <c r="AD113"/>
      <c r="AE113" s="485"/>
      <c r="AF113"/>
      <c r="AG113" s="485"/>
      <c r="AH113" s="485"/>
      <c r="AI113"/>
      <c r="AJ113"/>
      <c r="AK113"/>
      <c r="AL113"/>
      <c r="AM113"/>
      <c r="AN113"/>
      <c r="AO113"/>
      <c r="AP113"/>
      <c r="AQ113"/>
      <c r="AR113"/>
      <c r="AS113"/>
      <c r="AT113"/>
      <c r="AU113" t="s">
        <v>361</v>
      </c>
      <c r="AV113" s="735">
        <v>100000</v>
      </c>
      <c r="AW113" s="735"/>
      <c r="AX113" s="735"/>
      <c r="AY113" s="996">
        <f t="shared" ref="AY113:AY115" si="286">SUM(AV113:AX113)</f>
        <v>100000</v>
      </c>
    </row>
    <row r="114" spans="4:51" x14ac:dyDescent="0.35">
      <c r="D114"/>
      <c r="F114" s="509">
        <v>1</v>
      </c>
      <c r="G114"/>
      <c r="H114"/>
      <c r="I114"/>
      <c r="J114"/>
      <c r="K114"/>
      <c r="L114"/>
      <c r="M114" t="s">
        <v>242</v>
      </c>
      <c r="N114"/>
      <c r="O114"/>
      <c r="Y114" t="str">
        <f>AB60/1000&amp;"kb WTI +/- 10% s.o. CIF"&amp;" "&amp;Z60&amp;" "&amp;TEXT(BD60,"mmm-dd")&amp;" - "&amp;TEXT(BD60+4,"mmm-dd")&amp;"; "&amp;TEXT(BG60,"mmm")&amp;" "&amp;BF60&amp;" "&amp;TEXT(ROUND(AZ60,1),("+0.00;-0.00;0"))</f>
        <v>950kb WTI +/- 10% s.o. CIF Rotterdam Nov-26 - Nov-30; Nov Dated +9.50</v>
      </c>
      <c r="AA114"/>
      <c r="AB114" s="485"/>
      <c r="AC114"/>
      <c r="AD114"/>
      <c r="AE114" s="485"/>
      <c r="AF114"/>
      <c r="AG114" s="485"/>
      <c r="AH114" s="485"/>
      <c r="AI114"/>
      <c r="AJ114"/>
      <c r="AK114"/>
      <c r="AL114"/>
      <c r="AM114"/>
      <c r="AN114"/>
      <c r="AO114"/>
      <c r="AP114"/>
      <c r="AQ114"/>
      <c r="AR114"/>
      <c r="AS114"/>
      <c r="AT114"/>
      <c r="AU114" t="s">
        <v>362</v>
      </c>
      <c r="AV114" s="735">
        <v>135000</v>
      </c>
      <c r="AW114" s="735">
        <v>67500</v>
      </c>
      <c r="AX114" s="735">
        <v>67500</v>
      </c>
      <c r="AY114" s="996">
        <f t="shared" si="286"/>
        <v>270000</v>
      </c>
    </row>
    <row r="115" spans="4:51" x14ac:dyDescent="0.35">
      <c r="D115"/>
      <c r="F115" s="509">
        <v>3</v>
      </c>
      <c r="G115"/>
      <c r="H115"/>
      <c r="I115"/>
      <c r="J115"/>
      <c r="K115"/>
      <c r="L115"/>
      <c r="M115"/>
      <c r="N115"/>
      <c r="O115"/>
      <c r="Y115" s="7" t="s">
        <v>243</v>
      </c>
      <c r="AA115"/>
      <c r="AB115" s="485"/>
      <c r="AC115"/>
      <c r="AD115"/>
      <c r="AE115" s="485"/>
      <c r="AF115"/>
      <c r="AG115" s="485"/>
      <c r="AH115" s="485"/>
      <c r="AI115"/>
      <c r="AJ115"/>
      <c r="AK115"/>
      <c r="AL115"/>
      <c r="AM115"/>
      <c r="AN115"/>
      <c r="AO115"/>
      <c r="AP115"/>
      <c r="AQ115"/>
      <c r="AR115"/>
      <c r="AS115"/>
      <c r="AT115"/>
      <c r="AU115" t="s">
        <v>249</v>
      </c>
      <c r="AV115" s="995">
        <f>SUM(AV113:AV114)</f>
        <v>235000</v>
      </c>
      <c r="AW115" s="995">
        <f t="shared" ref="AW115:AX115" si="287">SUM(AW113:AW114)</f>
        <v>67500</v>
      </c>
      <c r="AX115" s="995">
        <f t="shared" si="287"/>
        <v>67500</v>
      </c>
      <c r="AY115" s="995">
        <f t="shared" si="286"/>
        <v>370000</v>
      </c>
    </row>
    <row r="116" spans="4:51" x14ac:dyDescent="0.35">
      <c r="D116"/>
      <c r="F116" s="509">
        <v>3</v>
      </c>
      <c r="G116"/>
      <c r="H116"/>
      <c r="I116"/>
      <c r="J116"/>
      <c r="K116"/>
      <c r="L116"/>
      <c r="M116"/>
      <c r="N116"/>
      <c r="O116"/>
      <c r="Y116" t="str">
        <f>"2000"&amp;"kb WTI +/- 5% s.o. CIF"&amp;" "&amp;Z63&amp;" "&amp;TEXT(BD63,"mmm-dd")&amp;" - "&amp;TEXT(BD63+4,"mmm-dd")&amp;"; "&amp;TEXT(BG63,"mmm")&amp;" "&amp;BF63&amp;" "&amp;TEXT(ROUND(AZ63,1),("+0.00;-0.00;0"))</f>
        <v>2000kb WTI +/- 5% s.o. CIF Rotterdam Nov-29 - Dec-03; Dec Dated +13.70</v>
      </c>
      <c r="AA116"/>
      <c r="AB116" s="485"/>
      <c r="AC116"/>
      <c r="AD116"/>
      <c r="AE116" s="485"/>
      <c r="AF116"/>
      <c r="AG116" s="485"/>
      <c r="AH116" s="485" t="s">
        <v>244</v>
      </c>
      <c r="AJ116" t="s">
        <v>245</v>
      </c>
      <c r="AK116"/>
      <c r="AL116"/>
      <c r="AM116"/>
      <c r="AN116"/>
      <c r="AO116"/>
      <c r="AP116"/>
      <c r="AQ116"/>
      <c r="AR116"/>
      <c r="AS116"/>
      <c r="AT116"/>
      <c r="AU116"/>
      <c r="AV116"/>
      <c r="AW116" s="308"/>
      <c r="AX116" s="308"/>
      <c r="AY116" s="308"/>
    </row>
    <row r="117" spans="4:51" x14ac:dyDescent="0.35">
      <c r="D117"/>
      <c r="F117" s="509">
        <v>1</v>
      </c>
      <c r="G117"/>
      <c r="H117"/>
      <c r="I117"/>
      <c r="J117"/>
      <c r="K117"/>
      <c r="L117"/>
      <c r="M117"/>
      <c r="N117"/>
      <c r="O117"/>
      <c r="Y117" t="str">
        <f>"2000kb WTI +/- 5% s.o. CFR"&amp;" "&amp;Z66&amp;" "&amp;TEXT(BD65,"mmm-dd")&amp;" - "&amp;TEXT(BD65+4,"mmm-dd")&amp;"; "&amp;TEXT(BG65,"mmm")&amp;" "&amp;BF65&amp;" "&amp;TEXT(ROUND(AZ65,1),("+0.00;-0.00;0"))</f>
        <v>2000kb WTI +/- 5% s.o. CFR Lagos Dec-09 - Dec-13; Dec Dated +16.70</v>
      </c>
      <c r="AA117"/>
      <c r="AB117" s="485"/>
      <c r="AC117"/>
      <c r="AD117"/>
      <c r="AE117" s="485"/>
      <c r="AF117"/>
      <c r="AG117" s="485" t="s">
        <v>246</v>
      </c>
      <c r="AH117">
        <v>0.43</v>
      </c>
      <c r="AI117"/>
      <c r="AJ117">
        <v>-0.1</v>
      </c>
      <c r="AK117"/>
      <c r="AL117">
        <f>AJ117-AH117</f>
        <v>-0.53</v>
      </c>
      <c r="AM117"/>
      <c r="AN117"/>
      <c r="AO117"/>
      <c r="AP117"/>
      <c r="AQ117"/>
      <c r="AR117"/>
      <c r="AS117"/>
      <c r="AT117"/>
      <c r="AU117"/>
      <c r="AV117"/>
      <c r="AW117"/>
      <c r="AX117"/>
      <c r="AY117"/>
    </row>
    <row r="118" spans="4:51" x14ac:dyDescent="0.35">
      <c r="D118"/>
      <c r="F118" s="509">
        <v>3</v>
      </c>
      <c r="G118"/>
      <c r="H118"/>
      <c r="I118"/>
      <c r="J118"/>
      <c r="K118"/>
      <c r="L118"/>
      <c r="M118"/>
      <c r="N118"/>
      <c r="O118"/>
      <c r="Y118" t="str">
        <f>"2000"&amp;"kb WTI +/- 5% s.o. CIF"&amp;" "&amp;Z62&amp;" "&amp;TEXT(BD64,"mmm-dd")&amp;" - "&amp;TEXT(BD64+4,"mmm-dd")&amp;"; "&amp;TEXT(BG64,"mmm")&amp;" "&amp;BF64&amp;" "&amp;TEXT(ROUND(AVERAGE(AZ62,AZ64),1),("+0.00;-0.00;0"))</f>
        <v>2000kb WTI +/- 5% s.o. CIF Rotterdam Nov-29 - Dec-03; Dec Dated +15.00</v>
      </c>
      <c r="AA118"/>
      <c r="AB118" s="485"/>
      <c r="AC118"/>
      <c r="AD118"/>
      <c r="AE118" s="485"/>
      <c r="AF118"/>
      <c r="AG118" s="485" t="s">
        <v>247</v>
      </c>
      <c r="AH118" s="485">
        <v>1.54</v>
      </c>
      <c r="AI118"/>
      <c r="AJ118">
        <v>1.3</v>
      </c>
      <c r="AK118"/>
      <c r="AL118">
        <f>AH118-AJ118</f>
        <v>0.24</v>
      </c>
      <c r="AM118"/>
      <c r="AN118"/>
      <c r="AO118"/>
      <c r="AP118"/>
      <c r="AQ118"/>
      <c r="AR118"/>
      <c r="AS118"/>
      <c r="AT118"/>
      <c r="AU118"/>
      <c r="AV118"/>
      <c r="AW118"/>
      <c r="AX118"/>
      <c r="AY118"/>
    </row>
    <row r="119" spans="4:51" x14ac:dyDescent="0.35">
      <c r="D119"/>
      <c r="F119" s="509">
        <v>1</v>
      </c>
      <c r="G119"/>
      <c r="H119"/>
      <c r="I119"/>
      <c r="J119"/>
      <c r="K119"/>
      <c r="L119"/>
      <c r="M119"/>
      <c r="N119"/>
      <c r="O119"/>
      <c r="Y119" t="str">
        <f>"2000"&amp;"kb WTI +/- 5% s.o. CIF"&amp;" "&amp;Z65&amp;" "&amp;TEXT(BD66,"mmm-dd")&amp;" - "&amp;TEXT(BD66+4,"mmm-dd")&amp;"; "&amp;TEXT(BG66,"mmm")&amp;" "&amp;BF66&amp;" "&amp;TEXT(ROUND(AVERAGE(AZ65,AZ66),1),("+0.00;-0.00;0"))</f>
        <v>2000kb WTI +/- 5% s.o. CIF Lagos Dec-03 - Dec-07; Dec Dated +15.30</v>
      </c>
      <c r="AA119"/>
      <c r="AB119" s="485"/>
      <c r="AC119"/>
      <c r="AD119"/>
      <c r="AE119" s="485"/>
      <c r="AF119"/>
      <c r="AG119" s="485"/>
      <c r="AH119" s="485"/>
      <c r="AI119"/>
      <c r="AJ119"/>
      <c r="AK119"/>
      <c r="AL119">
        <f>SUM(AL117:AL118)</f>
        <v>-0.29000000000000004</v>
      </c>
      <c r="AM119"/>
      <c r="AN119"/>
      <c r="AO119"/>
      <c r="AP119"/>
      <c r="AQ119"/>
      <c r="AR119"/>
      <c r="AS119"/>
      <c r="AT119"/>
      <c r="AU119"/>
      <c r="AV119"/>
      <c r="AW119"/>
      <c r="AX119"/>
      <c r="AY119"/>
    </row>
    <row r="120" spans="4:51" x14ac:dyDescent="0.35">
      <c r="D120"/>
      <c r="F120" s="509">
        <v>1</v>
      </c>
      <c r="G120"/>
      <c r="H120"/>
      <c r="I120"/>
      <c r="J120"/>
      <c r="K120"/>
      <c r="L120"/>
      <c r="M120"/>
      <c r="N120"/>
      <c r="O120"/>
      <c r="AA120"/>
      <c r="AB120" s="485"/>
      <c r="AC120"/>
      <c r="AD120"/>
      <c r="AE120" s="485"/>
      <c r="AF120"/>
      <c r="AG120" s="485"/>
      <c r="AH120" s="485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</row>
    <row r="121" spans="4:51" x14ac:dyDescent="0.35">
      <c r="D121"/>
      <c r="G121"/>
      <c r="H121"/>
      <c r="I121"/>
      <c r="J121"/>
      <c r="K121"/>
      <c r="L121"/>
      <c r="M121" t="s">
        <v>242</v>
      </c>
      <c r="N121"/>
      <c r="O121"/>
      <c r="AA121"/>
      <c r="AB121" s="485"/>
      <c r="AC121"/>
      <c r="AD121"/>
      <c r="AE121" s="485"/>
      <c r="AF121"/>
      <c r="AG121" s="485" t="s">
        <v>248</v>
      </c>
      <c r="AH121" s="485"/>
      <c r="AI121"/>
      <c r="AJ121"/>
      <c r="AK121"/>
      <c r="AL121">
        <v>1.1000000000000001</v>
      </c>
      <c r="AM121"/>
      <c r="AN121"/>
      <c r="AO121"/>
      <c r="AP121"/>
      <c r="AQ121"/>
      <c r="AR121"/>
      <c r="AS121"/>
      <c r="AT121"/>
      <c r="AU121"/>
      <c r="AV121"/>
      <c r="AW121"/>
      <c r="AX121"/>
      <c r="AY121"/>
    </row>
    <row r="123" spans="4:51" x14ac:dyDescent="0.35">
      <c r="AL123" s="2">
        <f>AL119+AL121</f>
        <v>0.81</v>
      </c>
      <c r="AW123" s="3">
        <v>1</v>
      </c>
    </row>
    <row r="124" spans="4:51" x14ac:dyDescent="0.35">
      <c r="Y124" t="e">
        <f>"2000"&amp;"kb Forties +/- 10% s.o. CFR Korea "&amp;TEXT(BD87,"mmm-dd")&amp;" - "&amp;TEXT(BD87+4,"mmm-dd")&amp;"; "&amp;TEXT(BG87,"mmm")&amp;" "&amp;BF87&amp;" "&amp;TEXT(ROUND(AZ87,1),("+0.00;-0.00;0"))</f>
        <v>#N/A</v>
      </c>
      <c r="AW124" s="3">
        <f>+AW123-0.01</f>
        <v>0.99</v>
      </c>
    </row>
    <row r="125" spans="4:51" x14ac:dyDescent="0.35">
      <c r="AW125" s="3">
        <f t="shared" ref="AW125:AW127" si="288">+AW124-0.01</f>
        <v>0.98</v>
      </c>
    </row>
    <row r="126" spans="4:51" x14ac:dyDescent="0.35">
      <c r="D126"/>
      <c r="G126"/>
      <c r="H126"/>
      <c r="I126"/>
      <c r="J126"/>
      <c r="K126"/>
      <c r="L126"/>
      <c r="M126"/>
      <c r="N126"/>
      <c r="O126"/>
      <c r="AA126"/>
      <c r="AB126" s="485"/>
      <c r="AC126"/>
      <c r="AD126"/>
      <c r="AE126" s="485"/>
      <c r="AF126"/>
      <c r="AG126" s="485"/>
      <c r="AH126" s="485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 s="3">
        <f t="shared" si="288"/>
        <v>0.97</v>
      </c>
      <c r="AX126"/>
      <c r="AY126"/>
    </row>
    <row r="127" spans="4:51" x14ac:dyDescent="0.35">
      <c r="D127"/>
      <c r="E127"/>
      <c r="F127" s="509"/>
      <c r="G127"/>
      <c r="H127"/>
      <c r="I127"/>
      <c r="J127"/>
      <c r="K127"/>
      <c r="L127"/>
      <c r="M127"/>
      <c r="N127"/>
      <c r="O127"/>
      <c r="AA127"/>
      <c r="AB127" s="485"/>
      <c r="AC127"/>
      <c r="AD127"/>
      <c r="AE127" s="485"/>
      <c r="AF127"/>
      <c r="AG127" s="485"/>
      <c r="AH127" s="485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 s="3">
        <f t="shared" si="288"/>
        <v>0.96</v>
      </c>
      <c r="AX127"/>
      <c r="AY127"/>
    </row>
    <row r="128" spans="4:51" x14ac:dyDescent="0.35">
      <c r="D128"/>
      <c r="E128"/>
      <c r="F128" s="509"/>
      <c r="G128"/>
      <c r="H128"/>
      <c r="I128"/>
      <c r="J128"/>
      <c r="K128"/>
      <c r="L128"/>
      <c r="M128"/>
      <c r="N128"/>
      <c r="O128"/>
      <c r="AA128"/>
      <c r="AB128" s="485"/>
      <c r="AC128"/>
      <c r="AD128"/>
      <c r="AE128" s="485"/>
      <c r="AF128"/>
      <c r="AG128" s="485"/>
      <c r="AH128" s="485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</row>
    <row r="129" spans="4:32" x14ac:dyDescent="0.35">
      <c r="D129"/>
      <c r="E129"/>
      <c r="F129">
        <f>SUM(F112:F128)</f>
        <v>19</v>
      </c>
      <c r="G129"/>
      <c r="H129"/>
      <c r="I129"/>
      <c r="J129"/>
      <c r="K129"/>
      <c r="L129"/>
      <c r="M129"/>
      <c r="AF129" s="44"/>
    </row>
    <row r="130" spans="4:32" x14ac:dyDescent="0.35">
      <c r="D130" s="2"/>
      <c r="E130" s="2"/>
      <c r="F130"/>
      <c r="G130"/>
      <c r="H130"/>
      <c r="I130"/>
      <c r="J130"/>
      <c r="K130" s="2"/>
      <c r="L130"/>
      <c r="M130"/>
      <c r="AF130" s="44"/>
    </row>
    <row r="131" spans="4:32" x14ac:dyDescent="0.35">
      <c r="D131" s="2"/>
      <c r="E131" s="2"/>
      <c r="F131"/>
      <c r="G131"/>
      <c r="H131"/>
      <c r="I131"/>
      <c r="J131"/>
      <c r="K131" s="2"/>
      <c r="L131"/>
      <c r="M131"/>
      <c r="AE131" s="848"/>
      <c r="AF131" s="44"/>
    </row>
    <row r="132" spans="4:32" x14ac:dyDescent="0.35">
      <c r="AF132" s="44"/>
    </row>
    <row r="147" spans="27:30" x14ac:dyDescent="0.35">
      <c r="AA147"/>
      <c r="AB147"/>
      <c r="AD147" s="3"/>
    </row>
    <row r="148" spans="27:30" x14ac:dyDescent="0.35">
      <c r="AA148"/>
      <c r="AB148"/>
      <c r="AD148" s="3"/>
    </row>
    <row r="149" spans="27:30" x14ac:dyDescent="0.35">
      <c r="AA149"/>
      <c r="AB149"/>
      <c r="AD149" s="3"/>
    </row>
    <row r="150" spans="27:30" x14ac:dyDescent="0.35">
      <c r="AA150"/>
      <c r="AB150"/>
      <c r="AD150" s="3"/>
    </row>
    <row r="151" spans="27:30" x14ac:dyDescent="0.35">
      <c r="AA151"/>
      <c r="AB151"/>
      <c r="AD151" s="3"/>
    </row>
    <row r="153" spans="27:30" x14ac:dyDescent="0.35">
      <c r="AB153" s="3"/>
      <c r="AD153" s="3"/>
    </row>
  </sheetData>
  <autoFilter ref="D1:BV75" xr:uid="{00000000-0001-0000-0100-000000000000}"/>
  <dataConsolidate/>
  <mergeCells count="18">
    <mergeCell ref="Y74:AZ74"/>
    <mergeCell ref="A68:B68"/>
    <mergeCell ref="BD9:BE9"/>
    <mergeCell ref="A8:B8"/>
    <mergeCell ref="A23:B23"/>
    <mergeCell ref="A49:B49"/>
    <mergeCell ref="AW71:AX71"/>
    <mergeCell ref="Y26:AZ26"/>
    <mergeCell ref="Y32:AZ32"/>
    <mergeCell ref="Y39:AZ39"/>
    <mergeCell ref="D2:BH2"/>
    <mergeCell ref="D3:E3"/>
    <mergeCell ref="Y8:AZ8"/>
    <mergeCell ref="Y48:AZ48"/>
    <mergeCell ref="Y67:AZ67"/>
    <mergeCell ref="BD23:BE23"/>
    <mergeCell ref="D4:E4"/>
    <mergeCell ref="D5:E5"/>
  </mergeCells>
  <conditionalFormatting sqref="A9:B20 A22:B22 A24:B47 BD24:BH47">
    <cfRule type="expression" dxfId="158" priority="79">
      <formula>LEN(A9)=0</formula>
    </cfRule>
  </conditionalFormatting>
  <conditionalFormatting sqref="A51:B51">
    <cfRule type="expression" dxfId="157" priority="4">
      <formula>LEN(A51)=0</formula>
    </cfRule>
  </conditionalFormatting>
  <conditionalFormatting sqref="A67:B67 A69:B69">
    <cfRule type="expression" dxfId="156" priority="123">
      <formula>LEN(A67)=0</formula>
    </cfRule>
  </conditionalFormatting>
  <conditionalFormatting sqref="A72:B75">
    <cfRule type="expression" dxfId="155" priority="6">
      <formula>LEN(A72)=0</formula>
    </cfRule>
  </conditionalFormatting>
  <conditionalFormatting sqref="A87:B87">
    <cfRule type="expression" dxfId="154" priority="16">
      <formula>LEN(A87)=0</formula>
    </cfRule>
  </conditionalFormatting>
  <conditionalFormatting sqref="C26:R26 BC26">
    <cfRule type="expression" dxfId="153" priority="10">
      <formula>LEN(C26)=0</formula>
    </cfRule>
  </conditionalFormatting>
  <conditionalFormatting sqref="AF10:AF22">
    <cfRule type="cellIs" dxfId="152" priority="5" operator="greaterThan">
      <formula>2</formula>
    </cfRule>
  </conditionalFormatting>
  <conditionalFormatting sqref="AF24:AF25 AF27:AF31 AF33:AF38">
    <cfRule type="cellIs" dxfId="151" priority="11" operator="greaterThan">
      <formula>2</formula>
    </cfRule>
  </conditionalFormatting>
  <conditionalFormatting sqref="AF40:AF47 AF77:AF85">
    <cfRule type="cellIs" dxfId="150" priority="81" operator="greaterThan">
      <formula>2</formula>
    </cfRule>
  </conditionalFormatting>
  <conditionalFormatting sqref="AF50:AF66">
    <cfRule type="cellIs" dxfId="149" priority="9" operator="greaterThan">
      <formula>2</formula>
    </cfRule>
  </conditionalFormatting>
  <conditionalFormatting sqref="AF69">
    <cfRule type="cellIs" dxfId="148" priority="45" operator="greaterThan">
      <formula>2</formula>
    </cfRule>
  </conditionalFormatting>
  <conditionalFormatting sqref="AF72:AF73">
    <cfRule type="cellIs" dxfId="147" priority="18" operator="greaterThan">
      <formula>2</formula>
    </cfRule>
  </conditionalFormatting>
  <conditionalFormatting sqref="AF75">
    <cfRule type="cellIs" dxfId="146" priority="22" operator="greaterThan">
      <formula>2</formula>
    </cfRule>
  </conditionalFormatting>
  <conditionalFormatting sqref="AF87">
    <cfRule type="cellIs" dxfId="145" priority="17" operator="greaterThan">
      <formula>2</formula>
    </cfRule>
  </conditionalFormatting>
  <conditionalFormatting sqref="BD10:BH20 BD22:BH22">
    <cfRule type="expression" dxfId="144" priority="60">
      <formula>LEN(BD10)=0</formula>
    </cfRule>
  </conditionalFormatting>
  <conditionalFormatting sqref="BF87:BH87">
    <cfRule type="expression" dxfId="143" priority="14">
      <formula>LEN(BF87)=0</formula>
    </cfRule>
  </conditionalFormatting>
  <dataValidations count="3">
    <dataValidation type="list" allowBlank="1" showInputMessage="1" showErrorMessage="1" sqref="V22 V24:V47 Z72:Z73 Z87 Z69 Z24:Z25 Z27:Z31 Z33:Z38 Z75 Z50:Z66 Z77:Z85 Z40:Z47 V10:V20 Z10:Z22 V51" xr:uid="{00000000-0002-0000-0100-000000000000}">
      <formula1>Port_List</formula1>
    </dataValidation>
    <dataValidation type="list" allowBlank="1" showInputMessage="1" showErrorMessage="1" sqref="U24:U47 U10:U20 U22 U51" xr:uid="{00000000-0002-0000-0100-000001000000}">
      <formula1>Overages</formula1>
    </dataValidation>
    <dataValidation type="list" allowBlank="1" showInputMessage="1" showErrorMessage="1" sqref="BC3 BC8 AK3:AK4 BH8 AL3" xr:uid="{D1A5C91C-2A53-4DA4-9002-80A82C5B5056}">
      <formula1>$AV$4:$AX$4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3000000}">
          <x14:formula1>
            <xm:f>Control!$E$6:$E$9</xm:f>
          </x14:formula1>
          <xm:sqref>Y10:Y20 Y22 Y51</xm:sqref>
        </x14:dataValidation>
        <x14:dataValidation type="list" allowBlank="1" showInputMessage="1" showErrorMessage="1" xr:uid="{8DB8ECE5-9606-4ECC-97E0-0EBAF813E6A7}">
          <x14:formula1>
            <xm:f>Control!$AC$3:$AI$3</xm:f>
          </x14:formula1>
          <xm:sqref>Y72:Y73 Y87 Y69 Y24:Y25 Y27:Y31 Y33:Y38 Y75 Y52:Y66 Y77:Y85 Y40:Y47 Y21 Y50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0332-4A03-4023-9384-CEE87FA2E42D}">
  <sheetPr codeName="Sheet3"/>
  <dimension ref="H5:U10"/>
  <sheetViews>
    <sheetView showGridLines="0" workbookViewId="0">
      <selection activeCell="H5" sqref="H5:U8"/>
    </sheetView>
  </sheetViews>
  <sheetFormatPr defaultRowHeight="14.5" x14ac:dyDescent="0.35"/>
  <sheetData>
    <row r="5" spans="8:21" x14ac:dyDescent="0.35">
      <c r="H5" s="468"/>
      <c r="I5" s="469">
        <v>44927</v>
      </c>
      <c r="J5" s="469">
        <v>44958</v>
      </c>
      <c r="K5" s="469">
        <v>44986</v>
      </c>
      <c r="L5" s="469">
        <v>45017</v>
      </c>
      <c r="M5" s="469">
        <v>45047</v>
      </c>
      <c r="N5" s="469">
        <v>45078</v>
      </c>
      <c r="O5" s="469">
        <v>45108</v>
      </c>
      <c r="P5" s="469">
        <v>45139</v>
      </c>
      <c r="Q5" s="469">
        <v>45170</v>
      </c>
      <c r="R5" s="469">
        <v>45200</v>
      </c>
      <c r="S5" s="469">
        <v>45231</v>
      </c>
      <c r="T5" s="470">
        <v>45261</v>
      </c>
      <c r="U5" s="471" t="s">
        <v>249</v>
      </c>
    </row>
    <row r="6" spans="8:21" x14ac:dyDescent="0.35">
      <c r="H6" s="472" t="s">
        <v>250</v>
      </c>
      <c r="I6" s="473">
        <v>1500</v>
      </c>
      <c r="J6" s="473">
        <v>1500</v>
      </c>
      <c r="K6" s="473">
        <v>1500</v>
      </c>
      <c r="L6" s="473">
        <v>1500</v>
      </c>
      <c r="M6" s="473">
        <v>1500</v>
      </c>
      <c r="N6" s="473">
        <v>1500</v>
      </c>
      <c r="O6" s="473"/>
      <c r="P6" s="473"/>
      <c r="Q6" s="473"/>
      <c r="R6" s="473"/>
      <c r="S6" s="473"/>
      <c r="T6" s="474"/>
      <c r="U6" s="474">
        <f>SUM(I6:T6)</f>
        <v>9000</v>
      </c>
    </row>
    <row r="7" spans="8:21" x14ac:dyDescent="0.35">
      <c r="H7" s="472" t="s">
        <v>251</v>
      </c>
      <c r="I7" s="473">
        <f>-1500/2</f>
        <v>-750</v>
      </c>
      <c r="J7" s="473">
        <f t="shared" ref="J7:T7" si="0">-1500/2</f>
        <v>-750</v>
      </c>
      <c r="K7" s="473">
        <f t="shared" si="0"/>
        <v>-750</v>
      </c>
      <c r="L7" s="473">
        <f t="shared" si="0"/>
        <v>-750</v>
      </c>
      <c r="M7" s="473">
        <f t="shared" si="0"/>
        <v>-750</v>
      </c>
      <c r="N7" s="473">
        <f t="shared" si="0"/>
        <v>-750</v>
      </c>
      <c r="O7" s="473">
        <f t="shared" si="0"/>
        <v>-750</v>
      </c>
      <c r="P7" s="473">
        <f t="shared" si="0"/>
        <v>-750</v>
      </c>
      <c r="Q7" s="473">
        <f t="shared" si="0"/>
        <v>-750</v>
      </c>
      <c r="R7" s="473">
        <f t="shared" si="0"/>
        <v>-750</v>
      </c>
      <c r="S7" s="473">
        <f t="shared" si="0"/>
        <v>-750</v>
      </c>
      <c r="T7" s="474">
        <f t="shared" si="0"/>
        <v>-750</v>
      </c>
      <c r="U7" s="474">
        <f t="shared" ref="U7:U8" si="1">SUM(I7:T7)</f>
        <v>-9000</v>
      </c>
    </row>
    <row r="8" spans="8:21" x14ac:dyDescent="0.35">
      <c r="H8" s="475" t="s">
        <v>252</v>
      </c>
      <c r="I8" s="476">
        <f t="shared" ref="I8:T8" si="2">SUM(I6:I7)</f>
        <v>750</v>
      </c>
      <c r="J8" s="476">
        <f t="shared" si="2"/>
        <v>750</v>
      </c>
      <c r="K8" s="476">
        <f t="shared" si="2"/>
        <v>750</v>
      </c>
      <c r="L8" s="476">
        <f t="shared" si="2"/>
        <v>750</v>
      </c>
      <c r="M8" s="476">
        <f t="shared" si="2"/>
        <v>750</v>
      </c>
      <c r="N8" s="476">
        <f t="shared" si="2"/>
        <v>750</v>
      </c>
      <c r="O8" s="476">
        <f t="shared" si="2"/>
        <v>-750</v>
      </c>
      <c r="P8" s="476">
        <f t="shared" si="2"/>
        <v>-750</v>
      </c>
      <c r="Q8" s="476">
        <f t="shared" si="2"/>
        <v>-750</v>
      </c>
      <c r="R8" s="476">
        <f t="shared" si="2"/>
        <v>-750</v>
      </c>
      <c r="S8" s="476">
        <f t="shared" si="2"/>
        <v>-750</v>
      </c>
      <c r="T8" s="477">
        <f t="shared" si="2"/>
        <v>-750</v>
      </c>
      <c r="U8" s="477">
        <f t="shared" si="1"/>
        <v>0</v>
      </c>
    </row>
    <row r="10" spans="8:21" x14ac:dyDescent="0.35">
      <c r="H10" t="s">
        <v>253</v>
      </c>
    </row>
  </sheetData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B5C7-F4E2-4428-BB8C-671ED341F33C}">
  <sheetPr codeName="Sheet4">
    <tabColor rgb="FF00B050"/>
    <outlinePr summaryRight="0"/>
  </sheetPr>
  <dimension ref="A1:BW160"/>
  <sheetViews>
    <sheetView showGridLines="0" topLeftCell="A2" zoomScale="75" zoomScaleNormal="75" workbookViewId="0">
      <pane xSplit="4" ySplit="22" topLeftCell="E24" activePane="bottomRight" state="frozen"/>
      <selection pane="topRight" activeCell="D2" sqref="D2"/>
      <selection pane="bottomLeft" activeCell="A24" sqref="A24"/>
      <selection pane="bottomRight" activeCell="E24" sqref="E24"/>
    </sheetView>
  </sheetViews>
  <sheetFormatPr defaultColWidth="8.81640625" defaultRowHeight="15.5" outlineLevelRow="1" outlineLevelCol="1" x14ac:dyDescent="0.35"/>
  <cols>
    <col min="2" max="2" width="9.1796875" style="2" bestFit="1" customWidth="1"/>
    <col min="3" max="3" width="8.453125" style="2" customWidth="1"/>
    <col min="4" max="4" width="1.1796875" customWidth="1"/>
    <col min="5" max="5" width="10.453125" customWidth="1"/>
    <col min="6" max="6" width="15.54296875" style="43" bestFit="1" customWidth="1"/>
    <col min="7" max="7" width="13" style="43" customWidth="1" collapsed="1"/>
    <col min="8" max="8" width="19.54296875" style="2" hidden="1" customWidth="1" outlineLevel="1"/>
    <col min="9" max="9" width="5.54296875" style="2" hidden="1" customWidth="1" outlineLevel="1"/>
    <col min="10" max="11" width="9.453125" style="2" hidden="1" customWidth="1" outlineLevel="1"/>
    <col min="12" max="12" width="18" style="2" hidden="1" customWidth="1" outlineLevel="1"/>
    <col min="13" max="13" width="14" style="124" hidden="1" customWidth="1" outlineLevel="1"/>
    <col min="14" max="14" width="15.81640625" style="2" hidden="1" customWidth="1" outlineLevel="1"/>
    <col min="15" max="15" width="14.54296875" style="2" hidden="1" customWidth="1" outlineLevel="1"/>
    <col min="16" max="16" width="11" style="133" hidden="1" customWidth="1" outlineLevel="1"/>
    <col min="17" max="17" width="8" style="2" hidden="1" customWidth="1" outlineLevel="1"/>
    <col min="18" max="19" width="10.453125" style="2" hidden="1" customWidth="1" outlineLevel="1"/>
    <col min="20" max="20" width="10.453125" hidden="1" customWidth="1" outlineLevel="1"/>
    <col min="21" max="21" width="2.54296875" customWidth="1" collapsed="1"/>
    <col min="22" max="22" width="11.453125" hidden="1" customWidth="1" outlineLevel="1"/>
    <col min="23" max="23" width="9.453125" hidden="1" customWidth="1" outlineLevel="1"/>
    <col min="24" max="24" width="19.54296875" hidden="1" customWidth="1" outlineLevel="1"/>
    <col min="25" max="25" width="18" style="2" hidden="1" customWidth="1" outlineLevel="1"/>
    <col min="26" max="26" width="13.453125" hidden="1" customWidth="1" outlineLevel="1"/>
    <col min="27" max="27" width="19.54296875" customWidth="1"/>
    <col min="28" max="28" width="17.453125" bestFit="1" customWidth="1"/>
    <col min="29" max="29" width="18" style="2" customWidth="1"/>
    <col min="30" max="30" width="18.453125" style="2" customWidth="1"/>
    <col min="31" max="31" width="17.453125" style="124" hidden="1" customWidth="1"/>
    <col min="32" max="32" width="14.54296875" style="124" bestFit="1" customWidth="1"/>
    <col min="33" max="33" width="19.54296875" style="21" bestFit="1" customWidth="1"/>
    <col min="34" max="34" width="13" style="2" bestFit="1" customWidth="1"/>
    <col min="35" max="35" width="12.54296875" style="124" bestFit="1" customWidth="1"/>
    <col min="36" max="36" width="14.54296875" style="124" bestFit="1" customWidth="1"/>
    <col min="37" max="37" width="14.453125" style="2" bestFit="1" customWidth="1"/>
    <col min="38" max="38" width="15.81640625" style="2" bestFit="1" customWidth="1"/>
    <col min="39" max="39" width="10.453125" style="2" customWidth="1"/>
    <col min="40" max="40" width="11.54296875" style="2" bestFit="1" customWidth="1" collapsed="1"/>
    <col min="41" max="41" width="10.453125" style="2" hidden="1" customWidth="1" outlineLevel="1"/>
    <col min="42" max="42" width="16" style="2" hidden="1" customWidth="1" outlineLevel="1"/>
    <col min="43" max="43" width="11" style="2" hidden="1" customWidth="1" outlineLevel="1"/>
    <col min="44" max="44" width="11.54296875" style="2" hidden="1" customWidth="1" outlineLevel="1"/>
    <col min="45" max="45" width="17" style="2" hidden="1" customWidth="1" outlineLevel="1"/>
    <col min="46" max="46" width="9.54296875" style="2" hidden="1" customWidth="1" outlineLevel="1"/>
    <col min="47" max="47" width="11.54296875" style="2" hidden="1" customWidth="1" outlineLevel="1"/>
    <col min="48" max="48" width="12.54296875" style="2" hidden="1" customWidth="1" outlineLevel="1"/>
    <col min="49" max="49" width="14.1796875" style="21" customWidth="1"/>
    <col min="50" max="50" width="8.453125" style="21" customWidth="1"/>
    <col min="51" max="51" width="10.453125" style="21" customWidth="1"/>
    <col min="52" max="52" width="9" style="21" customWidth="1"/>
    <col min="53" max="53" width="12.54296875" style="495" customWidth="1"/>
    <col min="54" max="54" width="1.1796875" style="2" customWidth="1"/>
    <col min="55" max="55" width="1.1796875" style="2" hidden="1" customWidth="1"/>
    <col min="56" max="56" width="12" style="43" customWidth="1"/>
    <col min="57" max="57" width="9.54296875" style="2" customWidth="1"/>
    <col min="58" max="58" width="10.453125" style="2" customWidth="1"/>
    <col min="59" max="59" width="8.453125" style="2" bestFit="1" customWidth="1"/>
    <col min="60" max="60" width="9.453125" style="2" customWidth="1"/>
    <col min="61" max="61" width="9.54296875" style="2" customWidth="1"/>
    <col min="62" max="62" width="13.453125" style="2" customWidth="1"/>
    <col min="63" max="65" width="14.54296875" style="2" bestFit="1" customWidth="1"/>
    <col min="66" max="67" width="14.54296875" style="2" customWidth="1"/>
    <col min="68" max="68" width="16.453125" style="735" bestFit="1" customWidth="1"/>
    <col min="69" max="69" width="16.453125" style="2" bestFit="1" customWidth="1"/>
    <col min="70" max="70" width="12.54296875" style="2" bestFit="1" customWidth="1"/>
    <col min="71" max="71" width="10.453125" style="2" bestFit="1" customWidth="1"/>
    <col min="72" max="72" width="8.81640625" style="2"/>
    <col min="73" max="73" width="19.54296875" style="2" customWidth="1"/>
    <col min="74" max="74" width="12.54296875" style="2" bestFit="1" customWidth="1"/>
  </cols>
  <sheetData>
    <row r="1" spans="2:74" ht="15.65" hidden="1" customHeight="1" x14ac:dyDescent="0.35">
      <c r="T1" s="20"/>
      <c r="U1" s="2"/>
      <c r="V1" s="2"/>
      <c r="W1" s="2"/>
      <c r="X1" s="2"/>
      <c r="Y1" s="2" t="e">
        <f>INDEX(Vessel_Minimum_MT,MATCH(AA1,Control!$E$11:$E$15,0),MATCH(X1,Control!$E$11:$J$11,0))</f>
        <v>#N/A</v>
      </c>
      <c r="Z1" s="2"/>
      <c r="AA1" s="2"/>
      <c r="AB1" s="2"/>
      <c r="AK1" s="2" t="e">
        <f>AH1*VLOOKUP($AA1,Control!$F$75:$H$79,3,FALSE)/$AD1</f>
        <v>#N/A</v>
      </c>
    </row>
    <row r="2" spans="2:74" ht="29" thickBot="1" x14ac:dyDescent="0.7">
      <c r="B2" s="386"/>
      <c r="C2"/>
      <c r="F2" s="997" t="s">
        <v>153</v>
      </c>
      <c r="G2" s="997"/>
      <c r="H2" s="997"/>
      <c r="I2" s="997"/>
      <c r="J2" s="997"/>
      <c r="K2" s="997"/>
      <c r="L2" s="997"/>
      <c r="M2" s="997"/>
      <c r="N2" s="997"/>
      <c r="O2" s="997"/>
      <c r="P2" s="997"/>
      <c r="Q2" s="997"/>
      <c r="R2" s="997"/>
      <c r="S2" s="997"/>
      <c r="T2" s="997"/>
      <c r="U2" s="997"/>
      <c r="V2" s="997"/>
      <c r="W2" s="997"/>
      <c r="X2" s="997"/>
      <c r="Y2" s="997"/>
      <c r="Z2" s="997"/>
      <c r="AA2" s="997"/>
      <c r="AB2" s="997"/>
      <c r="AC2" s="997"/>
      <c r="AD2" s="997"/>
      <c r="AE2" s="997"/>
      <c r="AF2" s="997"/>
      <c r="AG2" s="997"/>
      <c r="AH2" s="997"/>
      <c r="AI2" s="997"/>
      <c r="AJ2" s="997"/>
      <c r="AK2" s="997"/>
      <c r="AL2" s="997"/>
      <c r="AM2" s="997"/>
      <c r="AN2" s="997"/>
      <c r="AO2" s="997"/>
      <c r="AP2" s="997"/>
      <c r="AQ2" s="997"/>
      <c r="AR2" s="997"/>
      <c r="AS2" s="997"/>
      <c r="AT2" s="997"/>
      <c r="AU2" s="997"/>
      <c r="AV2" s="997"/>
      <c r="AW2" s="997"/>
      <c r="AX2" s="997"/>
      <c r="AY2" s="997"/>
      <c r="AZ2" s="997"/>
      <c r="BA2" s="997"/>
      <c r="BB2" s="997"/>
      <c r="BC2" s="997"/>
      <c r="BD2" s="997"/>
      <c r="BE2" s="997"/>
      <c r="BF2" s="997"/>
      <c r="BG2" s="997"/>
      <c r="BH2" s="997"/>
      <c r="BI2" s="997"/>
      <c r="BJ2" s="133"/>
      <c r="BL2" s="268"/>
      <c r="BM2" s="268"/>
      <c r="BN2" s="268"/>
      <c r="BO2" s="268"/>
    </row>
    <row r="3" spans="2:74" s="364" customFormat="1" ht="18" customHeight="1" thickBot="1" x14ac:dyDescent="0.4">
      <c r="B3" s="387"/>
      <c r="D3"/>
      <c r="E3"/>
      <c r="F3" s="998" t="s">
        <v>154</v>
      </c>
      <c r="G3" s="998"/>
      <c r="H3" s="204"/>
      <c r="I3" s="205"/>
      <c r="J3" s="206"/>
      <c r="K3" s="207"/>
      <c r="L3" s="206"/>
      <c r="M3" s="206"/>
      <c r="Q3" s="11"/>
      <c r="R3" s="193"/>
      <c r="S3" s="193"/>
      <c r="T3" s="193"/>
      <c r="U3" s="37"/>
      <c r="V3" s="37"/>
      <c r="W3" s="126"/>
      <c r="X3" s="38"/>
      <c r="Y3" s="126"/>
      <c r="Z3" s="37"/>
      <c r="AA3" s="570">
        <v>-0.9</v>
      </c>
      <c r="AB3" s="759"/>
      <c r="AF3" s="364">
        <v>0.4</v>
      </c>
      <c r="AK3" s="644"/>
      <c r="AL3" s="810" t="s">
        <v>127</v>
      </c>
      <c r="AM3" s="483">
        <v>0</v>
      </c>
      <c r="AN3" s="483">
        <v>1</v>
      </c>
      <c r="AO3" s="12"/>
      <c r="AP3" s="12"/>
      <c r="AQ3" s="12"/>
      <c r="AR3" s="12"/>
      <c r="AS3" s="12"/>
      <c r="AT3" s="12"/>
      <c r="AU3" s="12"/>
      <c r="AV3" s="371"/>
      <c r="AX3" s="124" t="s">
        <v>155</v>
      </c>
      <c r="AY3" s="2" t="s">
        <v>156</v>
      </c>
      <c r="AZ3" s="2" t="s">
        <v>157</v>
      </c>
      <c r="BA3" s="2"/>
      <c r="BB3" s="2"/>
      <c r="BC3" s="2"/>
      <c r="BD3" s="483">
        <v>1</v>
      </c>
      <c r="BE3" s="373">
        <f>WTI!BD3</f>
        <v>46296</v>
      </c>
      <c r="BF3" s="374">
        <f>WTI!BE3</f>
        <v>46356</v>
      </c>
      <c r="BG3" s="374">
        <f>WTI!BF3</f>
        <v>46387</v>
      </c>
      <c r="BH3" s="496">
        <f>WTI!BG3</f>
        <v>46418</v>
      </c>
      <c r="BI3" s="496">
        <f>WTI!BH3</f>
        <v>46446</v>
      </c>
      <c r="BJ3" s="369"/>
      <c r="BK3" s="365"/>
      <c r="BL3" s="370"/>
      <c r="BM3" s="370"/>
      <c r="BN3" s="370"/>
      <c r="BO3" s="370"/>
      <c r="BP3" s="735"/>
      <c r="BQ3" s="365"/>
      <c r="BR3" s="365"/>
      <c r="BS3" s="365"/>
      <c r="BT3" s="365"/>
      <c r="BU3" s="365"/>
      <c r="BV3" s="365"/>
    </row>
    <row r="4" spans="2:74" ht="15.65" customHeight="1" thickBot="1" x14ac:dyDescent="0.4">
      <c r="C4"/>
      <c r="F4" s="1006" t="s">
        <v>158</v>
      </c>
      <c r="G4" s="1006"/>
      <c r="P4" s="133" t="s">
        <v>159</v>
      </c>
      <c r="V4" t="s">
        <v>160</v>
      </c>
      <c r="W4" t="s">
        <v>161</v>
      </c>
      <c r="X4" t="s">
        <v>162</v>
      </c>
      <c r="AA4" s="195">
        <f>AA3</f>
        <v>-0.9</v>
      </c>
      <c r="AB4" s="194"/>
      <c r="AF4" s="124">
        <v>0.2</v>
      </c>
      <c r="AK4" s="406"/>
      <c r="AL4" s="133" t="s">
        <v>128</v>
      </c>
      <c r="AM4" s="483">
        <v>1</v>
      </c>
      <c r="AV4" s="21"/>
      <c r="AX4" s="193">
        <v>0</v>
      </c>
      <c r="AY4" s="193">
        <v>1</v>
      </c>
      <c r="AZ4" s="193">
        <v>2</v>
      </c>
      <c r="BA4" s="193" t="s">
        <v>163</v>
      </c>
      <c r="BD4" s="46" t="s">
        <v>164</v>
      </c>
      <c r="BE4" s="852">
        <f>WTI!BD4</f>
        <v>3.75</v>
      </c>
      <c r="BF4" s="852">
        <f>WTI!BE4</f>
        <v>2.9</v>
      </c>
      <c r="BG4" s="852">
        <f>WTI!BF4</f>
        <v>2.25</v>
      </c>
      <c r="BH4" s="852">
        <f>WTI!BG4</f>
        <v>1.9</v>
      </c>
      <c r="BI4" s="852">
        <f>WTI!BH4</f>
        <v>1.7</v>
      </c>
      <c r="BU4" s="132"/>
      <c r="BV4" s="127"/>
    </row>
    <row r="5" spans="2:74" ht="15" customHeight="1" x14ac:dyDescent="0.35">
      <c r="F5" s="1007" t="s">
        <v>165</v>
      </c>
      <c r="G5" s="1007"/>
      <c r="I5" s="204"/>
      <c r="J5" s="204"/>
      <c r="K5" s="205"/>
      <c r="L5" s="206"/>
      <c r="M5" s="207"/>
      <c r="N5" s="206"/>
      <c r="O5" s="206"/>
      <c r="V5" s="194">
        <f>B8</f>
        <v>45795</v>
      </c>
      <c r="W5">
        <v>13</v>
      </c>
      <c r="X5" s="375">
        <f>V5+BD31+W5</f>
        <v>45862</v>
      </c>
      <c r="Z5" s="2"/>
      <c r="AA5">
        <v>0.03</v>
      </c>
      <c r="AB5" s="77">
        <f>BA68-BA67</f>
        <v>-1.4796689442270057</v>
      </c>
      <c r="AD5" s="51"/>
      <c r="AE5" s="569"/>
      <c r="AF5" s="569">
        <v>0</v>
      </c>
      <c r="AG5" s="569"/>
      <c r="AH5" s="51"/>
      <c r="AV5" s="21"/>
      <c r="AX5" s="645" t="s">
        <v>155</v>
      </c>
      <c r="AY5" s="646" t="s">
        <v>156</v>
      </c>
      <c r="AZ5" s="646" t="s">
        <v>157</v>
      </c>
      <c r="BD5" s="203" t="s">
        <v>229</v>
      </c>
      <c r="BE5" s="852">
        <f>WTI!BD5</f>
        <v>13.5</v>
      </c>
      <c r="BF5" s="852">
        <f>WTI!BE5</f>
        <v>5.28</v>
      </c>
      <c r="BG5" s="852">
        <f>WTI!BF5</f>
        <v>3.98</v>
      </c>
      <c r="BH5" s="852">
        <f>WTI!BG5</f>
        <v>2.93</v>
      </c>
      <c r="BI5" s="852">
        <f>WTI!BH5</f>
        <v>2.4500000000000002</v>
      </c>
    </row>
    <row r="6" spans="2:74" ht="15" customHeight="1" thickBot="1" x14ac:dyDescent="0.4">
      <c r="I6" s="204"/>
      <c r="J6" s="204"/>
      <c r="K6" s="205"/>
      <c r="L6" s="206"/>
      <c r="M6" s="207"/>
      <c r="N6" s="206"/>
      <c r="O6" s="206"/>
      <c r="T6" s="20"/>
      <c r="X6" s="2"/>
      <c r="Z6" s="2"/>
      <c r="AA6" s="2"/>
      <c r="AB6" s="35"/>
      <c r="AC6" s="52"/>
      <c r="AD6" s="192"/>
      <c r="AE6" s="192"/>
      <c r="AF6" s="192"/>
      <c r="AG6" s="192"/>
      <c r="AH6" s="192"/>
      <c r="AI6" s="484"/>
      <c r="AJ6" s="484"/>
      <c r="AK6" s="384"/>
      <c r="AL6" s="384"/>
      <c r="AM6" s="384"/>
      <c r="BA6" s="583" t="s">
        <v>166</v>
      </c>
      <c r="BD6" s="203" t="s">
        <v>254</v>
      </c>
      <c r="BE6" s="852">
        <f>WTI!BD6</f>
        <v>-5.25</v>
      </c>
      <c r="BF6" s="852">
        <f>WTI!BE6</f>
        <v>-1.7</v>
      </c>
      <c r="BG6" s="852">
        <f>WTI!BF6</f>
        <v>-0.9</v>
      </c>
      <c r="BH6" s="852">
        <f>WTI!BG6</f>
        <v>-0.7</v>
      </c>
      <c r="BI6" s="852">
        <f>WTI!BH6</f>
        <v>-0.65</v>
      </c>
      <c r="BK6" s="44"/>
      <c r="BL6" s="44"/>
      <c r="BM6" s="44"/>
      <c r="BN6" s="44"/>
      <c r="BO6" s="44"/>
    </row>
    <row r="7" spans="2:74" ht="19" thickBot="1" x14ac:dyDescent="0.5">
      <c r="B7" s="1005" t="s">
        <v>167</v>
      </c>
      <c r="C7" s="1005"/>
      <c r="F7" s="112"/>
      <c r="G7" s="112"/>
      <c r="H7"/>
      <c r="I7"/>
      <c r="J7"/>
      <c r="K7"/>
      <c r="L7"/>
      <c r="M7"/>
      <c r="N7"/>
      <c r="O7"/>
      <c r="P7"/>
      <c r="Q7"/>
      <c r="R7"/>
      <c r="S7"/>
      <c r="V7" s="9"/>
      <c r="W7" s="9"/>
      <c r="X7" s="9"/>
      <c r="Y7" s="9"/>
      <c r="Z7" s="9"/>
      <c r="AA7" s="999" t="s">
        <v>255</v>
      </c>
      <c r="AB7" s="1000"/>
      <c r="AC7" s="1000"/>
      <c r="AD7" s="1000"/>
      <c r="AE7" s="1000"/>
      <c r="AF7" s="1000"/>
      <c r="AG7" s="1000"/>
      <c r="AH7" s="1000"/>
      <c r="AI7" s="1000"/>
      <c r="AJ7" s="1000"/>
      <c r="AK7" s="1000"/>
      <c r="AL7" s="1000"/>
      <c r="AM7" s="1000"/>
      <c r="AN7" s="1000"/>
      <c r="AO7" s="1000"/>
      <c r="AP7" s="1000"/>
      <c r="AQ7" s="1000"/>
      <c r="AR7" s="1000"/>
      <c r="AS7" s="1000"/>
      <c r="AT7" s="1000"/>
      <c r="AU7" s="1000"/>
      <c r="AV7" s="1000"/>
      <c r="AW7" s="1000"/>
      <c r="AX7" s="1000"/>
      <c r="AY7" s="1000"/>
      <c r="AZ7" s="1000"/>
      <c r="BA7" s="1001"/>
      <c r="BD7" s="483">
        <v>1</v>
      </c>
      <c r="BE7" s="583" t="s">
        <v>169</v>
      </c>
      <c r="BF7" s="76"/>
      <c r="BG7" s="76"/>
      <c r="BH7" s="76"/>
      <c r="BI7" s="483">
        <v>1</v>
      </c>
      <c r="BJ7" s="587"/>
      <c r="BK7" s="44"/>
    </row>
    <row r="8" spans="2:74" ht="27" customHeight="1" thickBot="1" x14ac:dyDescent="0.4">
      <c r="B8" s="309">
        <v>45795</v>
      </c>
      <c r="C8" s="310">
        <f>B8+2</f>
        <v>45797</v>
      </c>
      <c r="F8" s="137" t="s">
        <v>170</v>
      </c>
      <c r="G8" s="137" t="s">
        <v>171</v>
      </c>
      <c r="H8"/>
      <c r="I8"/>
      <c r="J8"/>
      <c r="K8"/>
      <c r="L8"/>
      <c r="M8"/>
      <c r="N8"/>
      <c r="O8"/>
      <c r="P8"/>
      <c r="Q8"/>
      <c r="R8"/>
      <c r="S8"/>
      <c r="V8" s="120" t="s">
        <v>172</v>
      </c>
      <c r="W8" s="120" t="s">
        <v>2</v>
      </c>
      <c r="X8" s="120" t="s">
        <v>173</v>
      </c>
      <c r="Y8" s="152" t="s">
        <v>174</v>
      </c>
      <c r="Z8" s="120" t="s">
        <v>175</v>
      </c>
      <c r="AA8" s="571" t="s">
        <v>176</v>
      </c>
      <c r="AB8" s="571" t="s">
        <v>177</v>
      </c>
      <c r="AC8" s="571" t="s">
        <v>178</v>
      </c>
      <c r="AD8" s="571" t="s">
        <v>179</v>
      </c>
      <c r="AE8" s="578" t="s">
        <v>180</v>
      </c>
      <c r="AF8" s="128" t="s">
        <v>181</v>
      </c>
      <c r="AG8" s="579" t="s">
        <v>182</v>
      </c>
      <c r="AH8" s="580" t="s">
        <v>183</v>
      </c>
      <c r="AI8" s="578" t="s">
        <v>127</v>
      </c>
      <c r="AJ8" s="578" t="s">
        <v>128</v>
      </c>
      <c r="AK8" s="580" t="s">
        <v>184</v>
      </c>
      <c r="AL8" s="580" t="s">
        <v>185</v>
      </c>
      <c r="AM8" s="580"/>
      <c r="AN8" s="580" t="s">
        <v>98</v>
      </c>
      <c r="AO8" s="580" t="s">
        <v>186</v>
      </c>
      <c r="AP8" s="580" t="s">
        <v>187</v>
      </c>
      <c r="AQ8" s="580" t="s">
        <v>141</v>
      </c>
      <c r="AR8" s="580" t="s">
        <v>188</v>
      </c>
      <c r="AS8" s="580" t="s">
        <v>17</v>
      </c>
      <c r="AT8" s="580" t="s">
        <v>18</v>
      </c>
      <c r="AU8" s="580" t="s">
        <v>189</v>
      </c>
      <c r="AV8" s="580" t="s">
        <v>152</v>
      </c>
      <c r="AW8" s="579" t="s">
        <v>190</v>
      </c>
      <c r="AX8" s="579" t="s">
        <v>191</v>
      </c>
      <c r="AY8" s="579" t="s">
        <v>192</v>
      </c>
      <c r="AZ8" s="579" t="s">
        <v>193</v>
      </c>
      <c r="BA8" s="137" t="s">
        <v>194</v>
      </c>
      <c r="BD8" s="137" t="s">
        <v>195</v>
      </c>
      <c r="BE8" s="1012" t="s">
        <v>196</v>
      </c>
      <c r="BF8" s="1012"/>
      <c r="BG8" s="581" t="s">
        <v>193</v>
      </c>
      <c r="BH8" s="581" t="s">
        <v>197</v>
      </c>
      <c r="BI8" s="581" t="s">
        <v>198</v>
      </c>
      <c r="BK8" s="44"/>
      <c r="BL8" s="44"/>
      <c r="BM8" s="44"/>
      <c r="BN8" s="44"/>
      <c r="BO8" s="44"/>
    </row>
    <row r="9" spans="2:74" ht="15.75" hidden="1" customHeight="1" outlineLevel="1" x14ac:dyDescent="0.35">
      <c r="B9" s="82">
        <f>+$B$8</f>
        <v>45795</v>
      </c>
      <c r="C9" s="82">
        <f t="shared" ref="C9:C21" si="0">IF(ISBLANK(B9),"",B9+2)</f>
        <v>45797</v>
      </c>
      <c r="F9" s="153">
        <f>IF(AN9=0,0,VLOOKUP(AA9,Control!$G$41:$J$44,4,FALSE))</f>
        <v>0</v>
      </c>
      <c r="G9" s="153"/>
      <c r="H9"/>
      <c r="I9"/>
      <c r="J9"/>
      <c r="K9"/>
      <c r="L9"/>
      <c r="M9"/>
      <c r="N9"/>
      <c r="O9"/>
      <c r="P9"/>
      <c r="Q9"/>
      <c r="R9"/>
      <c r="S9"/>
      <c r="V9" s="165" t="e">
        <v>#N/A</v>
      </c>
      <c r="W9" s="138">
        <f>INDEX(Control!$E$17:$J$21,MATCH(AA9,Control!$E$17:$E$21,0),MATCH(X9,Control!$E$17:$J$17,0))</f>
        <v>0.5</v>
      </c>
      <c r="X9" s="138" t="s">
        <v>63</v>
      </c>
      <c r="Y9" s="116">
        <f>INDEX(Vessel_Minimum_MT,MATCH(AA9,Control!$E$11:$E$15,0),MATCH(X9,Control!$E$11:$J$11,0))</f>
        <v>50000</v>
      </c>
      <c r="Z9" s="140">
        <f>AD9/Control!$D$84</f>
        <v>62424.327803203661</v>
      </c>
      <c r="AA9" s="147" t="s">
        <v>22</v>
      </c>
      <c r="AB9" s="142" t="s">
        <v>110</v>
      </c>
      <c r="AC9" s="142" t="str">
        <f t="shared" ref="AC9:AC21" si="1">IF(AB9=X9,"",CONCATENATE(CONCATENATE(VLOOKUP(X9,Zones,2,FALSE),"/",VLOOKUP(AB9,Zones,2,FALSE))))</f>
        <v>Panama WC/LATAM WEST</v>
      </c>
      <c r="AD9" s="141">
        <v>485000</v>
      </c>
      <c r="AE9" s="141">
        <v>245</v>
      </c>
      <c r="AF9" s="151">
        <v>100</v>
      </c>
      <c r="AG9" s="149" t="e">
        <f>IF(AF9&gt;1000,IF(AF9=0,AF9,AF9)/AD9,((Y9*V9*(IF(AF9=0,AF9,AF9)/100))+IF(Z9&lt;Y9,0,(Z9-Y9)*V9*IF(AF9=0,AF9,AF9)/100*W9))/AD9)</f>
        <v>#N/A</v>
      </c>
      <c r="AH9" s="144">
        <v>5</v>
      </c>
      <c r="AI9" s="155">
        <f>IF(INDEX(Index,MATCH(AB9,TVM_PortList,0),MATCH("Type",Control!$Q$3:$U$3,0))="BL",INDEX(Index,MATCH(AB9,TVM_PortList,0),MATCH("Payment",Control!$Q$3:$U$3,0))-INDEX(Index,MATCH(X9,TVM_PortList,0),MATCH("Payment",Control!$Q$3:$U$3,0)),BD9+INDEX(Index,MATCH(AB9,TVM_PortList,0),MATCH("Payment",Control!$Q$3:$U$3,0))-INDEX(Index,MATCH(X9,TVM_PortList,0),MATCH("Payment",Control!$Q$3:$U$3,0)))</f>
        <v>15</v>
      </c>
      <c r="AJ9" s="155"/>
      <c r="AK9" s="143">
        <f>AH9*VLOOKUP($AA9,Control!$F$75:$H$79,3,FALSE)/$AD9</f>
        <v>0.46391752577319589</v>
      </c>
      <c r="AL9" s="143">
        <f>IF(AI9&lt;0,0,$AI9*Control!$D$77)</f>
        <v>0.19554246575342468</v>
      </c>
      <c r="AM9" s="143"/>
      <c r="AN9" s="143">
        <f>INDEX(Lightering,MATCH($X9,Control!$AB$3:$AB$29,0),MATCH(Report!$AA9,Control!$AB$3:$AF$3,0))*($AD9/Control!$D$85)*Control!$H$90/$AD9</f>
        <v>0</v>
      </c>
      <c r="AO9" s="143">
        <f>IF(K9="Corpus Christi",Control!$D$76,0)</f>
        <v>0</v>
      </c>
      <c r="AP9" s="143">
        <v>0</v>
      </c>
      <c r="AQ9" s="143">
        <f>Control!$D$78</f>
        <v>0</v>
      </c>
      <c r="AR9" s="143">
        <f>Control!$D$79</f>
        <v>6.7299999999999999E-2</v>
      </c>
      <c r="AS9" s="143">
        <f>IF(INDEX(Control!$Q$3:$S$62,MATCH($AB9,Control!$Q$3:$Q$62,0),MATCH(AS$8,Control!$Q$3:$S$3,0))=1,Control!$D$81*Control!$E$81,0)</f>
        <v>0</v>
      </c>
      <c r="AT9" s="143">
        <f>IF(INDEX(Control!$Q$3:$S$62,MATCH($AB9,Control!$Q$3:$Q$62,0),MATCH(AT$8,Control!$Q$3:$S$3,0))=1,Control!$D$82/$AD9,0)</f>
        <v>0</v>
      </c>
      <c r="AU9" s="143"/>
      <c r="AV9" s="143">
        <f>IF(AND(N9="Chiriqui Grande",X9="Puerto Armuelles"),Control!$G$93,0)</f>
        <v>0</v>
      </c>
      <c r="AW9" s="149">
        <f>SUM(AK9:AV9)</f>
        <v>0.72675999152662063</v>
      </c>
      <c r="AX9" s="149" t="e">
        <f t="shared" ref="AX9:AX21" si="2">+T9+AG9+AW9</f>
        <v>#N/A</v>
      </c>
      <c r="AY9" s="149" t="e">
        <f t="shared" ref="AY9:AY15" si="3">IF((MONTH(B9)=MONTH(BF9)),0,IF((MONTH(BF9)+12)-(MONTH(B9)+12)&gt;1,VLOOKUP("Spreads",$BD$3:$BH$4,MATCH(EOMONTH(BF9,0),$BD$3:$BH$3,0),FALSE)+VLOOKUP("Spreads",$BD$3:$BH$4,MATCH(EOMONTH(BF9,-1),$BD$3:$BH$3,0),FALSE),VLOOKUP("Spreads",$BD$3:$BH$4,MATCH(EOMONTH(B9,0),$BD$3:$BH$3,0))))</f>
        <v>#N/A</v>
      </c>
      <c r="AZ9" s="149">
        <v>0</v>
      </c>
      <c r="BA9" s="497" t="e">
        <f t="shared" ref="BA9:BA21" si="4">$AA$3+AX9+AY9+AZ9</f>
        <v>#N/A</v>
      </c>
      <c r="BD9" s="153" t="e">
        <f>INDEX('[1]Transit Time'!$A:$DZ,MATCH(K9,'[1]Transit Time'!$A:$A,0),MATCH(N9,'[1]Transit Time'!$A$1:$DZ$1,0))+INDEX('[1]Transit Time'!$A:$DZ,MATCH(N9,'[1]Transit Time'!$A:$A,0),MATCH(X9,'[1]Transit Time'!$A$1:$DZ$1,0))+INDEX('[1]Transit Time'!$A:$DZ,MATCH(X9,'[1]Transit Time'!$A:$A,0),MATCH(AB9,'[1]Transit Time'!$A$1:$DZ$1,0))</f>
        <v>#N/A</v>
      </c>
      <c r="BE9" s="163" t="e">
        <f>IF(ISBLANK(B9),"",B9+$BD9+F9)</f>
        <v>#N/A</v>
      </c>
      <c r="BF9" s="163" t="e">
        <f>IF(ISBLANK(C9),"",C9+$BD9)</f>
        <v>#N/A</v>
      </c>
      <c r="BG9" s="163"/>
      <c r="BH9" s="163"/>
      <c r="BI9" s="163"/>
    </row>
    <row r="10" spans="2:74" ht="15.75" hidden="1" customHeight="1" outlineLevel="1" x14ac:dyDescent="0.35">
      <c r="B10" s="209">
        <f>+$B$9</f>
        <v>45795</v>
      </c>
      <c r="C10" s="209">
        <f t="shared" si="0"/>
        <v>45797</v>
      </c>
      <c r="F10" s="229">
        <f>IF(AN10=0,0,VLOOKUP(AA10,Control!$G$41:$J$44,4,FALSE))</f>
        <v>0</v>
      </c>
      <c r="G10" s="229"/>
      <c r="H10"/>
      <c r="I10"/>
      <c r="J10"/>
      <c r="K10"/>
      <c r="L10"/>
      <c r="M10"/>
      <c r="N10"/>
      <c r="O10"/>
      <c r="P10"/>
      <c r="Q10"/>
      <c r="R10"/>
      <c r="S10"/>
      <c r="V10" s="220">
        <f>INDEX('[2]Flat Rates 2025'!$A:$DZ,MATCH(X10,'[2]Flat Rates 2025'!$A:$A,0),MATCH(AB10,'[2]Flat Rates 2025'!$A$1:$DZ$1,0))</f>
        <v>10.63</v>
      </c>
      <c r="W10" s="220">
        <f>INDEX(Control!$E$17:$J$21,MATCH(AA10,Control!$E$17:$E$21,0),MATCH(X10,Control!$E$17:$J$17,0))</f>
        <v>0.5</v>
      </c>
      <c r="X10" s="220" t="s">
        <v>63</v>
      </c>
      <c r="Y10" s="213">
        <f>INDEX(Vessel_Minimum_MT,MATCH(AA10,Control!$E$11:$E$15,0),MATCH(X10,Control!$E$11:$J$11,0))</f>
        <v>70000</v>
      </c>
      <c r="Z10" s="222">
        <f>AD10/Control!$D$84</f>
        <v>96532.465675057203</v>
      </c>
      <c r="AA10" s="215" t="s">
        <v>23</v>
      </c>
      <c r="AB10" s="212" t="s">
        <v>110</v>
      </c>
      <c r="AC10" s="212" t="str">
        <f t="shared" si="1"/>
        <v>Panama WC/LATAM WEST</v>
      </c>
      <c r="AD10" s="214">
        <v>750000</v>
      </c>
      <c r="AE10" s="214">
        <v>155</v>
      </c>
      <c r="AF10" s="224"/>
      <c r="AG10" s="225">
        <f t="shared" ref="AG10:AG21" si="5">IF(AE10&gt;1000,IF(AF10=0,AE10,AF10)/AD10,((Y10*V10*(IF(AF10=0,AE10,AF10)/100))+IF(Z10&lt;Y10,0,(Z10-Y10)*V10*IF(AF10=0,AE10,AF10)/100*W10))/AD10)</f>
        <v>1.82924811379672</v>
      </c>
      <c r="AH10" s="226">
        <v>0</v>
      </c>
      <c r="AI10" s="214">
        <f>IF(INDEX(Index,MATCH(AB10,TVM_PortList,0),MATCH("Type",Control!$Q$3:$U$3,0))="BL",INDEX(Index,MATCH(AB10,TVM_PortList,0),MATCH("Payment",Control!$Q$3:$U$3,0))-INDEX(Index,MATCH(X10,TVM_PortList,0),MATCH("Payment",Control!$Q$3:$U$3,0)),BD10+INDEX(Index,MATCH(AB10,TVM_PortList,0),MATCH("Payment",Control!$Q$3:$U$3,0))-INDEX(Index,MATCH(X10,TVM_PortList,0),MATCH("Payment",Control!$Q$3:$U$3,0)))</f>
        <v>15</v>
      </c>
      <c r="AJ10" s="214"/>
      <c r="AK10" s="227">
        <f>AH10*VLOOKUP($AA10,Control!$F$75:$H$79,3,FALSE)/$AD10</f>
        <v>0</v>
      </c>
      <c r="AL10" s="227">
        <f>IF(AI10&lt;0,0,$AI10*Control!$D$77)</f>
        <v>0.19554246575342468</v>
      </c>
      <c r="AM10" s="227"/>
      <c r="AN10" s="227">
        <f>INDEX(Lightering,MATCH($X10,Control!$AB$3:$AB$29,0),MATCH(Report!$AA10,Control!$AB$3:$AF$3,0))*($AD10/Control!$D$85)*Control!$H$90/$AD10</f>
        <v>0</v>
      </c>
      <c r="AO10" s="227">
        <f>IF(K10="Corpus Christi",Control!$D$76,0)</f>
        <v>0</v>
      </c>
      <c r="AP10" s="227">
        <v>0</v>
      </c>
      <c r="AQ10" s="227">
        <f>Control!$D$78</f>
        <v>0</v>
      </c>
      <c r="AR10" s="227">
        <f>Control!$D$79</f>
        <v>6.7299999999999999E-2</v>
      </c>
      <c r="AS10" s="227">
        <f>IF(INDEX(Control!$Q$3:$S$62,MATCH($AB10,Control!$Q$3:$Q$62,0),MATCH(AS$8,Control!$Q$3:$S$3,0))=1,Control!$D$81*Control!$E$81,0)</f>
        <v>0</v>
      </c>
      <c r="AT10" s="227">
        <f>IF(INDEX(Control!$Q$3:$S$62,MATCH($AB10,Control!$Q$3:$Q$62,0),MATCH(AT$8,Control!$Q$3:$S$3,0))=1,Control!$D$82/$AD10,0)</f>
        <v>0</v>
      </c>
      <c r="AU10" s="227"/>
      <c r="AV10" s="227">
        <f>IF(AND(N10="Chiriqui Grande",X10="Puerto Armuelles"),Control!$G$93,0)</f>
        <v>0</v>
      </c>
      <c r="AW10" s="225">
        <f t="shared" ref="AW10:AW21" si="6">SUM(AK10:AV10)</f>
        <v>0.26284246575342468</v>
      </c>
      <c r="AX10" s="225">
        <f t="shared" si="2"/>
        <v>2.0920905795501445</v>
      </c>
      <c r="AY10" s="225" t="e">
        <f t="shared" si="3"/>
        <v>#VALUE!</v>
      </c>
      <c r="AZ10" s="225">
        <v>0</v>
      </c>
      <c r="BA10" s="498" t="e">
        <f t="shared" si="4"/>
        <v>#VALUE!</v>
      </c>
      <c r="BC10" s="220"/>
      <c r="BD10" s="229" t="e">
        <f>INDEX('[1]Transit Time'!$A:$DZ,MATCH(K10,'[1]Transit Time'!$A:$A,0),MATCH(N10,'[1]Transit Time'!$A$1:$DZ$1,0))+INDEX('[1]Transit Time'!$A:$DZ,MATCH(N10,'[1]Transit Time'!$A:$A,0),MATCH(X10,'[1]Transit Time'!$A$1:$DZ$1,0))+INDEX('[1]Transit Time'!$A:$DZ,MATCH(X10,'[1]Transit Time'!$A:$A,0),MATCH(AB10,'[1]Transit Time'!$A$1:$DZ$1,0))</f>
        <v>#N/A</v>
      </c>
      <c r="BE10" s="230" t="e">
        <f t="shared" ref="BE10:BE15" si="7">IF(ISBLANK(B10),"",B10+$BD10)</f>
        <v>#N/A</v>
      </c>
      <c r="BF10" s="230" t="str">
        <f t="shared" ref="BF10:BF17" si="8">IFERROR(IF(ISBLANK(C10),"",C10+$BD10),"")</f>
        <v/>
      </c>
      <c r="BG10" s="230"/>
      <c r="BH10" s="230"/>
      <c r="BI10" s="230"/>
    </row>
    <row r="11" spans="2:74" ht="15.75" hidden="1" customHeight="1" outlineLevel="1" x14ac:dyDescent="0.35">
      <c r="B11" s="163">
        <f t="shared" ref="B11:B15" si="9">+$B$9</f>
        <v>45795</v>
      </c>
      <c r="C11" s="163">
        <f t="shared" si="0"/>
        <v>45797</v>
      </c>
      <c r="F11" s="153">
        <f>IF(AN11=0,0,VLOOKUP(AA11,Control!$G$41:$J$44,4,FALSE))</f>
        <v>0</v>
      </c>
      <c r="G11" s="153"/>
      <c r="H11"/>
      <c r="I11"/>
      <c r="J11"/>
      <c r="K11"/>
      <c r="L11"/>
      <c r="M11"/>
      <c r="N11"/>
      <c r="O11"/>
      <c r="P11"/>
      <c r="Q11"/>
      <c r="R11"/>
      <c r="S11"/>
      <c r="V11" s="191">
        <f>INDEX('[2]Flat Rates 2025'!$A:$DZ,MATCH(X11,'[2]Flat Rates 2025'!$A:$A,0),MATCH(AB11,'[2]Flat Rates 2025'!$A$1:$DZ$1,0))</f>
        <v>10.63</v>
      </c>
      <c r="W11" s="138">
        <f>INDEX(Control!$E$17:$J$21,MATCH(AA11,Control!$E$17:$E$21,0),MATCH(X11,Control!$E$17:$J$17,0))</f>
        <v>0.5</v>
      </c>
      <c r="X11" s="138" t="s">
        <v>63</v>
      </c>
      <c r="Y11" s="116">
        <f>INDEX(Vessel_Minimum_MT,MATCH(AA11,Control!$E$11:$E$15,0),MATCH(X11,Control!$E$11:$J$11,0))</f>
        <v>145000</v>
      </c>
      <c r="Z11" s="140">
        <f>AD11/Control!$D$84</f>
        <v>128709.9542334096</v>
      </c>
      <c r="AA11" s="147" t="s">
        <v>24</v>
      </c>
      <c r="AB11" s="142" t="s">
        <v>110</v>
      </c>
      <c r="AC11" s="142" t="str">
        <f t="shared" si="1"/>
        <v>Panama WC/LATAM WEST</v>
      </c>
      <c r="AD11" s="141">
        <v>1000000</v>
      </c>
      <c r="AE11" s="141">
        <v>110</v>
      </c>
      <c r="AF11" s="151"/>
      <c r="AG11" s="149">
        <f t="shared" si="5"/>
        <v>1.6954850000000001</v>
      </c>
      <c r="AH11" s="144">
        <v>0</v>
      </c>
      <c r="AI11" s="141">
        <f>IF(INDEX(Index,MATCH(AB11,TVM_PortList,0),MATCH("Type",Control!$Q$3:$U$3,0))="BL",INDEX(Index,MATCH(AB11,TVM_PortList,0),MATCH("Payment",Control!$Q$3:$U$3,0))-INDEX(Index,MATCH(X11,TVM_PortList,0),MATCH("Payment",Control!$Q$3:$U$3,0)),BD11+INDEX(Index,MATCH(AB11,TVM_PortList,0),MATCH("Payment",Control!$Q$3:$U$3,0))-INDEX(Index,MATCH(X11,TVM_PortList,0),MATCH("Payment",Control!$Q$3:$U$3,0)))</f>
        <v>15</v>
      </c>
      <c r="AJ11" s="141"/>
      <c r="AK11" s="143">
        <f>AH11*VLOOKUP($AA11,Control!$F$75:$H$79,3,FALSE)/$AD11</f>
        <v>0</v>
      </c>
      <c r="AL11" s="143">
        <f>IF(AI11&lt;0,0,$AI11*Control!$D$77)</f>
        <v>0.19554246575342468</v>
      </c>
      <c r="AM11" s="143"/>
      <c r="AN11" s="143">
        <f>INDEX(Lightering,MATCH($X11,Control!$AB$3:$AB$29,0),MATCH(Report!$AA11,Control!$AB$3:$AF$3,0))*($AD11/Control!$D$85)*Control!$H$90/$AD11</f>
        <v>0</v>
      </c>
      <c r="AO11" s="143">
        <f>IF(K11="Corpus Christi",Control!$D$76,0)</f>
        <v>0</v>
      </c>
      <c r="AP11" s="143">
        <v>0</v>
      </c>
      <c r="AQ11" s="143">
        <f>Control!$D$78</f>
        <v>0</v>
      </c>
      <c r="AR11" s="143">
        <f>Control!$D$79</f>
        <v>6.7299999999999999E-2</v>
      </c>
      <c r="AS11" s="143">
        <f>IF(INDEX(Control!$Q$3:$S$62,MATCH($AB11,Control!$Q$3:$Q$62,0),MATCH(AS$8,Control!$Q$3:$S$3,0))=1,Control!$D$81*Control!$E$81,0)</f>
        <v>0</v>
      </c>
      <c r="AT11" s="143">
        <f>IF(INDEX(Control!$Q$3:$S$62,MATCH($AB11,Control!$Q$3:$Q$62,0),MATCH(AT$8,Control!$Q$3:$S$3,0))=1,Control!$D$82/$AD11,0)</f>
        <v>0</v>
      </c>
      <c r="AU11" s="143"/>
      <c r="AV11" s="143">
        <f>IF(AND(N11="Chiriqui Grande",X11="Puerto Armuelles"),Control!$G$93,0)</f>
        <v>0</v>
      </c>
      <c r="AW11" s="149">
        <f t="shared" si="6"/>
        <v>0.26284246575342468</v>
      </c>
      <c r="AX11" s="149">
        <f t="shared" si="2"/>
        <v>1.9583274657534249</v>
      </c>
      <c r="AY11" s="149" t="e">
        <f t="shared" si="3"/>
        <v>#VALUE!</v>
      </c>
      <c r="AZ11" s="149">
        <v>0</v>
      </c>
      <c r="BA11" s="499" t="e">
        <f t="shared" si="4"/>
        <v>#VALUE!</v>
      </c>
      <c r="BD11" s="153" t="e">
        <f>INDEX('[1]Transit Time'!$A:$DZ,MATCH(K11,'[1]Transit Time'!$A:$A,0),MATCH(N11,'[1]Transit Time'!$A$1:$DZ$1,0))+INDEX('[1]Transit Time'!$A:$DZ,MATCH(N11,'[1]Transit Time'!$A:$A,0),MATCH(X11,'[1]Transit Time'!$A$1:$DZ$1,0))+INDEX('[1]Transit Time'!$A:$DZ,MATCH(X11,'[1]Transit Time'!$A:$A,0),MATCH(AB11,'[1]Transit Time'!$A$1:$DZ$1,0))</f>
        <v>#N/A</v>
      </c>
      <c r="BE11" s="163" t="e">
        <f t="shared" si="7"/>
        <v>#N/A</v>
      </c>
      <c r="BF11" s="163" t="str">
        <f t="shared" si="8"/>
        <v/>
      </c>
      <c r="BG11" s="163"/>
      <c r="BH11" s="163"/>
      <c r="BI11" s="163"/>
    </row>
    <row r="12" spans="2:74" ht="15.75" hidden="1" customHeight="1" outlineLevel="1" x14ac:dyDescent="0.35">
      <c r="B12" s="230">
        <f t="shared" si="9"/>
        <v>45795</v>
      </c>
      <c r="C12" s="230">
        <f t="shared" si="0"/>
        <v>45797</v>
      </c>
      <c r="F12" s="229">
        <f>IF(AN12=0,0,VLOOKUP(AA12,Control!$G$41:$J$44,4,FALSE))</f>
        <v>0</v>
      </c>
      <c r="G12" s="229"/>
      <c r="H12"/>
      <c r="I12"/>
      <c r="J12"/>
      <c r="K12"/>
      <c r="L12"/>
      <c r="M12"/>
      <c r="N12"/>
      <c r="O12"/>
      <c r="P12"/>
      <c r="Q12"/>
      <c r="R12"/>
      <c r="S12"/>
      <c r="V12" s="220">
        <f>INDEX('[2]Flat Rates 2025'!$A:$DZ,MATCH(X12,'[2]Flat Rates 2025'!$A:$A,0),MATCH(AB12,'[2]Flat Rates 2025'!$A$1:$DZ$1,0))</f>
        <v>5.93</v>
      </c>
      <c r="W12" s="220">
        <f>INDEX(Control!$E$17:$J$21,MATCH(AA12,Control!$E$17:$E$21,0),MATCH(X12,Control!$E$17:$J$17,0))</f>
        <v>0.5</v>
      </c>
      <c r="X12" s="220" t="s">
        <v>63</v>
      </c>
      <c r="Y12" s="213">
        <f>INDEX(Vessel_Minimum_MT,MATCH(AA12,Control!$E$11:$E$15,0),MATCH(X12,Control!$E$11:$J$11,0))</f>
        <v>50000</v>
      </c>
      <c r="Z12" s="222">
        <f>AD12/Control!$D$84</f>
        <v>61137.22826086956</v>
      </c>
      <c r="AA12" s="215" t="s">
        <v>22</v>
      </c>
      <c r="AB12" s="212" t="s">
        <v>94</v>
      </c>
      <c r="AC12" s="212" t="str">
        <f t="shared" si="1"/>
        <v>Panama WC/PAMPILLA</v>
      </c>
      <c r="AD12" s="214">
        <v>475000</v>
      </c>
      <c r="AE12" s="214">
        <v>1001</v>
      </c>
      <c r="AF12" s="224">
        <v>700000</v>
      </c>
      <c r="AG12" s="225">
        <f t="shared" si="5"/>
        <v>1.4736842105263157</v>
      </c>
      <c r="AH12" s="226">
        <v>0</v>
      </c>
      <c r="AI12" s="214" t="e">
        <f>IF(INDEX(Index,MATCH(AB12,TVM_PortList,0),MATCH("Type",Control!$Q$3:$U$3,0))="BL",INDEX(Index,MATCH(AB12,TVM_PortList,0),MATCH("Payment",Control!$Q$3:$U$3,0))-INDEX(Index,MATCH(X12,TVM_PortList,0),MATCH("Payment",Control!$Q$3:$U$3,0)),BD12+INDEX(Index,MATCH(AB12,TVM_PortList,0),MATCH("Payment",Control!$Q$3:$U$3,0))-INDEX(Index,MATCH(X12,TVM_PortList,0),MATCH("Payment",Control!$Q$3:$U$3,0)))</f>
        <v>#N/A</v>
      </c>
      <c r="AJ12" s="214"/>
      <c r="AK12" s="227">
        <f>AH12*VLOOKUP($AA12,Control!$F$75:$H$79,3,FALSE)/$AD12</f>
        <v>0</v>
      </c>
      <c r="AL12" s="227" t="e">
        <f>IF(AI12&lt;0,0,$AI12*Control!$D$77)</f>
        <v>#N/A</v>
      </c>
      <c r="AM12" s="227"/>
      <c r="AN12" s="227">
        <f>INDEX(Lightering,MATCH($X12,Control!$AB$3:$AB$29,0),MATCH(Report!$AA12,Control!$AB$3:$AF$3,0))*($AD12/Control!$D$85)*Control!$H$90/$AD12</f>
        <v>0</v>
      </c>
      <c r="AO12" s="227">
        <f>IF(K12="Corpus Christi",Control!$D$76,0)</f>
        <v>0</v>
      </c>
      <c r="AP12" s="227">
        <v>0</v>
      </c>
      <c r="AQ12" s="227">
        <f>Control!$D$78</f>
        <v>0</v>
      </c>
      <c r="AR12" s="227">
        <f>Control!$D$79</f>
        <v>6.7299999999999999E-2</v>
      </c>
      <c r="AS12" s="227">
        <f>IF(INDEX(Control!$Q$3:$S$62,MATCH($AB12,Control!$Q$3:$Q$62,0),MATCH(AS$8,Control!$Q$3:$S$3,0))=1,Control!$D$81*Control!$E$81,0)</f>
        <v>0</v>
      </c>
      <c r="AT12" s="227">
        <f>IF(INDEX(Control!$Q$3:$S$62,MATCH($AB12,Control!$Q$3:$Q$62,0),MATCH(AT$8,Control!$Q$3:$S$3,0))=1,Control!$D$82/$AD12,0)</f>
        <v>0</v>
      </c>
      <c r="AU12" s="227"/>
      <c r="AV12" s="227">
        <f>IF(AND(N12="Chiriqui Grande",X12="Puerto Armuelles"),Control!$G$93,0)</f>
        <v>0</v>
      </c>
      <c r="AW12" s="225" t="e">
        <f t="shared" si="6"/>
        <v>#N/A</v>
      </c>
      <c r="AX12" s="225" t="e">
        <f t="shared" si="2"/>
        <v>#N/A</v>
      </c>
      <c r="AY12" s="225" t="e">
        <f t="shared" si="3"/>
        <v>#VALUE!</v>
      </c>
      <c r="AZ12" s="225">
        <v>0</v>
      </c>
      <c r="BA12" s="498" t="e">
        <f t="shared" si="4"/>
        <v>#N/A</v>
      </c>
      <c r="BC12" s="220"/>
      <c r="BD12" s="229" t="e">
        <f>INDEX('[1]Transit Time'!$A:$DZ,MATCH(K12,'[1]Transit Time'!$A:$A,0),MATCH(N12,'[1]Transit Time'!$A$1:$DZ$1,0))+INDEX('[1]Transit Time'!$A:$DZ,MATCH(N12,'[1]Transit Time'!$A:$A,0),MATCH(X12,'[1]Transit Time'!$A$1:$DZ$1,0))+INDEX('[1]Transit Time'!$A:$DZ,MATCH(X12,'[1]Transit Time'!$A:$A,0),MATCH(AB12,'[1]Transit Time'!$A$1:$DZ$1,0))</f>
        <v>#N/A</v>
      </c>
      <c r="BE12" s="230" t="e">
        <f t="shared" si="7"/>
        <v>#N/A</v>
      </c>
      <c r="BF12" s="230" t="str">
        <f t="shared" si="8"/>
        <v/>
      </c>
      <c r="BG12" s="230"/>
      <c r="BH12" s="230"/>
      <c r="BI12" s="230"/>
    </row>
    <row r="13" spans="2:74" ht="15.75" hidden="1" customHeight="1" outlineLevel="1" x14ac:dyDescent="0.35">
      <c r="B13" s="163">
        <f t="shared" si="9"/>
        <v>45795</v>
      </c>
      <c r="C13" s="163">
        <f t="shared" si="0"/>
        <v>45797</v>
      </c>
      <c r="F13" s="153">
        <f>IF(AN13=0,0,VLOOKUP(AA13,Control!$G$41:$J$44,4,FALSE))</f>
        <v>0</v>
      </c>
      <c r="G13" s="153"/>
      <c r="H13"/>
      <c r="I13"/>
      <c r="J13"/>
      <c r="K13"/>
      <c r="L13"/>
      <c r="M13"/>
      <c r="N13"/>
      <c r="O13"/>
      <c r="P13"/>
      <c r="Q13"/>
      <c r="R13"/>
      <c r="S13"/>
      <c r="V13" s="138">
        <f>INDEX('[2]Flat Rates 2025'!$A:$DZ,MATCH(X13,'[2]Flat Rates 2025'!$A:$A,0),MATCH(AB13,'[2]Flat Rates 2025'!$A$1:$DZ$1,0))</f>
        <v>5.93</v>
      </c>
      <c r="W13" s="138">
        <f>INDEX(Control!$E$17:$J$21,MATCH(AA13,Control!$E$17:$E$21,0),MATCH(X13,Control!$E$17:$J$17,0))</f>
        <v>0.5</v>
      </c>
      <c r="X13" s="138" t="s">
        <v>63</v>
      </c>
      <c r="Y13" s="116">
        <f>INDEX(Vessel_Minimum_MT,MATCH(AA13,Control!$E$11:$E$15,0),MATCH(X13,Control!$E$11:$J$11,0))</f>
        <v>70000</v>
      </c>
      <c r="Z13" s="140">
        <f>AD13/Control!$D$84</f>
        <v>84948.569794050345</v>
      </c>
      <c r="AA13" s="147" t="s">
        <v>23</v>
      </c>
      <c r="AB13" s="142" t="s">
        <v>94</v>
      </c>
      <c r="AC13" s="142" t="str">
        <f t="shared" si="1"/>
        <v>Panama WC/PAMPILLA</v>
      </c>
      <c r="AD13" s="141">
        <v>660000</v>
      </c>
      <c r="AE13" s="141">
        <v>205</v>
      </c>
      <c r="AF13" s="151">
        <v>0</v>
      </c>
      <c r="AG13" s="149">
        <f t="shared" si="5"/>
        <v>1.4269941581071006</v>
      </c>
      <c r="AH13" s="144">
        <v>0</v>
      </c>
      <c r="AI13" s="141" t="e">
        <f>IF(INDEX(Index,MATCH(AB13,TVM_PortList,0),MATCH("Type",Control!$Q$3:$U$3,0))="BL",INDEX(Index,MATCH(AB13,TVM_PortList,0),MATCH("Payment",Control!$Q$3:$U$3,0))-INDEX(Index,MATCH(X13,TVM_PortList,0),MATCH("Payment",Control!$Q$3:$U$3,0)),BD13+INDEX(Index,MATCH(AB13,TVM_PortList,0),MATCH("Payment",Control!$Q$3:$U$3,0))-INDEX(Index,MATCH(X13,TVM_PortList,0),MATCH("Payment",Control!$Q$3:$U$3,0)))</f>
        <v>#N/A</v>
      </c>
      <c r="AJ13" s="141"/>
      <c r="AK13" s="143">
        <f>AH13*VLOOKUP($AA13,Control!$F$75:$H$79,3,FALSE)/$AD13</f>
        <v>0</v>
      </c>
      <c r="AL13" s="143" t="e">
        <f>IF(AI13&lt;0,0,$AI13*Control!$D$77)</f>
        <v>#N/A</v>
      </c>
      <c r="AM13" s="143"/>
      <c r="AN13" s="143">
        <f>INDEX(Lightering,MATCH($X13,Control!$AB$3:$AB$29,0),MATCH(Report!$AA13,Control!$AB$3:$AF$3,0))*($AD13/Control!$D$85)*Control!$H$90/$AD13</f>
        <v>0</v>
      </c>
      <c r="AO13" s="143">
        <f>IF(K13="Corpus Christi",Control!$D$76,0)</f>
        <v>0</v>
      </c>
      <c r="AP13" s="143">
        <v>0</v>
      </c>
      <c r="AQ13" s="143">
        <f>Control!$D$78</f>
        <v>0</v>
      </c>
      <c r="AR13" s="143">
        <f>Control!$D$79</f>
        <v>6.7299999999999999E-2</v>
      </c>
      <c r="AS13" s="143">
        <f>IF(INDEX(Control!$Q$3:$S$62,MATCH($AB13,Control!$Q$3:$Q$62,0),MATCH(AS$8,Control!$Q$3:$S$3,0))=1,Control!$D$81*Control!$E$81,0)</f>
        <v>0</v>
      </c>
      <c r="AT13" s="143">
        <f>IF(INDEX(Control!$Q$3:$S$62,MATCH($AB13,Control!$Q$3:$Q$62,0),MATCH(AT$8,Control!$Q$3:$S$3,0))=1,Control!$D$82/$AD13,0)</f>
        <v>0</v>
      </c>
      <c r="AU13" s="143"/>
      <c r="AV13" s="143">
        <f>IF(AND(N13="Chiriqui Grande",X13="Puerto Armuelles"),Control!$G$93,0)</f>
        <v>0</v>
      </c>
      <c r="AW13" s="149" t="e">
        <f t="shared" si="6"/>
        <v>#N/A</v>
      </c>
      <c r="AX13" s="149" t="e">
        <f t="shared" si="2"/>
        <v>#N/A</v>
      </c>
      <c r="AY13" s="149" t="e">
        <f t="shared" si="3"/>
        <v>#VALUE!</v>
      </c>
      <c r="AZ13" s="149">
        <v>0</v>
      </c>
      <c r="BA13" s="499" t="e">
        <f t="shared" si="4"/>
        <v>#N/A</v>
      </c>
      <c r="BD13" s="153" t="e">
        <f>INDEX('[1]Transit Time'!$A:$DZ,MATCH(K13,'[1]Transit Time'!$A:$A,0),MATCH(N13,'[1]Transit Time'!$A$1:$DZ$1,0))+INDEX('[1]Transit Time'!$A:$DZ,MATCH(N13,'[1]Transit Time'!$A:$A,0),MATCH(X13,'[1]Transit Time'!$A$1:$DZ$1,0))+INDEX('[1]Transit Time'!$A:$DZ,MATCH(X13,'[1]Transit Time'!$A:$A,0),MATCH(AB13,'[1]Transit Time'!$A$1:$DZ$1,0))</f>
        <v>#N/A</v>
      </c>
      <c r="BE13" s="163" t="e">
        <f t="shared" si="7"/>
        <v>#N/A</v>
      </c>
      <c r="BF13" s="163" t="str">
        <f t="shared" si="8"/>
        <v/>
      </c>
      <c r="BG13" s="163"/>
      <c r="BH13" s="163"/>
      <c r="BI13" s="163"/>
    </row>
    <row r="14" spans="2:74" ht="15.75" hidden="1" customHeight="1" outlineLevel="1" x14ac:dyDescent="0.35">
      <c r="B14" s="230">
        <f t="shared" si="9"/>
        <v>45795</v>
      </c>
      <c r="C14" s="230">
        <f t="shared" si="0"/>
        <v>45797</v>
      </c>
      <c r="F14" s="229">
        <f>IF(AN14=0,0,VLOOKUP(AA14,Control!$G$41:$J$44,4,FALSE))</f>
        <v>0</v>
      </c>
      <c r="G14" s="229"/>
      <c r="H14"/>
      <c r="I14"/>
      <c r="J14"/>
      <c r="K14"/>
      <c r="L14"/>
      <c r="M14"/>
      <c r="N14"/>
      <c r="O14"/>
      <c r="P14"/>
      <c r="Q14"/>
      <c r="R14"/>
      <c r="S14"/>
      <c r="V14" s="220" t="e">
        <f>INDEX('[2]Flat Rates 2025'!$A:$DZ,MATCH(X14,'[2]Flat Rates 2025'!$A:$A,0),MATCH(AB14,'[2]Flat Rates 2025'!$A$1:$DZ$1,0))</f>
        <v>#N/A</v>
      </c>
      <c r="W14" s="220">
        <f>INDEX(Control!$E$17:$J$21,MATCH(AA14,Control!$E$17:$E$21,0),MATCH(X14,Control!$E$17:$J$17,0))</f>
        <v>0.5</v>
      </c>
      <c r="X14" s="220" t="s">
        <v>63</v>
      </c>
      <c r="Y14" s="213">
        <f>INDEX(Vessel_Minimum_MT,MATCH(AA14,Control!$E$11:$E$15,0),MATCH(X14,Control!$E$11:$J$11,0))</f>
        <v>50000</v>
      </c>
      <c r="Z14" s="222">
        <f>AD14/Control!$D$84</f>
        <v>51355.271739130432</v>
      </c>
      <c r="AA14" s="215" t="s">
        <v>22</v>
      </c>
      <c r="AB14" s="212" t="s">
        <v>199</v>
      </c>
      <c r="AC14" s="212" t="e">
        <f t="shared" si="1"/>
        <v>#N/A</v>
      </c>
      <c r="AD14" s="214">
        <v>399000</v>
      </c>
      <c r="AE14" s="214">
        <v>1001</v>
      </c>
      <c r="AF14" s="224">
        <v>700000</v>
      </c>
      <c r="AG14" s="225">
        <f t="shared" si="5"/>
        <v>1.7543859649122806</v>
      </c>
      <c r="AH14" s="226">
        <v>0</v>
      </c>
      <c r="AI14" s="214" t="e">
        <f>IF(INDEX(Index,MATCH(AB14,TVM_PortList,0),MATCH("Type",Control!$Q$3:$U$3,0))="BL",INDEX(Index,MATCH(AB14,TVM_PortList,0),MATCH("Payment",Control!$Q$3:$U$3,0))-INDEX(Index,MATCH(X14,TVM_PortList,0),MATCH("Payment",Control!$Q$3:$U$3,0)),BD14+INDEX(Index,MATCH(AB14,TVM_PortList,0),MATCH("Payment",Control!$Q$3:$U$3,0))-INDEX(Index,MATCH(X14,TVM_PortList,0),MATCH("Payment",Control!$Q$3:$U$3,0)))</f>
        <v>#N/A</v>
      </c>
      <c r="AJ14" s="214"/>
      <c r="AK14" s="227">
        <f>AH14*VLOOKUP($AA14,Control!$F$75:$H$79,3,FALSE)/$AD14</f>
        <v>0</v>
      </c>
      <c r="AL14" s="227" t="e">
        <f>IF(AI14&lt;0,0,$AI14*Control!$D$77)</f>
        <v>#N/A</v>
      </c>
      <c r="AM14" s="227"/>
      <c r="AN14" s="227">
        <f>INDEX(Lightering,MATCH($X14,Control!$AB$3:$AB$29,0),MATCH(Report!$AA14,Control!$AB$3:$AF$3,0))*($AD14/Control!$D$85)*Control!$H$90/$AD14</f>
        <v>0</v>
      </c>
      <c r="AO14" s="227">
        <f>IF(K14="Corpus Christi",Control!$D$76,0)</f>
        <v>0</v>
      </c>
      <c r="AP14" s="227">
        <v>0</v>
      </c>
      <c r="AQ14" s="227">
        <f>Control!$D$78</f>
        <v>0</v>
      </c>
      <c r="AR14" s="227">
        <f>Control!$D$79</f>
        <v>6.7299999999999999E-2</v>
      </c>
      <c r="AS14" s="227" t="e">
        <f>IF(INDEX(Control!$Q$3:$S$62,MATCH($AB14,Control!$Q$3:$Q$62,0),MATCH(AS$8,Control!$Q$3:$S$3,0))=1,Control!$D$81*Control!$E$81,0)</f>
        <v>#N/A</v>
      </c>
      <c r="AT14" s="227" t="e">
        <f>IF(INDEX(Control!$Q$3:$S$62,MATCH($AB14,Control!$Q$3:$Q$62,0),MATCH(AT$8,Control!$Q$3:$S$3,0))=1,Control!$D$82/$AD14,0)</f>
        <v>#N/A</v>
      </c>
      <c r="AU14" s="227"/>
      <c r="AV14" s="227">
        <f>IF(AND(N14="Chiriqui Grande",X14="Puerto Armuelles"),Control!$G$93,0)</f>
        <v>0</v>
      </c>
      <c r="AW14" s="225" t="e">
        <f t="shared" si="6"/>
        <v>#N/A</v>
      </c>
      <c r="AX14" s="225" t="e">
        <f t="shared" si="2"/>
        <v>#N/A</v>
      </c>
      <c r="AY14" s="225" t="e">
        <f t="shared" si="3"/>
        <v>#VALUE!</v>
      </c>
      <c r="AZ14" s="225">
        <v>0</v>
      </c>
      <c r="BA14" s="498" t="e">
        <f t="shared" si="4"/>
        <v>#N/A</v>
      </c>
      <c r="BC14" s="220"/>
      <c r="BD14" s="229" t="e">
        <f>INDEX('[1]Transit Time'!$A:$DZ,MATCH(K14,'[1]Transit Time'!$A:$A,0),MATCH(N14,'[1]Transit Time'!$A$1:$DZ$1,0))+INDEX('[1]Transit Time'!$A:$DZ,MATCH(N14,'[1]Transit Time'!$A:$A,0),MATCH(X14,'[1]Transit Time'!$A$1:$DZ$1,0))+INDEX('[1]Transit Time'!$A:$DZ,MATCH(X14,'[1]Transit Time'!$A:$A,0),MATCH(AB14,'[1]Transit Time'!$A$1:$DZ$1,0))</f>
        <v>#N/A</v>
      </c>
      <c r="BE14" s="230" t="e">
        <f t="shared" si="7"/>
        <v>#N/A</v>
      </c>
      <c r="BF14" s="230" t="str">
        <f t="shared" si="8"/>
        <v/>
      </c>
      <c r="BG14" s="230"/>
      <c r="BH14" s="230"/>
      <c r="BI14" s="230"/>
    </row>
    <row r="15" spans="2:74" ht="15.75" hidden="1" customHeight="1" outlineLevel="1" x14ac:dyDescent="0.35">
      <c r="B15" s="163">
        <f t="shared" si="9"/>
        <v>45795</v>
      </c>
      <c r="C15" s="163">
        <f t="shared" si="0"/>
        <v>45797</v>
      </c>
      <c r="F15" s="153">
        <f>IF(AN15=0,0,VLOOKUP(AA15,Control!$G$41:$J$44,4,FALSE))</f>
        <v>0</v>
      </c>
      <c r="G15" s="153"/>
      <c r="H15"/>
      <c r="I15"/>
      <c r="J15"/>
      <c r="K15"/>
      <c r="L15"/>
      <c r="M15"/>
      <c r="N15"/>
      <c r="O15"/>
      <c r="P15"/>
      <c r="Q15"/>
      <c r="R15"/>
      <c r="S15"/>
      <c r="V15" s="138" t="e">
        <f>INDEX('[2]Flat Rates 2025'!$A:$DZ,MATCH(X15,'[2]Flat Rates 2025'!$A:$A,0),MATCH(AB15,'[2]Flat Rates 2025'!$A$1:$DZ$1,0))</f>
        <v>#N/A</v>
      </c>
      <c r="W15" s="138">
        <f>INDEX(Control!$E$17:$J$21,MATCH(AA15,Control!$E$17:$E$21,0),MATCH(X15,Control!$E$17:$J$17,0))</f>
        <v>0</v>
      </c>
      <c r="X15" s="138" t="s">
        <v>55</v>
      </c>
      <c r="Y15" s="116">
        <f>INDEX(Vessel_Minimum_MT,MATCH(AA15,Control!$E$11:$E$15,0),MATCH(X15,Control!$E$11:$J$11,0))</f>
        <v>70000</v>
      </c>
      <c r="Z15" s="140">
        <f>AD15/Control!$D$84</f>
        <v>64354.977116704802</v>
      </c>
      <c r="AA15" s="147" t="s">
        <v>23</v>
      </c>
      <c r="AB15" s="142" t="s">
        <v>112</v>
      </c>
      <c r="AC15" s="142" t="str">
        <f t="shared" si="1"/>
        <v>CARIBS/CARIBS</v>
      </c>
      <c r="AD15" s="141">
        <v>500000</v>
      </c>
      <c r="AE15" s="141">
        <v>180</v>
      </c>
      <c r="AF15" s="151">
        <v>325</v>
      </c>
      <c r="AG15" s="149" t="e">
        <f t="shared" si="5"/>
        <v>#N/A</v>
      </c>
      <c r="AH15" s="144">
        <v>0</v>
      </c>
      <c r="AI15" s="141" t="e">
        <f>IF(INDEX(Index,MATCH(AB15,TVM_PortList,0),MATCH("Type",Control!$Q$3:$U$3,0))="BL",INDEX(Index,MATCH(AB15,TVM_PortList,0),MATCH("Payment",Control!$Q$3:$U$3,0))-INDEX(Index,MATCH(X15,TVM_PortList,0),MATCH("Payment",Control!$Q$3:$U$3,0)),BD15+INDEX(Index,MATCH(AB15,TVM_PortList,0),MATCH("Payment",Control!$Q$3:$U$3,0))-INDEX(Index,MATCH(X15,TVM_PortList,0),MATCH("Payment",Control!$Q$3:$U$3,0)))</f>
        <v>#N/A</v>
      </c>
      <c r="AJ15" s="141"/>
      <c r="AK15" s="143">
        <f>AH15*VLOOKUP($AA15,Control!$F$75:$H$79,3,FALSE)/$AD15</f>
        <v>0</v>
      </c>
      <c r="AL15" s="143" t="e">
        <f>IF(AI15&lt;0,0,$AI15*Control!$D$77)</f>
        <v>#N/A</v>
      </c>
      <c r="AM15" s="143"/>
      <c r="AN15" s="143">
        <f>INDEX(Lightering,MATCH($X15,Control!$AB$3:$AB$29,0),MATCH(Report!$AA15,Control!$AB$3:$AF$3,0))*($AD15/Control!$D$85)*Control!$H$90/$AD15</f>
        <v>0</v>
      </c>
      <c r="AO15" s="143">
        <f>IF(K15="Corpus Christi",Control!$D$76,0)</f>
        <v>0</v>
      </c>
      <c r="AP15" s="143">
        <v>0</v>
      </c>
      <c r="AQ15" s="143">
        <f>Control!$D$78</f>
        <v>0</v>
      </c>
      <c r="AR15" s="143">
        <f>Control!$D$79</f>
        <v>6.7299999999999999E-2</v>
      </c>
      <c r="AS15" s="143">
        <f>IF(INDEX(Control!$Q$3:$S$62,MATCH($AB15,Control!$Q$3:$Q$62,0),MATCH(AS$8,Control!$Q$3:$S$3,0))=1,Control!$D$81*Control!$E$81,0)</f>
        <v>0.2</v>
      </c>
      <c r="AT15" s="143">
        <f>IF(INDEX(Control!$Q$3:$S$62,MATCH($AB15,Control!$Q$3:$Q$62,0),MATCH(AT$8,Control!$Q$3:$S$3,0))=1,Control!$D$82/$AD15,0)</f>
        <v>0</v>
      </c>
      <c r="AU15" s="143"/>
      <c r="AV15" s="143">
        <f>IF(AND(N15="Chiriqui Grande",X15="Puerto Armuelles"),Control!$G$93,0)</f>
        <v>0</v>
      </c>
      <c r="AW15" s="149" t="e">
        <f t="shared" si="6"/>
        <v>#N/A</v>
      </c>
      <c r="AX15" s="149" t="e">
        <f t="shared" si="2"/>
        <v>#N/A</v>
      </c>
      <c r="AY15" s="149" t="e">
        <f t="shared" si="3"/>
        <v>#VALUE!</v>
      </c>
      <c r="AZ15" s="149">
        <v>0</v>
      </c>
      <c r="BA15" s="499" t="e">
        <f t="shared" si="4"/>
        <v>#N/A</v>
      </c>
      <c r="BD15" s="153" t="e">
        <f>INDEX('[1]Transit Time'!$A:$DZ,MATCH(K15,'[1]Transit Time'!$A:$A,0),MATCH(N15,'[1]Transit Time'!$A$1:$DZ$1,0))+INDEX('[1]Transit Time'!$A:$DZ,MATCH(N15,'[1]Transit Time'!$A:$A,0),MATCH(X15,'[1]Transit Time'!$A$1:$DZ$1,0))+INDEX('[1]Transit Time'!$A:$DZ,MATCH(X15,'[1]Transit Time'!$A:$A,0),MATCH(AB15,'[1]Transit Time'!$A$1:$DZ$1,0))</f>
        <v>#N/A</v>
      </c>
      <c r="BE15" s="163" t="e">
        <f t="shared" si="7"/>
        <v>#N/A</v>
      </c>
      <c r="BF15" s="163" t="str">
        <f t="shared" si="8"/>
        <v/>
      </c>
      <c r="BG15" s="163"/>
      <c r="BH15" s="163"/>
      <c r="BI15" s="163"/>
    </row>
    <row r="16" spans="2:74" hidden="1" outlineLevel="1" x14ac:dyDescent="0.35">
      <c r="B16" s="319" t="s">
        <v>159</v>
      </c>
      <c r="C16" s="320" t="e">
        <f t="shared" si="0"/>
        <v>#VALUE!</v>
      </c>
      <c r="F16" s="338">
        <f>IF(AN16=0,0,VLOOKUP(AA16,Control!$G$41:$J$44,4,FALSE))</f>
        <v>0</v>
      </c>
      <c r="G16" s="515" t="e">
        <f>AVERAGE(B16:C16)+F16</f>
        <v>#VALUE!</v>
      </c>
      <c r="H16"/>
      <c r="I16"/>
      <c r="J16"/>
      <c r="K16"/>
      <c r="L16"/>
      <c r="M16"/>
      <c r="N16"/>
      <c r="O16"/>
      <c r="P16"/>
      <c r="Q16"/>
      <c r="R16"/>
      <c r="S16"/>
      <c r="V16" s="330">
        <f>INDEX('[2]Flat Rates 2025'!$A:$DZ,MATCH(X16,'[2]Flat Rates 2025'!$A:$A,0),MATCH(AB16,'[2]Flat Rates 2025'!$A$1:$DZ$1,0))</f>
        <v>0</v>
      </c>
      <c r="W16" s="330">
        <f>INDEX(Control!$E$17:$J$21,MATCH(AA16,Control!$E$17:$E$21,0),MATCH(X16,Control!$E$17:$J$17,0))</f>
        <v>0</v>
      </c>
      <c r="X16" s="330" t="s">
        <v>45</v>
      </c>
      <c r="Y16" s="323">
        <f>INDEX(Vessel_Minimum_MT,MATCH(AA16,Control!$E$11:$E$15,0),MATCH(X16,Control!$E$11:$J$11,0))</f>
        <v>70000</v>
      </c>
      <c r="Z16" s="331">
        <f>AD16/Control!$D$84</f>
        <v>96532.465675057203</v>
      </c>
      <c r="AA16" s="325" t="s">
        <v>23</v>
      </c>
      <c r="AB16" s="322" t="s">
        <v>110</v>
      </c>
      <c r="AC16" s="322" t="str">
        <f t="shared" si="1"/>
        <v>USGC/LATAM WEST</v>
      </c>
      <c r="AD16" s="324">
        <v>750000</v>
      </c>
      <c r="AE16" s="324">
        <v>1001</v>
      </c>
      <c r="AF16" s="333">
        <v>1600000</v>
      </c>
      <c r="AG16" s="334">
        <f t="shared" si="5"/>
        <v>2.1333333333333333</v>
      </c>
      <c r="AH16" s="335">
        <v>3</v>
      </c>
      <c r="AI16" s="324">
        <f>IF(INDEX(Index,MATCH(AB16,TVM_PortList,0),MATCH("Type",Control!$Q$3:$U$3,0))="BL",INDEX(Index,MATCH(AB16,TVM_PortList,0),MATCH("Payment",Control!$Q$3:$U$3,0))-INDEX(Index,MATCH(X16,TVM_PortList,0),MATCH("Payment",Control!$Q$3:$U$3,0)),BD16+INDEX(Index,MATCH(AB16,TVM_PortList,0),MATCH("Payment",Control!$Q$3:$U$3,0))-INDEX(Index,MATCH(X16,TVM_PortList,0),MATCH("Payment",Control!$Q$3:$U$3,0)))</f>
        <v>0</v>
      </c>
      <c r="AJ16" s="324"/>
      <c r="AK16" s="336">
        <f>AH16*VLOOKUP($AA16,Control!$F$75:$H$79,3,FALSE)/$AD16</f>
        <v>0.32</v>
      </c>
      <c r="AL16" s="336">
        <f>IF(AI16&lt;0,0,$AI16*Control!$D$77)</f>
        <v>0</v>
      </c>
      <c r="AM16" s="336"/>
      <c r="AN16" s="336">
        <f>INDEX(Lightering,MATCH($X16,Control!$AB$3:$AB$29,0),MATCH(Report!$AA16,Control!$AB$3:$AF$3,0))*($AD16/Control!$D$85)*Control!$H$90/$AD16</f>
        <v>0</v>
      </c>
      <c r="AO16" s="336">
        <f>IF(K16="Corpus Christi",Control!$D$76,0)</f>
        <v>0</v>
      </c>
      <c r="AP16" s="336">
        <v>0</v>
      </c>
      <c r="AQ16" s="336">
        <f>Control!$D$78</f>
        <v>0</v>
      </c>
      <c r="AR16" s="336">
        <f>Control!$D$79</f>
        <v>6.7299999999999999E-2</v>
      </c>
      <c r="AS16" s="336">
        <f>IF(INDEX(Control!$Q$3:$S$62,MATCH($AB16,Control!$Q$3:$Q$62,0),MATCH(AS$8,Control!$Q$3:$S$3,0))=1,Control!$D$81*Control!$E$81,0)</f>
        <v>0</v>
      </c>
      <c r="AT16" s="336">
        <f>IF(INDEX(Control!$Q$3:$S$62,MATCH($AB16,Control!$Q$3:$Q$62,0),MATCH(AT$8,Control!$Q$3:$S$3,0))=1,Control!$D$82/$AD16,0)</f>
        <v>0</v>
      </c>
      <c r="AU16" s="336"/>
      <c r="AV16" s="336">
        <f>IF(AND(N16="Chiriqui Grande",X16="Puerto Armuelles"),Control!$G$93,0)</f>
        <v>0</v>
      </c>
      <c r="AW16" s="334">
        <f t="shared" si="6"/>
        <v>0.38729999999999998</v>
      </c>
      <c r="AX16" s="334">
        <f t="shared" si="2"/>
        <v>2.5206333333333335</v>
      </c>
      <c r="AY16" s="334" t="e">
        <f t="shared" ref="AY16:AY17" si="10">IF((MONTH(B16)=MONTH(BI16)),0,IF(((MONTH(BI16))-MONTH(B16))+12*YEAR(BH16)-YEAR(B16)&gt;1,SUMIFS($BE$4:$BH$4,$BE$3:$BH$3,"&lt;="&amp;EOMONTH(BH16,-1),$BE$3:$BH$3,"&gt;="&amp;EOMONTH(B16,0)),VLOOKUP("Spreads",$BD$3:$BH$4,MATCH(EOMONTH(B16,0),$BD$3:$BH$3,0))))</f>
        <v>#VALUE!</v>
      </c>
      <c r="AZ16" s="334" t="e">
        <f t="shared" ref="AZ16:AZ17" si="11">+IF($BD$3=1,HLOOKUP(EOMONTH(BF16,0),$BE$3:$BH$6,4,FALSE),IF($BD$3=2,-HLOOKUP(EOMONTH(BF16,0),$BE$3:$BH$6,3,FALSE),0))</f>
        <v>#VALUE!</v>
      </c>
      <c r="BA16" s="498" t="e">
        <f t="shared" si="4"/>
        <v>#VALUE!</v>
      </c>
      <c r="BC16" s="330"/>
      <c r="BD16" s="338">
        <f>+INDEX('[1]Transit Time'!$A:$DZ,MATCH(X16,'[1]Transit Time'!$A:$A,0),MATCH(AB16,'[1]Transit Time'!$A$1:$DZ$1,0))</f>
        <v>18</v>
      </c>
      <c r="BE16" s="320" t="e">
        <f t="shared" ref="BE16:BE20" si="12">IF(ISBLANK(B16),"",B16+$BD16+F16)</f>
        <v>#VALUE!</v>
      </c>
      <c r="BF16" s="339" t="str">
        <f t="shared" si="8"/>
        <v/>
      </c>
      <c r="BG16" s="320" t="e">
        <f t="shared" ref="BG16:BG17" si="13">HLOOKUP($BD$3,$AX$3:$AZ$3,2,FALSE)</f>
        <v>#N/A</v>
      </c>
      <c r="BH16" s="491" t="e">
        <f t="shared" ref="BH16:BH17" si="14">IF($BD$7=0,IF(BG16="ICE Brent",EOMONTH(BF16,2),EOMONTH(BF16,0)),IF(BG16="ICE Brent",EOMONTH(BF16,1),EOMONTH(BF16,-1)))</f>
        <v>#N/A</v>
      </c>
      <c r="BI16" s="491" t="e">
        <f t="shared" ref="BI16:BI17" si="15">IF($BD$7=1,EOMONTH(BF16,-1),EOMONTH(BF16,0))</f>
        <v>#VALUE!</v>
      </c>
    </row>
    <row r="17" spans="2:74" hidden="1" outlineLevel="1" x14ac:dyDescent="0.35">
      <c r="B17" s="340">
        <f t="shared" ref="B17:B21" si="16">+$B$9</f>
        <v>45795</v>
      </c>
      <c r="C17" s="341">
        <f t="shared" si="0"/>
        <v>45797</v>
      </c>
      <c r="F17" s="359">
        <f>IF(AN17=0,0,VLOOKUP(AA17,Control!$G$41:$J$44,4,FALSE))</f>
        <v>0</v>
      </c>
      <c r="G17" s="516">
        <f t="shared" ref="G17:G21" si="17">AVERAGE(B17:C17)+F17</f>
        <v>45796</v>
      </c>
      <c r="H17"/>
      <c r="I17"/>
      <c r="J17"/>
      <c r="K17"/>
      <c r="L17"/>
      <c r="M17"/>
      <c r="N17"/>
      <c r="O17"/>
      <c r="P17"/>
      <c r="Q17"/>
      <c r="R17"/>
      <c r="S17"/>
      <c r="V17" s="351">
        <f>INDEX('[2]Flat Rates 2025'!$A:$DZ,MATCH(X17,'[2]Flat Rates 2025'!$A:$A,0),MATCH(AB17,'[2]Flat Rates 2025'!$A$1:$DZ$1,0))</f>
        <v>0</v>
      </c>
      <c r="W17" s="351">
        <f>INDEX(Control!$E$17:$J$21,MATCH(AA17,Control!$E$17:$E$21,0),MATCH(X17,Control!$E$17:$J$17,0))</f>
        <v>0</v>
      </c>
      <c r="X17" s="351" t="s">
        <v>45</v>
      </c>
      <c r="Y17" s="344">
        <f>INDEX(Vessel_Minimum_MT,MATCH(AA17,Control!$E$11:$E$15,0),MATCH(X17,Control!$E$11:$J$11,0))</f>
        <v>70000</v>
      </c>
      <c r="Z17" s="352">
        <f>AD17/Control!$D$84</f>
        <v>96532.465675057203</v>
      </c>
      <c r="AA17" s="346" t="s">
        <v>23</v>
      </c>
      <c r="AB17" s="343" t="s">
        <v>35</v>
      </c>
      <c r="AC17" s="343" t="str">
        <f t="shared" si="1"/>
        <v>USGC/BAYOVAR+T</v>
      </c>
      <c r="AD17" s="345">
        <v>750000</v>
      </c>
      <c r="AE17" s="345"/>
      <c r="AF17" s="354">
        <v>190</v>
      </c>
      <c r="AG17" s="355">
        <f t="shared" si="5"/>
        <v>0</v>
      </c>
      <c r="AH17" s="356">
        <v>2</v>
      </c>
      <c r="AI17" s="345">
        <f>IF(INDEX(Index,MATCH(AB17,TVM_PortList,0),MATCH("Type",Control!$Q$3:$U$3,0))="BL",INDEX(Index,MATCH(AB17,TVM_PortList,0),MATCH("Payment",Control!$Q$3:$U$3,0))-INDEX(Index,MATCH(X17,TVM_PortList,0),MATCH("Payment",Control!$Q$3:$U$3,0)),BD17+INDEX(Index,MATCH(AB17,TVM_PortList,0),MATCH("Payment",Control!$Q$3:$U$3,0))-INDEX(Index,MATCH(X17,TVM_PortList,0),MATCH("Payment",Control!$Q$3:$U$3,0)))</f>
        <v>2</v>
      </c>
      <c r="AJ17" s="345"/>
      <c r="AK17" s="357">
        <f>AH17*VLOOKUP($AA17,Control!$F$75:$H$79,3,FALSE)/$AD17</f>
        <v>0.21333333333333335</v>
      </c>
      <c r="AL17" s="357">
        <f>IF(AI17&lt;0,0,$AI17*Control!$D$77)</f>
        <v>2.6072328767123291E-2</v>
      </c>
      <c r="AM17" s="357"/>
      <c r="AN17" s="357">
        <f>INDEX(Lightering,MATCH($X17,Control!$AB$3:$AB$29,0),MATCH(Report!$AA17,Control!$AB$3:$AF$3,0))*($AD17/Control!$D$85)*Control!$H$90/$AD17</f>
        <v>0</v>
      </c>
      <c r="AO17" s="357">
        <f>IF(K17="Corpus Christi",Control!$D$76,0)</f>
        <v>0</v>
      </c>
      <c r="AP17" s="357">
        <v>0.62666666666666671</v>
      </c>
      <c r="AQ17" s="357">
        <f>Control!$D$78</f>
        <v>0</v>
      </c>
      <c r="AR17" s="357">
        <f>Control!$D$79</f>
        <v>6.7299999999999999E-2</v>
      </c>
      <c r="AS17" s="357">
        <f>IF(INDEX(Control!$Q$3:$S$62,MATCH($AB17,Control!$Q$3:$Q$62,0),MATCH(AS$8,Control!$Q$3:$S$3,0))=1,Control!$D$81*Control!$E$81,0)</f>
        <v>0</v>
      </c>
      <c r="AT17" s="357">
        <f>IF(INDEX(Control!$Q$3:$S$62,MATCH($AB17,Control!$Q$3:$Q$62,0),MATCH(AT$8,Control!$Q$3:$S$3,0))=1,Control!$D$82/$AD17,0)</f>
        <v>0</v>
      </c>
      <c r="AU17" s="357"/>
      <c r="AV17" s="357">
        <f>IF(AND(N17="Chiriqui Grande",X17="Puerto Armuelles"),Control!$G$93,0)</f>
        <v>0</v>
      </c>
      <c r="AW17" s="355">
        <f t="shared" si="6"/>
        <v>0.93337232876712339</v>
      </c>
      <c r="AX17" s="355">
        <f t="shared" si="2"/>
        <v>0.93337232876712339</v>
      </c>
      <c r="AY17" s="355">
        <f t="shared" si="10"/>
        <v>0</v>
      </c>
      <c r="AZ17" s="355" t="e">
        <f t="shared" si="11"/>
        <v>#N/A</v>
      </c>
      <c r="BA17" s="501" t="e">
        <f t="shared" si="4"/>
        <v>#N/A</v>
      </c>
      <c r="BC17" s="350"/>
      <c r="BD17" s="359">
        <f>+INDEX('[1]Transit Time'!$A:$DZ,MATCH(X17,'[1]Transit Time'!$A:$A,0),MATCH(AB17,'[1]Transit Time'!$A$1:$DZ$1,0))</f>
        <v>19</v>
      </c>
      <c r="BE17" s="341">
        <f t="shared" si="12"/>
        <v>45814</v>
      </c>
      <c r="BF17" s="360">
        <f t="shared" si="8"/>
        <v>45816</v>
      </c>
      <c r="BG17" s="341" t="e">
        <f t="shared" si="13"/>
        <v>#N/A</v>
      </c>
      <c r="BH17" s="492" t="e">
        <f t="shared" si="14"/>
        <v>#N/A</v>
      </c>
      <c r="BI17" s="492">
        <f t="shared" si="15"/>
        <v>45808</v>
      </c>
    </row>
    <row r="18" spans="2:74" ht="16" collapsed="1" thickBot="1" x14ac:dyDescent="0.4">
      <c r="B18" s="209">
        <f t="shared" si="16"/>
        <v>45795</v>
      </c>
      <c r="C18" s="209">
        <f t="shared" si="0"/>
        <v>45797</v>
      </c>
      <c r="F18" s="318">
        <f>IF(AN18=0,0,VLOOKUP(AA18,Control!$G$41:$J$44,4,FALSE))</f>
        <v>0</v>
      </c>
      <c r="G18" s="517">
        <f t="shared" si="17"/>
        <v>45796</v>
      </c>
      <c r="H18"/>
      <c r="I18"/>
      <c r="J18"/>
      <c r="K18"/>
      <c r="L18"/>
      <c r="M18"/>
      <c r="N18"/>
      <c r="O18"/>
      <c r="P18"/>
      <c r="Q18"/>
      <c r="R18"/>
      <c r="S18"/>
      <c r="V18" s="220">
        <f>INDEX('[2]Flat Rates 2025'!$A:$DZ,MATCH(X18,'[2]Flat Rates 2025'!$A:$A,0),MATCH(AB18,'[2]Flat Rates 2025'!$A$1:$DZ$1,0))</f>
        <v>0</v>
      </c>
      <c r="W18" s="220">
        <f>INDEX(Control!$E$17:$J$21,MATCH(AA18,Control!$E$17:$E$21,0),MATCH(X18,Control!$E$17:$J$17,0))</f>
        <v>0.5</v>
      </c>
      <c r="X18" s="220" t="s">
        <v>45</v>
      </c>
      <c r="Y18" s="213">
        <f>INDEX(Vessel_Minimum_MT,MATCH(AA18,Control!$E$11:$E$15,0),MATCH(X18,Control!$E$11:$J$11,0))</f>
        <v>145000</v>
      </c>
      <c r="Z18" s="222">
        <f>AD18/Control!$D$84</f>
        <v>109403.46109839817</v>
      </c>
      <c r="AA18" s="258" t="s">
        <v>24</v>
      </c>
      <c r="AB18" s="311" t="s">
        <v>35</v>
      </c>
      <c r="AC18" s="311" t="str">
        <f t="shared" si="1"/>
        <v>USGC/BAYOVAR+T</v>
      </c>
      <c r="AD18" s="312">
        <v>850000</v>
      </c>
      <c r="AE18" s="312"/>
      <c r="AF18" s="378">
        <v>90</v>
      </c>
      <c r="AG18" s="314">
        <f t="shared" si="5"/>
        <v>0</v>
      </c>
      <c r="AH18" s="315">
        <v>2</v>
      </c>
      <c r="AI18" s="312">
        <f>IF(INDEX(Index,MATCH(AB18,TVM_PortList,0),MATCH("Type",Control!$Q$3:$U$3,0))="BL",INDEX(Index,MATCH(AB18,TVM_PortList,0),MATCH("Payment",Control!$Q$3:$U$3,0))-INDEX(Index,MATCH(X18,TVM_PortList,0),MATCH("Payment",Control!$Q$3:$U$3,0)),BD18+INDEX(Index,MATCH(AB18,TVM_PortList,0),MATCH("Payment",Control!$Q$3:$U$3,0))-INDEX(Index,MATCH(X18,TVM_PortList,0),MATCH("Payment",Control!$Q$3:$U$3,0)))</f>
        <v>2</v>
      </c>
      <c r="AJ18" s="312"/>
      <c r="AK18" s="316">
        <f>ABH369*VLOOKUP($AA18,Control!$F$75:$H$79,3,FALSE)/$AD18</f>
        <v>0</v>
      </c>
      <c r="AL18" s="316">
        <f>IF(AI18&lt;0,0,$AI18*Control!$D$77)</f>
        <v>2.6072328767123291E-2</v>
      </c>
      <c r="AM18" s="316"/>
      <c r="AN18" s="316"/>
      <c r="AO18" s="316">
        <f>IF(K18="Corpus Christi",Control!$D$76,0)</f>
        <v>0</v>
      </c>
      <c r="AP18" s="316">
        <v>0</v>
      </c>
      <c r="AQ18" s="316">
        <f>Control!$D$78</f>
        <v>0</v>
      </c>
      <c r="AR18" s="316">
        <f>Control!$D$79</f>
        <v>6.7299999999999999E-2</v>
      </c>
      <c r="AS18" s="316">
        <f>IF(INDEX(Control!$Q$3:$S$62,MATCH($AB18,Control!$Q$3:$Q$62,0),MATCH(AS$8,Control!$Q$3:$S$3,0))=1,Control!$D$81*Control!$E$81,0)</f>
        <v>0</v>
      </c>
      <c r="AT18" s="316">
        <f>IF(INDEX(Control!$Q$3:$S$62,MATCH($AB18,Control!$Q$3:$Q$62,0),MATCH(AT$8,Control!$Q$3:$S$3,0))=1,Control!$D$82/$AD18,0)</f>
        <v>0</v>
      </c>
      <c r="AU18" s="316"/>
      <c r="AV18" s="316">
        <f>IF(AND(N18="Chiriqui Grande",X18="Puerto Armuelles"),Control!$G$93,0)</f>
        <v>0</v>
      </c>
      <c r="AW18" s="314">
        <f t="shared" si="6"/>
        <v>9.3372328767123286E-2</v>
      </c>
      <c r="AX18" s="314">
        <f t="shared" si="2"/>
        <v>9.3372328767123286E-2</v>
      </c>
      <c r="AY18" s="314">
        <f t="shared" ref="AY18:AY21" si="18">IF((MONTH(B18)=MONTH(BI18)),0,IF(((MONTH(BI18))-MONTH(B18))+12*YEAR(BH18)-YEAR(B18)&gt;1,SUMIFS($BE$4:$BI$4,$BE$3:$BI$3,"&lt;="&amp;EOMONTH(BH18,-1),$BE$3:$BI$3,"&gt;="&amp;EOMONTH(B18,0)),VLOOKUP("Spreads",$BD$3:$BI$4,MATCH(EOMONTH(B18,0),$BD$3:$BI$3,0))))</f>
        <v>0</v>
      </c>
      <c r="AZ18" s="314"/>
      <c r="BA18" s="498">
        <f t="shared" si="4"/>
        <v>-0.80662767123287671</v>
      </c>
      <c r="BC18" s="220"/>
      <c r="BD18" s="318">
        <f>+INDEX('[1]Transit Time'!$A:$DZ,MATCH(X18,'[1]Transit Time'!$A:$A,0),MATCH(AB18,'[1]Transit Time'!$A$1:$DZ$1,0))</f>
        <v>19</v>
      </c>
      <c r="BE18" s="209">
        <f t="shared" si="12"/>
        <v>45814</v>
      </c>
      <c r="BF18" s="209">
        <f t="shared" ref="BF18:BF21" si="19">BE18+2</f>
        <v>45816</v>
      </c>
      <c r="BG18" s="209" t="s">
        <v>155</v>
      </c>
      <c r="BH18" s="493">
        <f t="shared" ref="BH18:BH21" si="20">BI18</f>
        <v>45838</v>
      </c>
      <c r="BI18" s="493">
        <f>EOMONTH(BF18,0)</f>
        <v>45838</v>
      </c>
    </row>
    <row r="19" spans="2:74" ht="16" thickBot="1" x14ac:dyDescent="0.4">
      <c r="B19" s="163">
        <f t="shared" si="16"/>
        <v>45795</v>
      </c>
      <c r="C19" s="163">
        <f t="shared" si="0"/>
        <v>45797</v>
      </c>
      <c r="F19" s="153">
        <f>IF(AN19=0,0,VLOOKUP(AA19,Control!$G$41:$J$44,4,FALSE))</f>
        <v>0</v>
      </c>
      <c r="G19" s="518">
        <f t="shared" si="17"/>
        <v>45796</v>
      </c>
      <c r="H19"/>
      <c r="I19"/>
      <c r="J19"/>
      <c r="K19"/>
      <c r="L19"/>
      <c r="M19"/>
      <c r="N19"/>
      <c r="O19"/>
      <c r="P19"/>
      <c r="Q19"/>
      <c r="R19"/>
      <c r="S19"/>
      <c r="V19" s="138">
        <f>INDEX('[2]Flat Rates 2025'!$A:$DZ,MATCH(X19,'[2]Flat Rates 2025'!$A:$A,0),MATCH(AB19,'[2]Flat Rates 2025'!$A$1:$DZ$1,0))</f>
        <v>0</v>
      </c>
      <c r="W19" s="138">
        <f>INDEX(Control!$E$17:$J$21,MATCH(AA19,Control!$E$17:$E$21,0),MATCH(X19,Control!$E$17:$J$17,0))</f>
        <v>0</v>
      </c>
      <c r="X19" s="138" t="s">
        <v>45</v>
      </c>
      <c r="Y19" s="116">
        <f>INDEX(Vessel_Minimum_MT,MATCH(AA19,Control!$E$11:$E$15,0),MATCH(X19,Control!$E$11:$J$11,0))</f>
        <v>70000</v>
      </c>
      <c r="Z19" s="140">
        <f>AD19/Control!$D$84</f>
        <v>90096.96796338672</v>
      </c>
      <c r="AA19" s="147" t="s">
        <v>23</v>
      </c>
      <c r="AB19" s="142" t="s">
        <v>13</v>
      </c>
      <c r="AC19" s="142" t="str">
        <f t="shared" si="1"/>
        <v>USGC/ECC</v>
      </c>
      <c r="AD19" s="141">
        <v>700000</v>
      </c>
      <c r="AE19" s="141"/>
      <c r="AF19" s="263">
        <f>AF49+10</f>
        <v>445</v>
      </c>
      <c r="AG19" s="149">
        <f t="shared" si="5"/>
        <v>0</v>
      </c>
      <c r="AH19" s="144">
        <v>1</v>
      </c>
      <c r="AI19" s="141">
        <f>IF(INDEX(Index,MATCH(AB19,TVM_PortList,0),MATCH("Type",Control!$Q$3:$U$3,0))="BL",INDEX(Index,MATCH(AB19,TVM_PortList,0),MATCH("Payment",Control!$Q$3:$U$3,0))-INDEX(Index,MATCH(X19,TVM_PortList,0),MATCH("Payment",Control!$Q$3:$U$3,0)),BD19+INDEX(Index,MATCH(AB19,TVM_PortList,0),MATCH("Payment",Control!$Q$3:$U$3,0))-INDEX(Index,MATCH(X19,TVM_PortList,0),MATCH("Payment",Control!$Q$3:$U$3,0)))</f>
        <v>0</v>
      </c>
      <c r="AJ19" s="141"/>
      <c r="AK19" s="143">
        <f>ABH370*VLOOKUP($AA19,Control!$F$75:$H$79,3,FALSE)/$AD19</f>
        <v>0</v>
      </c>
      <c r="AL19" s="143">
        <f>IF(AI19&lt;0,0,$AI19*Control!$D$77)</f>
        <v>0</v>
      </c>
      <c r="AM19" s="143"/>
      <c r="AN19" s="143"/>
      <c r="AO19" s="143">
        <f>IF(K19="Corpus Christi",Control!$D$76,0)</f>
        <v>0</v>
      </c>
      <c r="AP19" s="143">
        <v>0</v>
      </c>
      <c r="AQ19" s="143">
        <f>Control!$D$78</f>
        <v>0</v>
      </c>
      <c r="AR19" s="143">
        <f>Control!$D$79</f>
        <v>6.7299999999999999E-2</v>
      </c>
      <c r="AS19" s="143">
        <f>IF(INDEX(Control!$Q$3:$S$62,MATCH($AB19,Control!$Q$3:$Q$62,0),MATCH(AS$8,Control!$Q$3:$S$3,0))=1,Control!$D$81*Control!$E$81,0)</f>
        <v>0</v>
      </c>
      <c r="AT19" s="143">
        <f>IF(INDEX(Control!$Q$3:$S$62,MATCH($AB19,Control!$Q$3:$Q$62,0),MATCH(AT$8,Control!$Q$3:$S$3,0))=1,Control!$D$82/$AD19,0)</f>
        <v>0</v>
      </c>
      <c r="AU19" s="143"/>
      <c r="AV19" s="143">
        <f>IF(AND(N19="Chiriqui Grande",X19="Puerto Armuelles"),Control!$G$93,0)</f>
        <v>0</v>
      </c>
      <c r="AW19" s="149">
        <f t="shared" si="6"/>
        <v>6.7299999999999999E-2</v>
      </c>
      <c r="AX19" s="149">
        <f t="shared" si="2"/>
        <v>6.7299999999999999E-2</v>
      </c>
      <c r="AY19" s="149">
        <f t="shared" si="18"/>
        <v>0</v>
      </c>
      <c r="AZ19" s="149"/>
      <c r="BA19" s="501">
        <f t="shared" si="4"/>
        <v>-0.8327</v>
      </c>
      <c r="BD19" s="153">
        <f>+INDEX('[1]Transit Time'!$A:$DZ,MATCH(X19,'[1]Transit Time'!$A:$A,0),MATCH(AB19,'[1]Transit Time'!$A$1:$DZ$1,0))</f>
        <v>8</v>
      </c>
      <c r="BE19" s="163">
        <f t="shared" si="12"/>
        <v>45803</v>
      </c>
      <c r="BF19" s="163">
        <f t="shared" si="19"/>
        <v>45805</v>
      </c>
      <c r="BG19" s="163" t="s">
        <v>155</v>
      </c>
      <c r="BH19" s="490">
        <f t="shared" si="20"/>
        <v>45808</v>
      </c>
      <c r="BI19" s="490">
        <f t="shared" ref="BI19:BI21" si="21">EOMONTH(BF19,0)</f>
        <v>45808</v>
      </c>
    </row>
    <row r="20" spans="2:74" x14ac:dyDescent="0.35">
      <c r="B20" s="230">
        <f t="shared" si="16"/>
        <v>45795</v>
      </c>
      <c r="C20" s="230">
        <f t="shared" si="0"/>
        <v>45797</v>
      </c>
      <c r="F20" s="229">
        <f>IF(AN20=0,0,VLOOKUP(AA20,Control!$G$41:$J$44,4,FALSE))</f>
        <v>0</v>
      </c>
      <c r="G20" s="519">
        <f t="shared" si="17"/>
        <v>45796</v>
      </c>
      <c r="H20"/>
      <c r="I20"/>
      <c r="J20"/>
      <c r="K20"/>
      <c r="L20"/>
      <c r="M20"/>
      <c r="N20"/>
      <c r="O20"/>
      <c r="P20"/>
      <c r="Q20"/>
      <c r="R20"/>
      <c r="S20"/>
      <c r="V20" s="220">
        <v>11.99</v>
      </c>
      <c r="W20" s="220">
        <f>INDEX(Control!$E$17:$J$21,MATCH(AA20,Control!$E$17:$E$21,0),MATCH(X20,Control!$E$17:$J$17,0))</f>
        <v>0.5</v>
      </c>
      <c r="X20" s="220" t="s">
        <v>45</v>
      </c>
      <c r="Y20" s="213">
        <f>INDEX(Vessel_Minimum_MT,MATCH(AA20,Control!$E$11:$E$15,0),MATCH(X20,Control!$E$11:$J$11,0))</f>
        <v>145000</v>
      </c>
      <c r="Z20" s="222">
        <f>AD20/Control!$D$84</f>
        <v>92671.167048054922</v>
      </c>
      <c r="AA20" s="215" t="s">
        <v>24</v>
      </c>
      <c r="AB20" s="212" t="s">
        <v>53</v>
      </c>
      <c r="AC20" s="212" t="str">
        <f t="shared" si="1"/>
        <v>USGC/ECC</v>
      </c>
      <c r="AD20" s="214">
        <v>720000</v>
      </c>
      <c r="AE20" s="214"/>
      <c r="AF20" s="262">
        <f>AF49+10</f>
        <v>445</v>
      </c>
      <c r="AG20" s="225">
        <f t="shared" si="5"/>
        <v>10.745204861111111</v>
      </c>
      <c r="AH20" s="226">
        <v>1</v>
      </c>
      <c r="AI20" s="214">
        <f>IF(INDEX(Index,MATCH(AB20,TVM_PortList,0),MATCH("Type",Control!$Q$3:$U$3,0))="BL",INDEX(Index,MATCH(AB20,TVM_PortList,0),MATCH("Payment",Control!$Q$3:$U$3,0))-INDEX(Index,MATCH(X20,TVM_PortList,0),MATCH("Payment",Control!$Q$3:$U$3,0)),BD20+INDEX(Index,MATCH(AB20,TVM_PortList,0),MATCH("Payment",Control!$Q$3:$U$3,0))-INDEX(Index,MATCH(X20,TVM_PortList,0),MATCH("Payment",Control!$Q$3:$U$3,0)))</f>
        <v>0</v>
      </c>
      <c r="AJ20" s="214"/>
      <c r="AK20" s="227">
        <f>ABH371*VLOOKUP($AA20,Control!$F$75:$H$79,3,FALSE)/$AD20</f>
        <v>0</v>
      </c>
      <c r="AL20" s="227">
        <f>IF(AI20&lt;0,0,$AI20*Control!$D$77)</f>
        <v>0</v>
      </c>
      <c r="AM20" s="227"/>
      <c r="AN20" s="227"/>
      <c r="AO20" s="227">
        <f>IF(K20="Corpus Christi",Control!$D$76,0)</f>
        <v>0</v>
      </c>
      <c r="AP20" s="227">
        <v>0</v>
      </c>
      <c r="AQ20" s="227">
        <f>Control!$D$78</f>
        <v>0</v>
      </c>
      <c r="AR20" s="227">
        <f>Control!$D$79</f>
        <v>6.7299999999999999E-2</v>
      </c>
      <c r="AS20" s="227">
        <f>IF(INDEX(Control!$Q$3:$S$62,MATCH($AB20,Control!$Q$3:$Q$62,0),MATCH(AS$8,Control!$Q$3:$S$3,0))=1,Control!$D$81*Control!$E$81,0)</f>
        <v>0</v>
      </c>
      <c r="AT20" s="227">
        <f>IF(INDEX(Control!$Q$3:$S$62,MATCH($AB20,Control!$Q$3:$Q$62,0),MATCH(AT$8,Control!$Q$3:$S$3,0))=1,Control!$D$82/$AD20,0)</f>
        <v>0</v>
      </c>
      <c r="AU20" s="227"/>
      <c r="AV20" s="227">
        <f>IF(AND(N20="Chiriqui Grande",X20="Puerto Armuelles"),Control!$G$93,0)</f>
        <v>0</v>
      </c>
      <c r="AW20" s="225">
        <f t="shared" si="6"/>
        <v>6.7299999999999999E-2</v>
      </c>
      <c r="AX20" s="225">
        <f t="shared" si="2"/>
        <v>10.81250486111111</v>
      </c>
      <c r="AY20" s="225">
        <f t="shared" si="18"/>
        <v>0</v>
      </c>
      <c r="AZ20" s="225"/>
      <c r="BA20" s="498">
        <f t="shared" si="4"/>
        <v>9.9125048611111097</v>
      </c>
      <c r="BC20" s="220"/>
      <c r="BD20" s="229">
        <f>+INDEX('[1]Transit Time'!$A:$DZ,MATCH(X20,'[1]Transit Time'!$A:$A,0),MATCH(AB20,'[1]Transit Time'!$A$1:$DZ$1,0))+1</f>
        <v>9</v>
      </c>
      <c r="BE20" s="230">
        <f t="shared" si="12"/>
        <v>45804</v>
      </c>
      <c r="BF20" s="230">
        <f t="shared" si="19"/>
        <v>45806</v>
      </c>
      <c r="BG20" s="230" t="s">
        <v>155</v>
      </c>
      <c r="BH20" s="489">
        <f t="shared" si="20"/>
        <v>45808</v>
      </c>
      <c r="BI20" s="489">
        <f t="shared" si="21"/>
        <v>45808</v>
      </c>
      <c r="BJ20" s="514"/>
      <c r="BL20" s="268"/>
      <c r="BM20" s="268"/>
      <c r="BN20" s="268"/>
      <c r="BO20" s="268"/>
      <c r="BT20" s="34"/>
    </row>
    <row r="21" spans="2:74" ht="16" thickBot="1" x14ac:dyDescent="0.4">
      <c r="B21" s="163">
        <f t="shared" si="16"/>
        <v>45795</v>
      </c>
      <c r="C21" s="163">
        <f t="shared" si="0"/>
        <v>45797</v>
      </c>
      <c r="F21" s="153">
        <f>IF(AN21=0,0,VLOOKUP(AA21,Control!$G$41:$J$44,4,FALSE))</f>
        <v>0</v>
      </c>
      <c r="G21" s="518">
        <f t="shared" si="17"/>
        <v>45796</v>
      </c>
      <c r="H21"/>
      <c r="I21"/>
      <c r="J21"/>
      <c r="K21"/>
      <c r="L21"/>
      <c r="M21"/>
      <c r="N21"/>
      <c r="O21"/>
      <c r="P21"/>
      <c r="Q21"/>
      <c r="R21"/>
      <c r="S21"/>
      <c r="V21" s="138">
        <v>11.99</v>
      </c>
      <c r="W21" s="138">
        <f>INDEX(Control!$E$17:$J$21,MATCH(AA21,Control!$E$17:$E$21,0),MATCH(X21,Control!$E$17:$J$17,0))</f>
        <v>0</v>
      </c>
      <c r="X21" s="138" t="s">
        <v>45</v>
      </c>
      <c r="Y21" s="116">
        <f>INDEX(Vessel_Minimum_MT,MATCH(AA21,Control!$E$11:$E$15,0),MATCH(X21,Control!$E$11:$J$11,0))</f>
        <v>70000</v>
      </c>
      <c r="Z21" s="140">
        <f>AD21/Control!$D$84</f>
        <v>92671.167048054922</v>
      </c>
      <c r="AA21" s="147" t="s">
        <v>23</v>
      </c>
      <c r="AB21" s="142" t="s">
        <v>53</v>
      </c>
      <c r="AC21" s="142" t="str">
        <f t="shared" si="1"/>
        <v>USGC/ECC</v>
      </c>
      <c r="AD21" s="141">
        <v>720000</v>
      </c>
      <c r="AE21" s="141"/>
      <c r="AF21" s="151">
        <v>190</v>
      </c>
      <c r="AG21" s="149">
        <f t="shared" si="5"/>
        <v>2.2148194444444442</v>
      </c>
      <c r="AH21" s="144">
        <v>1</v>
      </c>
      <c r="AI21" s="141">
        <f>IF(INDEX(Index,MATCH(AB21,TVM_PortList,0),MATCH("Type",Control!$Q$3:$U$3,0))="BL",INDEX(Index,MATCH(AB21,TVM_PortList,0),MATCH("Payment",Control!$Q$3:$U$3,0))-INDEX(Index,MATCH(X21,TVM_PortList,0),MATCH("Payment",Control!$Q$3:$U$3,0)),BD21+INDEX(Index,MATCH(AB21,TVM_PortList,0),MATCH("Payment",Control!$Q$3:$U$3,0))-INDEX(Index,MATCH(X21,TVM_PortList,0),MATCH("Payment",Control!$Q$3:$U$3,0)))</f>
        <v>0</v>
      </c>
      <c r="AJ21" s="141"/>
      <c r="AK21" s="143">
        <f>ABH372*VLOOKUP($AA21,Control!$F$75:$H$79,3,FALSE)/$AD21</f>
        <v>0</v>
      </c>
      <c r="AL21" s="143">
        <f>IF(AI21&lt;0,0,$AI21*Control!$D$77)</f>
        <v>0</v>
      </c>
      <c r="AM21" s="143"/>
      <c r="AN21" s="143"/>
      <c r="AO21" s="143">
        <f>IF(K21="Corpus Christi",Control!$D$76,0)</f>
        <v>0</v>
      </c>
      <c r="AP21" s="143">
        <v>0</v>
      </c>
      <c r="AQ21" s="143">
        <f>Control!$D$78</f>
        <v>0</v>
      </c>
      <c r="AR21" s="143">
        <f>Control!$D$79</f>
        <v>6.7299999999999999E-2</v>
      </c>
      <c r="AS21" s="143">
        <f>IF(INDEX(Control!$Q$3:$S$62,MATCH($AB21,Control!$Q$3:$Q$62,0),MATCH(AS$8,Control!$Q$3:$S$3,0))=1,Control!$D$81*Control!$E$81,0)</f>
        <v>0</v>
      </c>
      <c r="AT21" s="143">
        <f>IF(INDEX(Control!$Q$3:$S$62,MATCH($AB21,Control!$Q$3:$Q$62,0),MATCH(AT$8,Control!$Q$3:$S$3,0))=1,Control!$D$82/$AD21,0)</f>
        <v>0</v>
      </c>
      <c r="AU21" s="143"/>
      <c r="AV21" s="143">
        <f>IF(AND(N21="Chiriqui Grande",X21="Puerto Armuelles"),Control!$G$93,0)</f>
        <v>0</v>
      </c>
      <c r="AW21" s="149">
        <f t="shared" si="6"/>
        <v>6.7299999999999999E-2</v>
      </c>
      <c r="AX21" s="149">
        <f t="shared" si="2"/>
        <v>2.2821194444444441</v>
      </c>
      <c r="AY21" s="149">
        <f t="shared" si="18"/>
        <v>0</v>
      </c>
      <c r="AZ21" s="149"/>
      <c r="BA21" s="497">
        <f t="shared" si="4"/>
        <v>1.3821194444444442</v>
      </c>
      <c r="BD21" s="153">
        <f>+INDEX('[1]Transit Time'!$A:$DZ,MATCH(X21,'[1]Transit Time'!$A:$A,0),MATCH(AB21,'[1]Transit Time'!$A$1:$DZ$1,0))+1</f>
        <v>9</v>
      </c>
      <c r="BE21" s="163">
        <f>IF(ISBLANK(B21),"",B21+$BD21+F21)</f>
        <v>45804</v>
      </c>
      <c r="BF21" s="163">
        <f t="shared" si="19"/>
        <v>45806</v>
      </c>
      <c r="BG21" s="163" t="s">
        <v>155</v>
      </c>
      <c r="BH21" s="490">
        <f t="shared" si="20"/>
        <v>45808</v>
      </c>
      <c r="BI21" s="490">
        <f t="shared" si="21"/>
        <v>45808</v>
      </c>
      <c r="BJ21" s="133"/>
      <c r="BL21" s="268"/>
      <c r="BM21" s="268"/>
      <c r="BN21" s="268"/>
      <c r="BO21" s="268"/>
      <c r="BT21" s="34"/>
    </row>
    <row r="22" spans="2:74" ht="19.5" customHeight="1" thickBot="1" x14ac:dyDescent="0.5">
      <c r="B22"/>
      <c r="C22"/>
      <c r="F22"/>
      <c r="G22" s="520"/>
      <c r="H22"/>
      <c r="I22"/>
      <c r="J22"/>
      <c r="K22"/>
      <c r="L22"/>
      <c r="M22"/>
      <c r="N22"/>
      <c r="O22"/>
      <c r="P22"/>
      <c r="Q22"/>
      <c r="R22"/>
      <c r="S22"/>
      <c r="V22" s="9"/>
      <c r="W22" s="9"/>
      <c r="X22" s="9"/>
      <c r="Y22" s="129"/>
      <c r="Z22" s="9"/>
      <c r="AA22" s="999" t="s">
        <v>168</v>
      </c>
      <c r="AB22" s="1000"/>
      <c r="AC22" s="1000"/>
      <c r="AD22" s="1000"/>
      <c r="AE22" s="1000"/>
      <c r="AF22" s="1000"/>
      <c r="AG22" s="1000"/>
      <c r="AH22" s="1000"/>
      <c r="AI22" s="1000"/>
      <c r="AJ22" s="1000"/>
      <c r="AK22" s="1000"/>
      <c r="AL22" s="1000"/>
      <c r="AM22" s="1000"/>
      <c r="AN22" s="1000"/>
      <c r="AO22" s="1000"/>
      <c r="AP22" s="1000"/>
      <c r="AQ22" s="1000"/>
      <c r="AR22" s="1000"/>
      <c r="AS22" s="1000"/>
      <c r="AT22" s="1000"/>
      <c r="AU22" s="1000"/>
      <c r="AV22" s="1000"/>
      <c r="AW22" s="1000"/>
      <c r="AX22" s="1000"/>
      <c r="AY22" s="1000"/>
      <c r="AZ22" s="1000"/>
      <c r="BA22" s="1001"/>
      <c r="BD22"/>
      <c r="BE22"/>
      <c r="BF22"/>
      <c r="BG22"/>
      <c r="BH22"/>
      <c r="BI22"/>
      <c r="BK22" s="124"/>
    </row>
    <row r="23" spans="2:74" ht="29.5" customHeight="1" x14ac:dyDescent="0.35">
      <c r="B23" s="1013" t="s">
        <v>167</v>
      </c>
      <c r="C23" s="1014"/>
      <c r="F23" s="137" t="str">
        <f t="shared" ref="F23:G23" si="22">F8</f>
        <v>STS Time</v>
      </c>
      <c r="G23" s="521" t="str">
        <f t="shared" si="22"/>
        <v>Depart</v>
      </c>
      <c r="H23"/>
      <c r="I23"/>
      <c r="J23"/>
      <c r="K23"/>
      <c r="L23"/>
      <c r="M23"/>
      <c r="N23"/>
      <c r="O23"/>
      <c r="P23"/>
      <c r="Q23"/>
      <c r="R23"/>
      <c r="S23"/>
      <c r="V23" s="120" t="s">
        <v>172</v>
      </c>
      <c r="W23" s="120" t="e">
        <f>INDEX(Control!$E$17:$J$21,MATCH(AA23,Control!$E$17:$E$21,0),MATCH(X23,Control!$E$17:$J$17,0))</f>
        <v>#N/A</v>
      </c>
      <c r="X23" s="120" t="s">
        <v>173</v>
      </c>
      <c r="Y23" s="152" t="str">
        <f>$Y$8</f>
        <v>Vessel MT</v>
      </c>
      <c r="Z23" s="120" t="s">
        <v>175</v>
      </c>
      <c r="AA23" s="571" t="s">
        <v>176</v>
      </c>
      <c r="AB23" s="571" t="s">
        <v>177</v>
      </c>
      <c r="AC23" s="571" t="s">
        <v>178</v>
      </c>
      <c r="AD23" s="571" t="s">
        <v>200</v>
      </c>
      <c r="AE23" s="578" t="s">
        <v>201</v>
      </c>
      <c r="AF23" s="128" t="s">
        <v>202</v>
      </c>
      <c r="AG23" s="579" t="s">
        <v>203</v>
      </c>
      <c r="AH23" s="580" t="s">
        <v>204</v>
      </c>
      <c r="AI23" s="578" t="s">
        <v>205</v>
      </c>
      <c r="AJ23" s="578" t="str">
        <f t="shared" ref="AJ23" si="23">AJ8</f>
        <v>Ext. TVM</v>
      </c>
      <c r="AK23" s="580" t="s">
        <v>206</v>
      </c>
      <c r="AL23" s="783" t="str">
        <f t="shared" ref="AL23:AM23" si="24">AI23</f>
        <v>ATA tvm</v>
      </c>
      <c r="AM23" s="783" t="str">
        <f t="shared" si="24"/>
        <v>Ext. TVM</v>
      </c>
      <c r="AN23" s="580" t="str">
        <f>AN8</f>
        <v>STS</v>
      </c>
      <c r="AO23" s="580" t="s">
        <v>186</v>
      </c>
      <c r="AP23" s="580" t="s">
        <v>187</v>
      </c>
      <c r="AQ23" s="580" t="s">
        <v>141</v>
      </c>
      <c r="AR23" s="580" t="s">
        <v>188</v>
      </c>
      <c r="AS23" s="580" t="s">
        <v>17</v>
      </c>
      <c r="AT23" s="580" t="s">
        <v>207</v>
      </c>
      <c r="AU23" s="580" t="s">
        <v>143</v>
      </c>
      <c r="AV23" s="580" t="s">
        <v>152</v>
      </c>
      <c r="AW23" s="579" t="s">
        <v>208</v>
      </c>
      <c r="AX23" s="579" t="s">
        <v>209</v>
      </c>
      <c r="AY23" s="579" t="s">
        <v>210</v>
      </c>
      <c r="AZ23" s="579" t="str">
        <f>AZ8</f>
        <v>Basis</v>
      </c>
      <c r="BA23" s="137" t="s">
        <v>211</v>
      </c>
      <c r="BD23" s="137" t="s">
        <v>195</v>
      </c>
      <c r="BE23" s="1005" t="s">
        <v>196</v>
      </c>
      <c r="BF23" s="1005"/>
      <c r="BG23" s="488" t="str">
        <f>BG8</f>
        <v>Basis</v>
      </c>
      <c r="BH23" s="582" t="str">
        <f>BH8</f>
        <v>Pricing Month</v>
      </c>
      <c r="BI23" s="582" t="str">
        <f>BI8</f>
        <v>Delivery Month</v>
      </c>
      <c r="BL23" s="35"/>
      <c r="BM23" s="35"/>
      <c r="BN23" s="35"/>
      <c r="BO23" s="35"/>
      <c r="BP23" s="735" t="s">
        <v>212</v>
      </c>
      <c r="BQ23" s="2" t="s">
        <v>213</v>
      </c>
      <c r="BS23" s="2" t="s">
        <v>126</v>
      </c>
      <c r="BT23" s="2" t="s">
        <v>10</v>
      </c>
    </row>
    <row r="24" spans="2:74" ht="18" customHeight="1" x14ac:dyDescent="0.35">
      <c r="B24" s="701">
        <f>B21</f>
        <v>45795</v>
      </c>
      <c r="C24" s="702">
        <f>C8</f>
        <v>45797</v>
      </c>
      <c r="D24" s="270"/>
      <c r="E24" s="270"/>
      <c r="F24" s="703"/>
      <c r="G24" s="704">
        <f t="shared" ref="G24:G46" si="25">AVERAGE(B24:C24)+F24</f>
        <v>45796</v>
      </c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665">
        <f>INDEX('[2]Flat Rates 2025'!$A:$DZ,MATCH(X24,'[2]Flat Rates 2025'!$A:$A,0),MATCH(AB24,'[2]Flat Rates 2025'!$A$1:$DZ$1,0))</f>
        <v>0</v>
      </c>
      <c r="W24" s="665">
        <f>INDEX(Control!$E$17:$J$21,MATCH(AA24,Control!$E$17:$E$21,0),MATCH(X24,Control!$E$17:$J$17,0))</f>
        <v>0</v>
      </c>
      <c r="X24" s="665" t="s">
        <v>45</v>
      </c>
      <c r="Y24" s="666">
        <f>INDEX(Vessel_Minimum_MT,MATCH(AA24,Control!$E$11:$E$15,0),MATCH(X24,Control!$E$11:$J$11,0))</f>
        <v>70000</v>
      </c>
      <c r="Z24" s="667">
        <f>AD24/Control!$D$84</f>
        <v>96532.465675057203</v>
      </c>
      <c r="AA24" s="705" t="s">
        <v>23</v>
      </c>
      <c r="AB24" s="706" t="s">
        <v>106</v>
      </c>
      <c r="AC24" s="706" t="str">
        <f t="shared" ref="AC24:AC43" si="26">IF(AB24=X24,"",CONCATENATE(CONCATENATE(VLOOKUP(X24,Zones,2,FALSE),"/",VLOOKUP(AB24,Zones,2,FALSE))))</f>
        <v>USGC/KOREA</v>
      </c>
      <c r="AD24" s="707">
        <v>750000</v>
      </c>
      <c r="AE24" s="707">
        <v>1001</v>
      </c>
      <c r="AF24" s="708">
        <v>6700000</v>
      </c>
      <c r="AG24" s="709">
        <f t="shared" ref="AG24:AG46" si="27">IF(AE24&gt;1000,IF(AF24=0,AE24,AF24)/AD24,((Y24*V24*(IF(AF24=0,AE24,AF24)/100))+IF(Z24&lt;Y24,0,(Z24-Y24)*V24*IF(AF24=0,AE24,AF24)/100*W24))/AD24)</f>
        <v>8.9333333333333336</v>
      </c>
      <c r="AH24" s="760">
        <v>5</v>
      </c>
      <c r="AI24" s="710">
        <f>IF(INDEX(Index,MATCH(AB24,TVM_PortList,0),MATCH("Type",Control!$Q$3:$U$3,0))="BL",INDEX(Index,MATCH(AB24,TVM_PortList,0),MATCH("Payment",Control!$Q$3:$U$3,0))-INDEX(Index,MATCH(X24,TVM_PortList,0),MATCH("Payment",Control!$Q$3:$U$3,0)),BD24+INDEX(Index,MATCH(AB24,TVM_PortList,0),MATCH("Payment",Control!$Q$3:$U$3,0))-INDEX(Index,MATCH(X24,TVM_PortList,0),MATCH("Payment",Control!$Q$3:$U$3,0)))</f>
        <v>19</v>
      </c>
      <c r="AJ24" s="710"/>
      <c r="AK24" s="711">
        <f>AH24*VLOOKUP($AA24,Control!$F$75:$H$87,3,FALSE)/$AD24</f>
        <v>0.53333333333333333</v>
      </c>
      <c r="AL24" s="711">
        <f>$AI24*Control!$D$77</f>
        <v>0.24768712328767126</v>
      </c>
      <c r="AM24" s="711"/>
      <c r="AN24" s="711">
        <f>IF(((AD24-VLOOKUP(AA24,Control!$J$76:$K$80,2,FALSE))/Control!$D$85)&lt;=0,0,ROUNDUP(((AD24-VLOOKUP(AA24,Control!$J$76:$K$80,2,FALSE))/Control!$D$85),0)*Control!$H$90/AD24)</f>
        <v>0</v>
      </c>
      <c r="AO24" s="711">
        <f>IF(K24="Corpus Christi",Control!$D$76,0)</f>
        <v>0</v>
      </c>
      <c r="AP24" s="711">
        <v>0</v>
      </c>
      <c r="AQ24" s="711">
        <f>Control!$D$78</f>
        <v>0</v>
      </c>
      <c r="AR24" s="711">
        <f>Control!$D$79</f>
        <v>6.7299999999999999E-2</v>
      </c>
      <c r="AS24" s="711">
        <f>IF(INDEX(Control!$Q$3:$S$62,MATCH($AB24,Control!$Q$3:$Q$62,0),MATCH(AS$8,Control!$Q$3:$S$3,0))=1,Control!$D$81*Control!$E$81,0)</f>
        <v>0.2</v>
      </c>
      <c r="AT24" s="711"/>
      <c r="AU24" s="711">
        <f>IF(AND(AA24="VLCC",Control!$K$79=1200000),Control!$D$83/AD24,0)</f>
        <v>0</v>
      </c>
      <c r="AV24" s="711"/>
      <c r="AW24" s="712">
        <f t="shared" ref="AW24:AW25" si="28">SUM(AK24:AV24)</f>
        <v>1.0483204566210047</v>
      </c>
      <c r="AX24" s="712">
        <f t="shared" ref="AX24:AX46" si="29">+T24+AG24+AW24</f>
        <v>9.9816537899543381</v>
      </c>
      <c r="AY24" s="712">
        <f t="shared" ref="AY24:AY25" si="30">IF((MONTH(B24)=MONTH(BI24)),0,IF(((MONTH(BI24))-MONTH(B24))+12*YEAR(BH24)-YEAR(B24)&gt;1,SUMIFS($BE$4:$BH$4,$BE$3:$BH$3,"&lt;="&amp;EOMONTH(BH24,-1),$BE$3:$BH$3,"&gt;="&amp;EOMONTH(B24,0)),VLOOKUP("Spreads",$BD$3:$BH$4,MATCH(EOMONTH(B24,0),$BD$3:$BH$3,0))))</f>
        <v>0</v>
      </c>
      <c r="AZ24" s="712" t="e">
        <f>+IF($BD$3=1,HLOOKUP(EOMONTH(BH24,0),$BE$3:$BI$6,4,FALSE),IF($BD$3=2,-HLOOKUP(EOMONTH(BH24,0),$BD$3:$BI$6,3,FALSE),0))</f>
        <v>#N/A</v>
      </c>
      <c r="BA24" s="713" t="e">
        <f t="shared" ref="BA24:BA46" si="31">$AA$3+AX24+AY24+AZ24</f>
        <v>#N/A</v>
      </c>
      <c r="BB24" s="329"/>
      <c r="BC24" s="329"/>
      <c r="BD24" s="703">
        <v>39</v>
      </c>
      <c r="BE24" s="702">
        <f t="shared" ref="BE24:BE46" si="32">IF(ISBLANK(B24),"",B24+$BD24+F24)</f>
        <v>45834</v>
      </c>
      <c r="BF24" s="702">
        <f>BE24+2</f>
        <v>45836</v>
      </c>
      <c r="BG24" s="702" t="str">
        <f>HLOOKUP($BD$3,$AX$4:$AZ$5,2,FALSE)</f>
        <v>Dubai</v>
      </c>
      <c r="BH24" s="714">
        <f t="shared" ref="BH24:BH46" si="33">IF($BD$7=0,IF(BG24="ICE Brent",EOMONTH(BF24,2),EOMONTH(BF24,0)),IF(BG24="ICE Brent",EOMONTH(BF24,1),EOMONTH(BF24,-1)))</f>
        <v>45808</v>
      </c>
      <c r="BI24" s="715">
        <f t="shared" ref="BI24:BI46" si="34">IF($BD$7=1,EOMONTH(BF24,-1),EOMONTH(BF24,0))</f>
        <v>45808</v>
      </c>
      <c r="BK24" s="361"/>
    </row>
    <row r="25" spans="2:74" ht="18" customHeight="1" thickBot="1" x14ac:dyDescent="0.4">
      <c r="B25" s="716">
        <f t="shared" ref="B25:B46" si="35">+$B$9</f>
        <v>45795</v>
      </c>
      <c r="C25" s="717">
        <f t="shared" ref="C25:C27" si="36">IF(ISBLANK(B25),"",B25+2)</f>
        <v>45797</v>
      </c>
      <c r="D25" s="275"/>
      <c r="E25" s="275"/>
      <c r="F25" s="718"/>
      <c r="G25" s="719">
        <f t="shared" si="25"/>
        <v>45796</v>
      </c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720">
        <f>INDEX('[2]Flat Rates 2025'!$A:$DZ,MATCH(X25,'[2]Flat Rates 2025'!$A:$A,0),MATCH(AB25,'[2]Flat Rates 2025'!$A$1:$DZ$1,0))</f>
        <v>0</v>
      </c>
      <c r="W25" s="720">
        <f>INDEX(Control!$E$17:$J$21,MATCH(AA25,Control!$E$17:$E$21,0),MATCH(X25,Control!$E$17:$J$17,0))</f>
        <v>0.5</v>
      </c>
      <c r="X25" s="720" t="s">
        <v>45</v>
      </c>
      <c r="Y25" s="721">
        <f>INDEX(Vessel_Minimum_MT,MATCH(AA25,Control!$E$11:$E$15,0),MATCH(X25,Control!$E$11:$J$11,0))</f>
        <v>145000</v>
      </c>
      <c r="Z25" s="722">
        <f>AD25/Control!$D$84</f>
        <v>109403.46109839817</v>
      </c>
      <c r="AA25" s="723" t="s">
        <v>24</v>
      </c>
      <c r="AB25" s="724" t="s">
        <v>106</v>
      </c>
      <c r="AC25" s="724" t="str">
        <f t="shared" si="26"/>
        <v>USGC/KOREA</v>
      </c>
      <c r="AD25" s="725">
        <v>850000</v>
      </c>
      <c r="AE25" s="725">
        <v>1001</v>
      </c>
      <c r="AF25" s="726">
        <v>7500000</v>
      </c>
      <c r="AG25" s="727">
        <f t="shared" si="27"/>
        <v>8.8235294117647065</v>
      </c>
      <c r="AH25" s="761">
        <v>2</v>
      </c>
      <c r="AI25" s="725">
        <f>IF(INDEX(Index,MATCH(AB25,TVM_PortList,0),MATCH("Type",Control!$Q$3:$U$3,0))="BL",INDEX(Index,MATCH(AB25,TVM_PortList,0),MATCH("Payment",Control!$Q$3:$U$3,0))-INDEX(Index,MATCH(X25,TVM_PortList,0),MATCH("Payment",Control!$Q$3:$U$3,0)),BD25+INDEX(Index,MATCH(AB25,TVM_PortList,0),MATCH("Payment",Control!$Q$3:$U$3,0))-INDEX(Index,MATCH(X25,TVM_PortList,0),MATCH("Payment",Control!$Q$3:$U$3,0)))</f>
        <v>21</v>
      </c>
      <c r="AJ25" s="725"/>
      <c r="AK25" s="728">
        <f>AH25*VLOOKUP($AA25,Control!$F$75:$H$87,3,FALSE)/$AD25</f>
        <v>0.22352941176470589</v>
      </c>
      <c r="AL25" s="728">
        <f>$AI25*Control!$D$77</f>
        <v>0.27375945205479457</v>
      </c>
      <c r="AM25" s="728"/>
      <c r="AN25" s="728">
        <f>IF(((AD25-VLOOKUP(AA25,Control!$J$76:$K$80,2,FALSE))/Control!$D$85)&lt;=0,0,ROUNDUP(((AD25-VLOOKUP(AA25,Control!$J$76:$K$80,2,FALSE))/Control!$D$85),0)*Control!$H$90/AD25)</f>
        <v>0</v>
      </c>
      <c r="AO25" s="728">
        <f>IF(K25="Corpus Christi",Control!$D$76,0)</f>
        <v>0</v>
      </c>
      <c r="AP25" s="728">
        <v>0</v>
      </c>
      <c r="AQ25" s="728">
        <f>Control!$D$78</f>
        <v>0</v>
      </c>
      <c r="AR25" s="728">
        <f>Control!$D$79</f>
        <v>6.7299999999999999E-2</v>
      </c>
      <c r="AS25" s="728">
        <f>IF(INDEX(Control!$Q$3:$S$62,MATCH($AB25,Control!$Q$3:$Q$62,0),MATCH(AS$8,Control!$Q$3:$S$3,0))=1,Control!$D$81*Control!$E$81,0)</f>
        <v>0.2</v>
      </c>
      <c r="AT25" s="728"/>
      <c r="AU25" s="728">
        <f>IF(AND(AA25="VLCC",Control!$K$79=1200000),Control!$D$83/AD25,0)</f>
        <v>0</v>
      </c>
      <c r="AV25" s="728"/>
      <c r="AW25" s="727">
        <f t="shared" si="28"/>
        <v>0.76458886381950042</v>
      </c>
      <c r="AX25" s="727">
        <f t="shared" si="29"/>
        <v>9.5881182755842076</v>
      </c>
      <c r="AY25" s="727">
        <f t="shared" si="30"/>
        <v>0</v>
      </c>
      <c r="AZ25" s="727" t="e">
        <f t="shared" ref="AZ25:AZ39" si="37">+IF($BD$3=1,HLOOKUP(EOMONTH(BH25,0),$BE$3:$BI$6,4,FALSE),IF($BD$3=2,-HLOOKUP(EOMONTH(BH25,0),$BD$3:$BI$6,3,FALSE),0))</f>
        <v>#N/A</v>
      </c>
      <c r="BA25" s="729" t="e">
        <f t="shared" si="31"/>
        <v>#N/A</v>
      </c>
      <c r="BB25" s="350"/>
      <c r="BC25" s="720"/>
      <c r="BD25" s="718">
        <f>BD24+AH25</f>
        <v>41</v>
      </c>
      <c r="BE25" s="717">
        <f t="shared" si="32"/>
        <v>45836</v>
      </c>
      <c r="BF25" s="717">
        <f t="shared" ref="BF25:BF46" si="38">BE25+2</f>
        <v>45838</v>
      </c>
      <c r="BG25" s="717" t="str">
        <f t="shared" ref="BG25:BG44" si="39">HLOOKUP($BD$3,$AX$4:$AZ$5,2,FALSE)</f>
        <v>Dubai</v>
      </c>
      <c r="BH25" s="730">
        <f t="shared" si="33"/>
        <v>45808</v>
      </c>
      <c r="BI25" s="731">
        <f t="shared" si="34"/>
        <v>45808</v>
      </c>
      <c r="BJ25"/>
      <c r="BK25"/>
      <c r="BL25"/>
      <c r="BM25"/>
      <c r="BN25"/>
      <c r="BO25"/>
      <c r="BQ25"/>
      <c r="BR25"/>
      <c r="BS25"/>
      <c r="BT25"/>
      <c r="BU25"/>
      <c r="BV25"/>
    </row>
    <row r="26" spans="2:74" ht="18" customHeight="1" thickBot="1" x14ac:dyDescent="0.5"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V26" s="220"/>
      <c r="W26" s="220"/>
      <c r="X26" s="220"/>
      <c r="Y26" s="524"/>
      <c r="Z26" s="525"/>
      <c r="AA26" s="1022" t="s">
        <v>214</v>
      </c>
      <c r="AB26" s="1023"/>
      <c r="AC26" s="1023"/>
      <c r="AD26" s="1023"/>
      <c r="AE26" s="1023"/>
      <c r="AF26" s="1023"/>
      <c r="AG26" s="1023"/>
      <c r="AH26" s="1023"/>
      <c r="AI26" s="1020"/>
      <c r="AJ26" s="1020"/>
      <c r="AK26" s="1023"/>
      <c r="AL26" s="1020"/>
      <c r="AM26" s="1020"/>
      <c r="AN26" s="1023"/>
      <c r="AO26" s="1023"/>
      <c r="AP26" s="1023"/>
      <c r="AQ26" s="1023"/>
      <c r="AR26" s="1023"/>
      <c r="AS26" s="1023"/>
      <c r="AT26" s="1023"/>
      <c r="AU26" s="1023"/>
      <c r="AV26" s="1023"/>
      <c r="AW26" s="1023"/>
      <c r="AX26" s="1023"/>
      <c r="AY26" s="1023"/>
      <c r="AZ26" s="1023"/>
      <c r="BA26" s="1025"/>
      <c r="BC26" s="220"/>
      <c r="BD26" s="659"/>
      <c r="BE26" s="659"/>
      <c r="BF26" s="659"/>
      <c r="BG26" s="659"/>
      <c r="BH26" s="660"/>
      <c r="BI26" s="660"/>
      <c r="BJ26" t="s">
        <v>203</v>
      </c>
      <c r="BK26" t="s">
        <v>137</v>
      </c>
      <c r="BL26" t="s">
        <v>98</v>
      </c>
      <c r="BM26" t="s">
        <v>127</v>
      </c>
      <c r="BN26" t="s">
        <v>128</v>
      </c>
      <c r="BO26" t="s">
        <v>215</v>
      </c>
      <c r="BQ26"/>
      <c r="BR26"/>
      <c r="BS26"/>
      <c r="BT26"/>
      <c r="BU26"/>
      <c r="BV26"/>
    </row>
    <row r="27" spans="2:74" ht="18" customHeight="1" x14ac:dyDescent="0.35">
      <c r="B27" s="661">
        <f>B58</f>
        <v>46191</v>
      </c>
      <c r="C27" s="662">
        <f t="shared" si="36"/>
        <v>46193</v>
      </c>
      <c r="D27" s="270"/>
      <c r="E27" s="270"/>
      <c r="F27" s="663">
        <f>IF(AN27=0,0,VLOOKUP(AA27,Control!$G$41:$J$44,4,FALSE))</f>
        <v>3</v>
      </c>
      <c r="G27" s="664">
        <f t="shared" si="25"/>
        <v>46195</v>
      </c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665">
        <v>0</v>
      </c>
      <c r="W27" s="665" t="e">
        <f>INDEX(Control!$E$17:$J$21,MATCH(AA27,Control!$E$17:$E$21,0),MATCH(X27,Control!$E$17:$J$17,0))</f>
        <v>#N/A</v>
      </c>
      <c r="X27" s="665" t="s">
        <v>38</v>
      </c>
      <c r="Y27" s="666">
        <v>270000</v>
      </c>
      <c r="Z27" s="667">
        <f>AD27/Control!$D$84</f>
        <v>257419.90846681921</v>
      </c>
      <c r="AA27" s="566" t="s">
        <v>26</v>
      </c>
      <c r="AB27" s="138" t="s">
        <v>51</v>
      </c>
      <c r="AC27" s="566">
        <f>AC37</f>
        <v>0</v>
      </c>
      <c r="AD27" s="526">
        <v>2000000</v>
      </c>
      <c r="AE27" s="744">
        <v>1001</v>
      </c>
      <c r="AF27" s="745">
        <f>AF28</f>
        <v>55000000</v>
      </c>
      <c r="AG27" s="529">
        <f t="shared" si="27"/>
        <v>27.5</v>
      </c>
      <c r="AH27" s="762">
        <v>2</v>
      </c>
      <c r="AI27" s="793">
        <f>AI39</f>
        <v>-9.5</v>
      </c>
      <c r="AJ27" s="794">
        <f>INDEX(Control!$AS$36:$AY$118,MATCH(Report!$AB27,Control!$AS$36:$AS$118,0),MATCH(Report!AJ$23,Control!$AS$36:$AY$36,0))-6</f>
        <v>30.5</v>
      </c>
      <c r="AK27" s="812">
        <f>AH27*VLOOKUP($AA27,Control!$F$75:$H$87,3,FALSE)/$AD27</f>
        <v>0.45</v>
      </c>
      <c r="AL27" s="785">
        <f>IF($AM$3=1,$AI27*Control!$D$77,0)</f>
        <v>0</v>
      </c>
      <c r="AM27" s="786">
        <f>IF($AM$4=1,$AJ27*Control!$D$77,0)</f>
        <v>0.39760301369863016</v>
      </c>
      <c r="AN27" s="748">
        <f>IF(((AD27-VLOOKUP(AA27,Control!$J$76:$K$82,2,FALSE))/AP27)&lt;=0,0,ROUNDUP(((AD27-VLOOKUP(AA27,Control!$J$76:$K$82,2,FALSE))/Control!$D$86),0)*IF(AP27=Control!$D$86,Control!$H$91,Control!$H$90)/AD27)</f>
        <v>0.92500000000000004</v>
      </c>
      <c r="AO27" s="744">
        <f>IF(K27="Corpus Christi",Control!$D$76,0)</f>
        <v>0</v>
      </c>
      <c r="AP27" s="744">
        <f>IF(AND(Control!$D$85-ROUNDUP(((AD27-VLOOKUP(AA27,Control!$J$76:$K$82,2,FALSE))),0)&gt;0,Control!$D$85-ROUNDUP(((AD27-VLOOKUP(AA27,Control!$J$76:$K$82,2,FALSE))),0)&lt;Control!$D$86-ROUNDUP(((AD27-VLOOKUP(AA27,Control!$J$76:$K$82,2,FALSE))),0)),Control!$D$85,Control!$D$86)</f>
        <v>750000</v>
      </c>
      <c r="AQ27" s="748">
        <f>Control!$D$78</f>
        <v>0</v>
      </c>
      <c r="AR27" s="748">
        <f>Control!$D$79</f>
        <v>6.7299999999999999E-2</v>
      </c>
      <c r="AS27" s="748">
        <f>IF(INDEX(Control!$Q$3:$S$62,MATCH($AB27,Control!$Q$3:$Q$62,0),MATCH(AS$8,Control!$Q$3:$S$3,0))=1,Control!$D$81*Control!$E$81,0)</f>
        <v>0.2</v>
      </c>
      <c r="AT27" s="748"/>
      <c r="AU27" s="748">
        <f>Control!$D$83/AD27</f>
        <v>0.15</v>
      </c>
      <c r="AV27" s="748"/>
      <c r="AW27" s="529">
        <f>SUM(AK27:AO27,AQ27:AV27)</f>
        <v>2.1899030136986299</v>
      </c>
      <c r="AX27" s="529">
        <f t="shared" si="29"/>
        <v>29.689903013698629</v>
      </c>
      <c r="AY27" s="529">
        <f>IF((MONTH(B27)=MONTH(BI27)),0,IF(((MONTH(BI27))-MONTH(B27))+12*YEAR(BH27)-YEAR(B27)&gt;1,SUMIFS($BE$4:$BI$4,$BE$3:$BI$3,"&lt;="&amp;EOMONTH(BH27,-1),$BE$3:$BI$3,"&gt;="&amp;EOMONTH(B27,0)),VLOOKUP("Spreads",$BD$3:$BI$4,MATCH(EOMONTH(B27,0),$BD$3:$BI$3,0))))</f>
        <v>0</v>
      </c>
      <c r="AZ27" s="529" t="e">
        <f t="shared" si="37"/>
        <v>#N/A</v>
      </c>
      <c r="BA27" s="750" t="e">
        <f t="shared" si="31"/>
        <v>#N/A</v>
      </c>
      <c r="BB27" s="329"/>
      <c r="BC27" s="329"/>
      <c r="BD27" s="663">
        <f>BD39</f>
        <v>52</v>
      </c>
      <c r="BE27" s="662">
        <f>IF(ISBLANK(B27),"",B27+$BD27+F27)</f>
        <v>46246</v>
      </c>
      <c r="BF27" s="662">
        <f t="shared" si="38"/>
        <v>46248</v>
      </c>
      <c r="BG27" s="662" t="str">
        <f t="shared" si="39"/>
        <v>Dubai</v>
      </c>
      <c r="BH27" s="669">
        <f t="shared" si="33"/>
        <v>46234</v>
      </c>
      <c r="BI27" s="670">
        <f t="shared" si="34"/>
        <v>46234</v>
      </c>
      <c r="BJ27" s="735">
        <f>AG27*AD27</f>
        <v>55000000</v>
      </c>
      <c r="BK27" s="735">
        <f>AK27*AD27</f>
        <v>900000</v>
      </c>
      <c r="BL27" s="735">
        <f>AN27*AD27</f>
        <v>1850000</v>
      </c>
      <c r="BM27" s="735">
        <f>AL27*AD27</f>
        <v>0</v>
      </c>
      <c r="BN27" s="735">
        <f>AM27*AD27</f>
        <v>795206.0273972603</v>
      </c>
      <c r="BO27" s="735">
        <f>(AW27-AN27-AM27-AL27-AK27)*AD27</f>
        <v>834599.99999999942</v>
      </c>
      <c r="BP27" s="776">
        <f t="shared" ref="BP27:BP46" si="40">SUM(BJ27:BM27)</f>
        <v>57750000</v>
      </c>
      <c r="BQ27" s="776">
        <f t="shared" ref="BQ27:BQ69" si="41">BP27-BM27</f>
        <v>57750000</v>
      </c>
    </row>
    <row r="28" spans="2:74" ht="18" customHeight="1" x14ac:dyDescent="0.35">
      <c r="B28" s="671">
        <f t="shared" ref="B28:C28" si="42">B27</f>
        <v>46191</v>
      </c>
      <c r="C28" s="551">
        <f t="shared" si="42"/>
        <v>46193</v>
      </c>
      <c r="D28" s="552"/>
      <c r="E28" s="552">
        <v>9</v>
      </c>
      <c r="F28" s="553">
        <f>IF(AN28=0,0,VLOOKUP(AA28,Control!$G$41:$J$44,4,FALSE))</f>
        <v>9</v>
      </c>
      <c r="G28" s="554">
        <f t="shared" si="25"/>
        <v>46201</v>
      </c>
      <c r="H28"/>
      <c r="I28"/>
      <c r="J28"/>
      <c r="K28"/>
      <c r="L28"/>
      <c r="M28"/>
      <c r="N28"/>
      <c r="O28"/>
      <c r="P28"/>
      <c r="Q28"/>
      <c r="R28"/>
      <c r="S28"/>
      <c r="V28" s="556">
        <v>0</v>
      </c>
      <c r="W28" s="556">
        <f>INDEX(Control!$E$17:$J$21,MATCH(AA28,Control!$E$17:$E$21,0),MATCH(X28,Control!$E$17:$J$17,0))</f>
        <v>0.5</v>
      </c>
      <c r="X28" s="556" t="s">
        <v>38</v>
      </c>
      <c r="Y28" s="557">
        <v>270000</v>
      </c>
      <c r="Z28" s="558">
        <f>AD28/Control!$D$84</f>
        <v>267073.15503432491</v>
      </c>
      <c r="AA28" s="559" t="s">
        <v>25</v>
      </c>
      <c r="AB28" s="572" t="s">
        <v>106</v>
      </c>
      <c r="AC28" s="556" t="str">
        <f>AC42</f>
        <v>USGC/KOREA</v>
      </c>
      <c r="AD28" s="304">
        <f>AD42</f>
        <v>2075000</v>
      </c>
      <c r="AE28" s="557">
        <v>1001</v>
      </c>
      <c r="AF28" s="734">
        <f>WTI!AD43</f>
        <v>55000000</v>
      </c>
      <c r="AG28" s="561">
        <f t="shared" si="27"/>
        <v>26.506024096385541</v>
      </c>
      <c r="AH28" s="763">
        <v>2</v>
      </c>
      <c r="AI28" s="795">
        <f>AI42</f>
        <v>-9.5</v>
      </c>
      <c r="AJ28" s="796">
        <f>INDEX(Control!$AS$36:$AY$118,MATCH(Report!$AB28,Control!$AS$36:$AS$118,0),MATCH(Report!AJ$23,Control!$AS$36:$AY$36,0))</f>
        <v>38.5</v>
      </c>
      <c r="AK28" s="811">
        <f>AH28*VLOOKUP($AA28,Control!$F$75:$H$87,3,FALSE)/$AD28</f>
        <v>0.43373493975903615</v>
      </c>
      <c r="AL28" s="787">
        <f>IF($AM$3=1,$AI28*Control!$D$77,0)</f>
        <v>0</v>
      </c>
      <c r="AM28" s="788">
        <f>IF($AM$4=1,$AJ28*Control!$D$77,0)</f>
        <v>0.50189232876712331</v>
      </c>
      <c r="AN28" s="562">
        <f>WTI!AL43</f>
        <v>2.6746987951807228</v>
      </c>
      <c r="AO28" s="557">
        <f>IF(K28="Corpus Christi",Control!$D$76,0)</f>
        <v>0</v>
      </c>
      <c r="AP28" s="557">
        <f>IF(AND(Control!$D$85-ROUNDUP(((AD28-VLOOKUP(AA28,Control!$J$76:$K$82,2,FALSE))),0)&gt;0,Control!$D$85-ROUNDUP(((AD28-VLOOKUP(AA28,Control!$J$76:$K$82,2,FALSE))),0)&lt;Control!$D$86-ROUNDUP(((AD28-VLOOKUP(AA28,Control!$J$76:$K$82,2,FALSE))),0)),Control!$D$85,Control!$D$86)</f>
        <v>850000</v>
      </c>
      <c r="AQ28" s="562">
        <f>Control!$D$78</f>
        <v>0</v>
      </c>
      <c r="AR28" s="562">
        <f>Control!$D$79</f>
        <v>6.7299999999999999E-2</v>
      </c>
      <c r="AS28" s="562">
        <f>IF(INDEX(Control!$Q$3:$S$62,MATCH($AB28,Control!$Q$3:$Q$62,0),MATCH(AS$8,Control!$Q$3:$S$3,0))=1,Control!$D$81*Control!$E$81,0)</f>
        <v>0.2</v>
      </c>
      <c r="AT28" s="562"/>
      <c r="AU28" s="562">
        <f>Control!$D$83/AD28</f>
        <v>0.14457831325301204</v>
      </c>
      <c r="AV28" s="562"/>
      <c r="AW28" s="561">
        <f t="shared" ref="AW28" si="43">SUM(AK28:AO28,AQ28:AV28)</f>
        <v>4.0222043769598939</v>
      </c>
      <c r="AX28" s="561">
        <f t="shared" si="29"/>
        <v>30.528228473345436</v>
      </c>
      <c r="AY28" s="561">
        <f t="shared" ref="AY28" si="44">IF((MONTH(B28)=MONTH(BI28)),0,IF(((MONTH(BI28))-MONTH(B28))+12*YEAR(BH28)-YEAR(B28)&gt;1,SUMIFS($BE$4:$BI$4,$BE$3:$BI$3,"&lt;="&amp;EOMONTH(BH28,-1),$BE$3:$BI$3,"&gt;="&amp;EOMONTH(B28,0)),VLOOKUP("Spreads",$BD$3:$BI$4,MATCH(EOMONTH(B28,0),$BD$3:$BI$3,0))))</f>
        <v>0</v>
      </c>
      <c r="AZ28" s="588" t="e">
        <f t="shared" si="37"/>
        <v>#N/A</v>
      </c>
      <c r="BA28" s="563" t="e">
        <f>$E58+AX28+AY28+AZ28</f>
        <v>#N/A</v>
      </c>
      <c r="BB28" s="555"/>
      <c r="BC28" s="556"/>
      <c r="BD28" s="553">
        <f>BD42</f>
        <v>54</v>
      </c>
      <c r="BE28" s="551">
        <f t="shared" si="32"/>
        <v>46254</v>
      </c>
      <c r="BF28" s="551">
        <f t="shared" si="38"/>
        <v>46256</v>
      </c>
      <c r="BG28" s="649" t="str">
        <f t="shared" si="39"/>
        <v>Dubai</v>
      </c>
      <c r="BH28" s="564">
        <f t="shared" si="33"/>
        <v>46234</v>
      </c>
      <c r="BI28" s="672">
        <f t="shared" si="34"/>
        <v>46234</v>
      </c>
      <c r="BJ28" s="735">
        <f>AG28*AD28</f>
        <v>55000000</v>
      </c>
      <c r="BK28" s="735">
        <f>AK28*AD28</f>
        <v>900000</v>
      </c>
      <c r="BL28" s="735">
        <f t="shared" ref="BL28:BL46" si="45">AN28*AD28</f>
        <v>5550000</v>
      </c>
      <c r="BM28" s="735">
        <f t="shared" ref="BM28:BM46" si="46">AL28*AD28</f>
        <v>0</v>
      </c>
      <c r="BN28" s="735">
        <f t="shared" ref="BN28:BN46" si="47">AM28*AD28</f>
        <v>1041426.5821917809</v>
      </c>
      <c r="BO28" s="735">
        <f t="shared" ref="BO28:BO46" si="48">(AW28-AN28-AM28-AL28-AK28)*AD28</f>
        <v>854647.49999999895</v>
      </c>
      <c r="BP28" s="777">
        <f t="shared" si="40"/>
        <v>61450000</v>
      </c>
      <c r="BQ28" s="777">
        <f t="shared" si="41"/>
        <v>61450000</v>
      </c>
      <c r="BR28" s="2">
        <f>+BQ28/2100000</f>
        <v>29.261904761904763</v>
      </c>
    </row>
    <row r="29" spans="2:74" ht="18" customHeight="1" x14ac:dyDescent="0.35">
      <c r="B29" s="671">
        <f t="shared" ref="B29:C29" si="49">B28</f>
        <v>46191</v>
      </c>
      <c r="C29" s="551">
        <f t="shared" si="49"/>
        <v>46193</v>
      </c>
      <c r="E29">
        <v>3</v>
      </c>
      <c r="F29" s="531">
        <f>IF(AN29=0,0,VLOOKUP(AA29,Control!$G$41:$J$44,4,FALSE))</f>
        <v>3</v>
      </c>
      <c r="G29" s="532">
        <f t="shared" si="25"/>
        <v>46195</v>
      </c>
      <c r="H29"/>
      <c r="I29"/>
      <c r="J29"/>
      <c r="K29"/>
      <c r="L29"/>
      <c r="M29"/>
      <c r="N29"/>
      <c r="O29"/>
      <c r="P29"/>
      <c r="Q29"/>
      <c r="R29"/>
      <c r="S29"/>
      <c r="V29" s="138">
        <v>0</v>
      </c>
      <c r="W29" s="138" t="e">
        <f>INDEX(Control!$E$17:$J$21,MATCH(AA29,Control!$E$17:$E$21,0),MATCH(X29,Control!$E$17:$J$17,0))</f>
        <v>#N/A</v>
      </c>
      <c r="X29" s="138" t="s">
        <v>38</v>
      </c>
      <c r="Y29" s="526">
        <v>270000</v>
      </c>
      <c r="Z29" s="527">
        <f>AD29/Control!$D$84</f>
        <v>267073.15503432491</v>
      </c>
      <c r="AA29" s="559" t="s">
        <v>26</v>
      </c>
      <c r="AB29" s="572" t="s">
        <v>106</v>
      </c>
      <c r="AC29" s="556" t="str">
        <f t="shared" ref="AC29:AD29" si="50">AC43</f>
        <v>USGC/Singapore</v>
      </c>
      <c r="AD29" s="304">
        <f t="shared" si="50"/>
        <v>2075000</v>
      </c>
      <c r="AE29" s="557">
        <v>1001</v>
      </c>
      <c r="AF29" s="734">
        <f t="shared" ref="AF29:AF31" si="51">AF28</f>
        <v>55000000</v>
      </c>
      <c r="AG29" s="561">
        <f t="shared" ref="AG29:AG32" si="52">IF(AE29&gt;1000,IF(AF29=0,AE29,AF29)/AD29,((Y29*V29*(IF(AF29=0,AE29,AF29)/100))+IF(Z29&lt;Y29,0,(Z29-Y29)*V29*IF(AF29=0,AE29,AF29)/100*W29))/AD29)</f>
        <v>26.506024096385541</v>
      </c>
      <c r="AH29" s="763">
        <v>2</v>
      </c>
      <c r="AI29" s="795">
        <f t="shared" ref="AI29:AI35" si="53">AI43</f>
        <v>-9.5</v>
      </c>
      <c r="AJ29" s="796">
        <f>INDEX(Control!$AS$36:$AY$118,MATCH(Report!$AB29,Control!$AS$36:$AS$118,0),MATCH(Report!AJ$23,Control!$AS$36:$AY$36,0))-6</f>
        <v>32.5</v>
      </c>
      <c r="AK29" s="811">
        <f>AH29*VLOOKUP($AA29,Control!$F$75:$H$87,3,FALSE)/$AD29</f>
        <v>0.43373493975903615</v>
      </c>
      <c r="AL29" s="787">
        <f>IF($AM$3=1,$AI29*Control!$D$77,0)</f>
        <v>0</v>
      </c>
      <c r="AM29" s="788">
        <f>IF($AM$4=1,$AJ29*Control!$D$77,0)</f>
        <v>0.4236753424657535</v>
      </c>
      <c r="AN29" s="562">
        <f>IF(((AD29-VLOOKUP(AA29,Control!$J$76:$K$82,2,FALSE))/AP29)&lt;=0,0,ROUNDUP(((AD29-VLOOKUP(AA29,Control!$J$76:$K$82,2,FALSE))/Control!$D$86),0)*IF(AP29=Control!$D$86,Control!$H$91,Control!$H$90)/AD29)</f>
        <v>0.89156626506024095</v>
      </c>
      <c r="AO29" s="557">
        <f>IF(K29="Corpus Christi",Control!$D$76,0)</f>
        <v>0</v>
      </c>
      <c r="AP29" s="557">
        <f>IF(AND(Control!$D$85-ROUNDUP(((AD29-VLOOKUP(AA29,Control!$J$76:$K$82,2,FALSE))),0)&gt;0,Control!$D$85-ROUNDUP(((AD29-VLOOKUP(AA29,Control!$J$76:$K$82,2,FALSE))),0)&lt;Control!$D$86-ROUNDUP(((AD29-VLOOKUP(AA29,Control!$J$76:$K$82,2,FALSE))),0)),Control!$D$85,Control!$D$86)</f>
        <v>750000</v>
      </c>
      <c r="AQ29" s="562">
        <f>Control!$D$78</f>
        <v>0</v>
      </c>
      <c r="AR29" s="562">
        <f>Control!$D$79</f>
        <v>6.7299999999999999E-2</v>
      </c>
      <c r="AS29" s="562">
        <f>IF(INDEX(Control!$Q$3:$S$62,MATCH($AB29,Control!$Q$3:$Q$62,0),MATCH(AS$8,Control!$Q$3:$S$3,0))=1,Control!$D$81*Control!$E$81,0)</f>
        <v>0.2</v>
      </c>
      <c r="AT29" s="562"/>
      <c r="AU29" s="562">
        <f>Control!$D$83/AD29</f>
        <v>0.14457831325301204</v>
      </c>
      <c r="AV29" s="562"/>
      <c r="AW29" s="561">
        <f t="shared" ref="AW29:AW32" si="54">SUM(AK29:AO29,AQ29:AV29)</f>
        <v>2.1608548605380427</v>
      </c>
      <c r="AX29" s="561">
        <f t="shared" ref="AX29:AX32" si="55">+T29+AG29+AW29</f>
        <v>28.666878956923583</v>
      </c>
      <c r="AY29" s="561">
        <f t="shared" ref="AY29:AY32" si="56">IF((MONTH(B29)=MONTH(BI29)),0,IF(((MONTH(BI29))-MONTH(B29))+12*YEAR(BH29)-YEAR(B29)&gt;1,SUMIFS($BE$4:$BI$4,$BE$3:$BI$3,"&lt;="&amp;EOMONTH(BH29,-1),$BE$3:$BI$3,"&gt;="&amp;EOMONTH(B29,0)),VLOOKUP("Spreads",$BD$3:$BI$4,MATCH(EOMONTH(B29,0),$BD$3:$BI$3,0))))</f>
        <v>0</v>
      </c>
      <c r="AZ29" s="588" t="e">
        <f t="shared" ref="AZ29:AZ31" si="57">+IF($BD$3=1,HLOOKUP(EOMONTH(BH29,0),$BE$3:$BI$6,4,FALSE),IF($BD$3=2,-HLOOKUP(EOMONTH(BH29,0),$BD$3:$BI$6,3,FALSE),0))</f>
        <v>#N/A</v>
      </c>
      <c r="BA29" s="563" t="e">
        <f>$E59+AX29+AY29+AZ29</f>
        <v>#N/A</v>
      </c>
      <c r="BD29" s="531">
        <f t="shared" ref="BD29:BD31" si="58">$BD$28</f>
        <v>54</v>
      </c>
      <c r="BE29" s="530">
        <f t="shared" si="32"/>
        <v>46248</v>
      </c>
      <c r="BF29" s="530">
        <f t="shared" si="38"/>
        <v>46250</v>
      </c>
      <c r="BG29" s="650" t="str">
        <f t="shared" si="39"/>
        <v>Dubai</v>
      </c>
      <c r="BH29" s="675">
        <f>BH28</f>
        <v>46234</v>
      </c>
      <c r="BI29" s="676">
        <f t="shared" ref="BI29" si="59">BH29</f>
        <v>46234</v>
      </c>
      <c r="BJ29" s="735">
        <f>AG29*AD29</f>
        <v>55000000</v>
      </c>
      <c r="BK29" s="735">
        <f>AK29*AD29</f>
        <v>900000</v>
      </c>
      <c r="BL29" s="735">
        <f t="shared" si="45"/>
        <v>1850000</v>
      </c>
      <c r="BM29" s="735">
        <f t="shared" si="46"/>
        <v>0</v>
      </c>
      <c r="BN29" s="735">
        <f t="shared" si="47"/>
        <v>879126.33561643853</v>
      </c>
      <c r="BO29" s="735">
        <f t="shared" si="48"/>
        <v>854647.49999999988</v>
      </c>
      <c r="BP29" s="778">
        <f t="shared" si="40"/>
        <v>57750000</v>
      </c>
      <c r="BQ29" s="778">
        <f t="shared" si="41"/>
        <v>57750000</v>
      </c>
    </row>
    <row r="30" spans="2:74" ht="18" customHeight="1" x14ac:dyDescent="0.35">
      <c r="B30" s="671">
        <f t="shared" ref="B30:C30" si="60">B29</f>
        <v>46191</v>
      </c>
      <c r="C30" s="551">
        <f t="shared" si="60"/>
        <v>46193</v>
      </c>
      <c r="D30" s="552"/>
      <c r="E30" s="552">
        <v>9</v>
      </c>
      <c r="F30" s="553">
        <f>IF(AN30=0,0,VLOOKUP(AA30,Control!$G$41:$J$44,4,FALSE))</f>
        <v>9</v>
      </c>
      <c r="G30" s="554">
        <f t="shared" si="25"/>
        <v>46201</v>
      </c>
      <c r="H30"/>
      <c r="I30"/>
      <c r="J30"/>
      <c r="K30"/>
      <c r="L30"/>
      <c r="M30"/>
      <c r="N30"/>
      <c r="O30"/>
      <c r="P30"/>
      <c r="Q30"/>
      <c r="R30"/>
      <c r="S30"/>
      <c r="V30" s="556">
        <v>0</v>
      </c>
      <c r="W30" s="556">
        <f>INDEX(Control!$E$17:$J$21,MATCH(AA30,Control!$E$17:$E$21,0),MATCH(X30,Control!$E$17:$J$17,0))</f>
        <v>0.5</v>
      </c>
      <c r="X30" s="556" t="s">
        <v>38</v>
      </c>
      <c r="Y30" s="557">
        <v>270000</v>
      </c>
      <c r="Z30" s="558">
        <f>AD30/Control!$D$84</f>
        <v>267073.15503432491</v>
      </c>
      <c r="AA30" s="559" t="s">
        <v>25</v>
      </c>
      <c r="AB30" s="572" t="s">
        <v>106</v>
      </c>
      <c r="AC30" s="556" t="str">
        <f t="shared" ref="AC30:AD30" si="61">AC44</f>
        <v>USGC/Singapore</v>
      </c>
      <c r="AD30" s="304">
        <f t="shared" si="61"/>
        <v>2075000</v>
      </c>
      <c r="AE30" s="557">
        <v>1001</v>
      </c>
      <c r="AF30" s="734">
        <f t="shared" si="51"/>
        <v>55000000</v>
      </c>
      <c r="AG30" s="561">
        <f t="shared" si="52"/>
        <v>26.506024096385541</v>
      </c>
      <c r="AH30" s="763">
        <v>2</v>
      </c>
      <c r="AI30" s="795">
        <f t="shared" si="53"/>
        <v>-9.5</v>
      </c>
      <c r="AJ30" s="796">
        <f>INDEX(Control!$AS$36:$AY$118,MATCH(Report!$AB30,Control!$AS$36:$AS$118,0),MATCH(Report!AJ$23,Control!$AS$36:$AY$36,0))</f>
        <v>38.5</v>
      </c>
      <c r="AK30" s="811">
        <f>AH30*VLOOKUP($AA30,Control!$F$75:$H$87,3,FALSE)/$AD30</f>
        <v>0.43373493975903615</v>
      </c>
      <c r="AL30" s="787">
        <f>IF($AM$3=1,$AI30*Control!$D$77,0)</f>
        <v>0</v>
      </c>
      <c r="AM30" s="788">
        <f>IF($AM$4=1,$AJ30*Control!$D$77,0)</f>
        <v>0.50189232876712331</v>
      </c>
      <c r="AN30" s="562">
        <f>AN28</f>
        <v>2.6746987951807228</v>
      </c>
      <c r="AO30" s="557">
        <f>IF(K30="Corpus Christi",Control!$D$76,0)</f>
        <v>0</v>
      </c>
      <c r="AP30" s="557">
        <f>IF(AND(Control!$D$85-ROUNDUP(((AD30-VLOOKUP(AA30,Control!$J$76:$K$82,2,FALSE))),0)&gt;0,Control!$D$85-ROUNDUP(((AD30-VLOOKUP(AA30,Control!$J$76:$K$82,2,FALSE))),0)&lt;Control!$D$86-ROUNDUP(((AD30-VLOOKUP(AA30,Control!$J$76:$K$82,2,FALSE))),0)),Control!$D$85,Control!$D$86)</f>
        <v>850000</v>
      </c>
      <c r="AQ30" s="562">
        <f>Control!$D$78</f>
        <v>0</v>
      </c>
      <c r="AR30" s="562">
        <f>Control!$D$79</f>
        <v>6.7299999999999999E-2</v>
      </c>
      <c r="AS30" s="562">
        <f>IF(INDEX(Control!$Q$3:$S$62,MATCH($AB30,Control!$Q$3:$Q$62,0),MATCH(AS$8,Control!$Q$3:$S$3,0))=1,Control!$D$81*Control!$E$81,0)</f>
        <v>0.2</v>
      </c>
      <c r="AT30" s="562"/>
      <c r="AU30" s="562">
        <f>Control!$D$83/AD30</f>
        <v>0.14457831325301204</v>
      </c>
      <c r="AV30" s="562"/>
      <c r="AW30" s="561">
        <f t="shared" si="54"/>
        <v>4.0222043769598939</v>
      </c>
      <c r="AX30" s="561">
        <f t="shared" si="55"/>
        <v>30.528228473345436</v>
      </c>
      <c r="AY30" s="561">
        <f t="shared" si="56"/>
        <v>0</v>
      </c>
      <c r="AZ30" s="588" t="e">
        <f t="shared" si="57"/>
        <v>#N/A</v>
      </c>
      <c r="BA30" s="563" t="e">
        <f>$E91+AX30+AY30+AZ30</f>
        <v>#N/A</v>
      </c>
      <c r="BB30" s="555"/>
      <c r="BC30" s="556"/>
      <c r="BD30" s="553">
        <f t="shared" si="58"/>
        <v>54</v>
      </c>
      <c r="BE30" s="551">
        <f t="shared" si="32"/>
        <v>46254</v>
      </c>
      <c r="BF30" s="551">
        <f t="shared" si="38"/>
        <v>46256</v>
      </c>
      <c r="BG30" s="651" t="str">
        <f t="shared" si="39"/>
        <v>Dubai</v>
      </c>
      <c r="BH30" s="564">
        <f>BH31</f>
        <v>46234</v>
      </c>
      <c r="BI30" s="672">
        <f t="shared" si="34"/>
        <v>46234</v>
      </c>
      <c r="BJ30" s="735">
        <f>AG30*AD30</f>
        <v>55000000</v>
      </c>
      <c r="BK30" s="735">
        <f>AK30*AD30</f>
        <v>900000</v>
      </c>
      <c r="BL30" s="735">
        <f t="shared" si="45"/>
        <v>5550000</v>
      </c>
      <c r="BM30" s="735">
        <f t="shared" si="46"/>
        <v>0</v>
      </c>
      <c r="BN30" s="735">
        <f t="shared" si="47"/>
        <v>1041426.5821917809</v>
      </c>
      <c r="BO30" s="735">
        <f t="shared" si="48"/>
        <v>854647.49999999895</v>
      </c>
      <c r="BP30" s="779">
        <f t="shared" si="40"/>
        <v>61450000</v>
      </c>
      <c r="BQ30" s="779">
        <f t="shared" si="41"/>
        <v>61450000</v>
      </c>
    </row>
    <row r="31" spans="2:74" ht="18" customHeight="1" x14ac:dyDescent="0.35">
      <c r="B31" s="671">
        <f t="shared" ref="B31:C31" si="62">B30</f>
        <v>46191</v>
      </c>
      <c r="C31" s="551">
        <f t="shared" si="62"/>
        <v>46193</v>
      </c>
      <c r="D31" s="275"/>
      <c r="E31" s="275">
        <v>3</v>
      </c>
      <c r="F31" s="679">
        <f>IF(AN31=0,0,VLOOKUP(AA31,Control!$G$41:$J$44,4,FALSE))</f>
        <v>3</v>
      </c>
      <c r="G31" s="680">
        <f t="shared" si="25"/>
        <v>46195</v>
      </c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351">
        <v>0</v>
      </c>
      <c r="W31" s="351" t="e">
        <f>INDEX(Control!$E$17:$J$21,MATCH(AA31,Control!$E$17:$E$21,0),MATCH(X31,Control!$E$17:$J$17,0))</f>
        <v>#N/A</v>
      </c>
      <c r="X31" s="351" t="s">
        <v>38</v>
      </c>
      <c r="Y31" s="344">
        <v>270000</v>
      </c>
      <c r="Z31" s="352">
        <f>AD31/Control!$D$84</f>
        <v>267073.15503432491</v>
      </c>
      <c r="AA31" s="559" t="s">
        <v>26</v>
      </c>
      <c r="AB31" s="572" t="s">
        <v>106</v>
      </c>
      <c r="AC31" s="556" t="str">
        <f t="shared" ref="AC31:AD31" si="63">AC45</f>
        <v>USGC/INDIA</v>
      </c>
      <c r="AD31" s="304">
        <f t="shared" si="63"/>
        <v>2075000</v>
      </c>
      <c r="AE31" s="557">
        <v>1001</v>
      </c>
      <c r="AF31" s="734">
        <f t="shared" si="51"/>
        <v>55000000</v>
      </c>
      <c r="AG31" s="561">
        <f t="shared" si="52"/>
        <v>26.506024096385541</v>
      </c>
      <c r="AH31" s="763">
        <v>2</v>
      </c>
      <c r="AI31" s="795">
        <f t="shared" si="53"/>
        <v>-9.5</v>
      </c>
      <c r="AJ31" s="796">
        <f>INDEX(Control!$AS$36:$AY$118,MATCH(Report!$AB31,Control!$AS$36:$AS$118,0),MATCH(Report!AJ$23,Control!$AS$36:$AY$36,0))-6</f>
        <v>32.5</v>
      </c>
      <c r="AK31" s="811">
        <f>AH31*VLOOKUP($AA31,Control!$F$75:$H$87,3,FALSE)/$AD31</f>
        <v>0.43373493975903615</v>
      </c>
      <c r="AL31" s="787">
        <f>IF($AM$3=1,$AI31*Control!$D$77,0)</f>
        <v>0</v>
      </c>
      <c r="AM31" s="788">
        <f>IF($AM$4=1,$AJ31*Control!$D$77,0)</f>
        <v>0.4236753424657535</v>
      </c>
      <c r="AN31" s="562">
        <f>IF(((AD31-VLOOKUP(AA31,Control!$J$76:$K$82,2,FALSE))/AP31)&lt;=0,0,ROUNDUP(((AD31-VLOOKUP(AA31,Control!$J$76:$K$82,2,FALSE))/Control!$D$86),0)*IF(AP31=Control!$D$86,Control!$H$91,Control!$H$90)/AD31)</f>
        <v>0.89156626506024095</v>
      </c>
      <c r="AO31" s="557">
        <f>IF(K31="Corpus Christi",Control!$D$76,0)</f>
        <v>0</v>
      </c>
      <c r="AP31" s="557">
        <f>IF(AND(Control!$D$85-ROUNDUP(((AD31-VLOOKUP(AA31,Control!$J$76:$K$82,2,FALSE))),0)&gt;0,Control!$D$85-ROUNDUP(((AD31-VLOOKUP(AA31,Control!$J$76:$K$82,2,FALSE))),0)&lt;Control!$D$86-ROUNDUP(((AD31-VLOOKUP(AA31,Control!$J$76:$K$82,2,FALSE))),0)),Control!$D$85,Control!$D$86)</f>
        <v>750000</v>
      </c>
      <c r="AQ31" s="562">
        <f>Control!$D$78</f>
        <v>0</v>
      </c>
      <c r="AR31" s="562">
        <f>Control!$D$79</f>
        <v>6.7299999999999999E-2</v>
      </c>
      <c r="AS31" s="562">
        <f>IF(INDEX(Control!$Q$3:$S$62,MATCH($AB31,Control!$Q$3:$Q$62,0),MATCH(AS$8,Control!$Q$3:$S$3,0))=1,Control!$D$81*Control!$E$81,0)</f>
        <v>0.2</v>
      </c>
      <c r="AT31" s="562"/>
      <c r="AU31" s="562">
        <f>Control!$D$83/AD31</f>
        <v>0.14457831325301204</v>
      </c>
      <c r="AV31" s="562"/>
      <c r="AW31" s="561">
        <f t="shared" si="54"/>
        <v>2.1608548605380427</v>
      </c>
      <c r="AX31" s="561">
        <f t="shared" si="55"/>
        <v>28.666878956923583</v>
      </c>
      <c r="AY31" s="561">
        <f t="shared" si="56"/>
        <v>0</v>
      </c>
      <c r="AZ31" s="588" t="e">
        <f t="shared" si="57"/>
        <v>#N/A</v>
      </c>
      <c r="BA31" s="563" t="e">
        <f>$E91+AX31+AY31+AZ31</f>
        <v>#N/A</v>
      </c>
      <c r="BB31" s="350"/>
      <c r="BC31" s="350"/>
      <c r="BD31" s="679">
        <f t="shared" si="58"/>
        <v>54</v>
      </c>
      <c r="BE31" s="678">
        <f t="shared" si="32"/>
        <v>46248</v>
      </c>
      <c r="BF31" s="678">
        <f t="shared" si="38"/>
        <v>46250</v>
      </c>
      <c r="BG31" s="756" t="str">
        <f t="shared" si="39"/>
        <v>Dubai</v>
      </c>
      <c r="BH31" s="757">
        <f t="shared" si="33"/>
        <v>46234</v>
      </c>
      <c r="BI31" s="690">
        <f t="shared" si="34"/>
        <v>46234</v>
      </c>
      <c r="BJ31" s="735">
        <f>AG31*AD31</f>
        <v>55000000</v>
      </c>
      <c r="BK31" s="735">
        <f>AK31*AD31</f>
        <v>900000</v>
      </c>
      <c r="BL31" s="735">
        <f t="shared" si="45"/>
        <v>1850000</v>
      </c>
      <c r="BM31" s="735">
        <f t="shared" si="46"/>
        <v>0</v>
      </c>
      <c r="BN31" s="735">
        <f t="shared" si="47"/>
        <v>879126.33561643853</v>
      </c>
      <c r="BO31" s="735">
        <f t="shared" si="48"/>
        <v>854647.49999999988</v>
      </c>
      <c r="BP31" s="780">
        <f t="shared" si="40"/>
        <v>57750000</v>
      </c>
      <c r="BQ31" s="780">
        <f t="shared" si="41"/>
        <v>57750000</v>
      </c>
    </row>
    <row r="32" spans="2:74" ht="18" customHeight="1" x14ac:dyDescent="0.35">
      <c r="B32" s="671">
        <f t="shared" ref="B32:B35" si="64">B27</f>
        <v>46191</v>
      </c>
      <c r="C32" s="551">
        <f t="shared" ref="C32:C35" si="65">C31</f>
        <v>46193</v>
      </c>
      <c r="D32" s="552"/>
      <c r="E32" s="552">
        <v>9</v>
      </c>
      <c r="F32" s="553">
        <f>IF(AN32=0,0,VLOOKUP(AA32,Control!$G$41:$J$44,4,FALSE))</f>
        <v>9</v>
      </c>
      <c r="G32" s="554">
        <f t="shared" ref="G32:G35" si="66">AVERAGE(B32:C32)+F32</f>
        <v>46201</v>
      </c>
      <c r="H32"/>
      <c r="I32"/>
      <c r="J32"/>
      <c r="K32"/>
      <c r="L32"/>
      <c r="M32"/>
      <c r="N32"/>
      <c r="O32"/>
      <c r="P32"/>
      <c r="Q32"/>
      <c r="R32"/>
      <c r="S32"/>
      <c r="V32" s="556">
        <v>0</v>
      </c>
      <c r="W32" s="556">
        <f>INDEX(Control!$E$17:$J$21,MATCH(AA32,Control!$E$17:$E$21,0),MATCH(X32,Control!$E$17:$J$17,0))</f>
        <v>0.5</v>
      </c>
      <c r="X32" s="556" t="s">
        <v>38</v>
      </c>
      <c r="Y32" s="557">
        <v>270000</v>
      </c>
      <c r="Z32" s="558">
        <f>AD32/Control!$D$84</f>
        <v>267073.15503432491</v>
      </c>
      <c r="AA32" s="559" t="s">
        <v>25</v>
      </c>
      <c r="AB32" s="572" t="s">
        <v>86</v>
      </c>
      <c r="AC32" s="556" t="str">
        <f>AC46</f>
        <v>USGC/KOREA</v>
      </c>
      <c r="AD32" s="304">
        <f>AD31</f>
        <v>2075000</v>
      </c>
      <c r="AE32" s="557">
        <v>1001</v>
      </c>
      <c r="AF32" s="734">
        <f>AF28-1000000</f>
        <v>54000000</v>
      </c>
      <c r="AG32" s="561">
        <f t="shared" si="52"/>
        <v>26.024096385542169</v>
      </c>
      <c r="AH32" s="763">
        <v>2</v>
      </c>
      <c r="AI32" s="795">
        <f>AI46</f>
        <v>-9.5</v>
      </c>
      <c r="AJ32" s="796">
        <f>INDEX(Control!$AS$36:$AY$118,MATCH(Report!$AB32,Control!$AS$36:$AS$118,0),MATCH(Report!AJ$23,Control!$AS$36:$AY$36,0))</f>
        <v>25.5</v>
      </c>
      <c r="AK32" s="811">
        <f>AH32*VLOOKUP($AA32,Control!$F$75:$H$87,3,FALSE)/$AD32</f>
        <v>0.43373493975903615</v>
      </c>
      <c r="AL32" s="787">
        <f>IF($AM$3=1,$AI32*Control!$D$77,0)</f>
        <v>0</v>
      </c>
      <c r="AM32" s="788">
        <f>IF($AM$4=1,$AJ32*Control!$D$77,0)</f>
        <v>0.33242219178082194</v>
      </c>
      <c r="AN32" s="562">
        <f>WTI!AL47</f>
        <v>2.6746987951807228</v>
      </c>
      <c r="AO32" s="557">
        <f>IF(K32="Corpus Christi",Control!$D$76,0)</f>
        <v>0</v>
      </c>
      <c r="AP32" s="557">
        <f>IF(AND(Control!$D$85-ROUNDUP(((AD32-VLOOKUP(AA32,Control!$J$76:$K$82,2,FALSE))),0)&gt;0,Control!$D$85-ROUNDUP(((AD32-VLOOKUP(AA32,Control!$J$76:$K$82,2,FALSE))),0)&lt;Control!$D$86-ROUNDUP(((AD32-VLOOKUP(AA32,Control!$J$76:$K$82,2,FALSE))),0)),Control!$D$85,Control!$D$86)</f>
        <v>850000</v>
      </c>
      <c r="AQ32" s="562">
        <f>Control!$D$78</f>
        <v>0</v>
      </c>
      <c r="AR32" s="562">
        <f>Control!$D$79</f>
        <v>6.7299999999999999E-2</v>
      </c>
      <c r="AS32" s="562">
        <f>IF(INDEX(Control!$Q$3:$S$62,MATCH($AB32,Control!$Q$3:$Q$62,0),MATCH(AS$8,Control!$Q$3:$S$3,0))=1,Control!$D$81*Control!$E$81,0)</f>
        <v>0.2</v>
      </c>
      <c r="AT32" s="562"/>
      <c r="AU32" s="562">
        <f>Control!$D$83/AD32</f>
        <v>0.14457831325301204</v>
      </c>
      <c r="AV32" s="562"/>
      <c r="AW32" s="561">
        <f t="shared" si="54"/>
        <v>3.8527342399735933</v>
      </c>
      <c r="AX32" s="561">
        <f t="shared" si="55"/>
        <v>29.876830625515762</v>
      </c>
      <c r="AY32" s="561">
        <f t="shared" si="56"/>
        <v>0</v>
      </c>
      <c r="AZ32" s="588" t="e">
        <f t="shared" ref="AZ32:AZ35" si="67">-HLOOKUP(EOMONTH(BH32,0),$BE$3:$BH$6,3,FALSE)</f>
        <v>#N/A</v>
      </c>
      <c r="BA32" s="563" t="e">
        <f>$E58+AX32+AY32+AZ32</f>
        <v>#N/A</v>
      </c>
      <c r="BB32" s="555"/>
      <c r="BC32" s="556"/>
      <c r="BD32" s="553">
        <f>WTI!BC46</f>
        <v>43</v>
      </c>
      <c r="BE32" s="551">
        <f t="shared" ref="BE32:BE35" si="68">IF(ISBLANK(B32),"",B32+$BD32+F32)</f>
        <v>46243</v>
      </c>
      <c r="BF32" s="551">
        <f t="shared" ref="BF32:BF35" si="69">BE32+2</f>
        <v>46245</v>
      </c>
      <c r="BG32" s="649" t="s">
        <v>157</v>
      </c>
      <c r="BH32" s="564">
        <f>BH33</f>
        <v>46234</v>
      </c>
      <c r="BI32" s="672">
        <f t="shared" ref="BI32" si="70">IF($BD$7=1,EOMONTH(BF32,-1),EOMONTH(BF32,0))</f>
        <v>46234</v>
      </c>
      <c r="BJ32" s="735"/>
      <c r="BK32" s="735"/>
      <c r="BL32" s="735"/>
      <c r="BM32" s="735"/>
      <c r="BN32" s="735"/>
      <c r="BO32" s="735"/>
      <c r="BP32" s="920"/>
      <c r="BQ32" s="920"/>
    </row>
    <row r="33" spans="2:74" ht="18" customHeight="1" x14ac:dyDescent="0.35">
      <c r="B33" s="673">
        <f t="shared" si="64"/>
        <v>46191</v>
      </c>
      <c r="C33" s="530">
        <f t="shared" si="65"/>
        <v>46193</v>
      </c>
      <c r="E33">
        <v>3</v>
      </c>
      <c r="F33" s="531">
        <f>IF(AN33=0,0,VLOOKUP(AA33,Control!$G$41:$J$44,4,FALSE))</f>
        <v>3</v>
      </c>
      <c r="G33" s="532">
        <f t="shared" si="66"/>
        <v>46195</v>
      </c>
      <c r="H33"/>
      <c r="I33"/>
      <c r="J33"/>
      <c r="K33"/>
      <c r="L33"/>
      <c r="M33"/>
      <c r="N33"/>
      <c r="O33"/>
      <c r="P33"/>
      <c r="Q33"/>
      <c r="R33"/>
      <c r="S33"/>
      <c r="V33" s="138">
        <v>0</v>
      </c>
      <c r="W33" s="138" t="e">
        <f>INDEX(Control!$E$17:$J$21,MATCH(AA33,Control!$E$17:$E$21,0),MATCH(X33,Control!$E$17:$J$17,0))</f>
        <v>#N/A</v>
      </c>
      <c r="X33" s="138" t="s">
        <v>38</v>
      </c>
      <c r="Y33" s="526">
        <v>270000</v>
      </c>
      <c r="Z33" s="527">
        <f>AD33/Control!$D$84</f>
        <v>267073.15503432491</v>
      </c>
      <c r="AA33" s="559" t="s">
        <v>26</v>
      </c>
      <c r="AB33" s="572" t="s">
        <v>86</v>
      </c>
      <c r="AC33" s="556">
        <f t="shared" ref="AC33" si="71">AC47</f>
        <v>0</v>
      </c>
      <c r="AD33" s="304">
        <f>AD32</f>
        <v>2075000</v>
      </c>
      <c r="AE33" s="557">
        <v>1001</v>
      </c>
      <c r="AF33" s="734">
        <f t="shared" ref="AF33:AF35" si="72">AF32</f>
        <v>54000000</v>
      </c>
      <c r="AG33" s="561">
        <f t="shared" ref="AG33:AG35" si="73">IF(AE33&gt;1000,IF(AF33=0,AE33,AF33)/AD33,((Y33*V33*(IF(AF33=0,AE33,AF33)/100))+IF(Z33&lt;Y33,0,(Z33-Y33)*V33*IF(AF33=0,AE33,AF33)/100*W33))/AD33)</f>
        <v>26.024096385542169</v>
      </c>
      <c r="AH33" s="763">
        <v>2</v>
      </c>
      <c r="AI33" s="795">
        <f t="shared" si="53"/>
        <v>0</v>
      </c>
      <c r="AJ33" s="796">
        <f>INDEX(Control!$AS$36:$AY$118,MATCH(Report!$AB33,Control!$AS$36:$AS$118,0),MATCH(Report!AJ$23,Control!$AS$36:$AY$36,0))-6</f>
        <v>19.5</v>
      </c>
      <c r="AK33" s="811">
        <f>AH33*VLOOKUP($AA33,Control!$F$75:$H$87,3,FALSE)/$AD33</f>
        <v>0.43373493975903615</v>
      </c>
      <c r="AL33" s="787">
        <f>IF($AM$3=1,$AI33*Control!$D$77,0)</f>
        <v>0</v>
      </c>
      <c r="AM33" s="788">
        <f>IF($AM$4=1,$AJ33*Control!$D$77,0)</f>
        <v>0.25420520547945208</v>
      </c>
      <c r="AN33" s="562">
        <f>IF(((AD33-VLOOKUP(AA33,Control!$J$76:$K$82,2,FALSE))/AP33)&lt;=0,0,ROUNDUP(((AD33-VLOOKUP(AA33,Control!$J$76:$K$82,2,FALSE))/Control!$D$86),0)*IF(AP33=Control!$D$86,Control!$H$91,Control!$H$90)/AD33)</f>
        <v>0.89156626506024095</v>
      </c>
      <c r="AO33" s="557">
        <f>IF(K33="Corpus Christi",Control!$D$76,0)</f>
        <v>0</v>
      </c>
      <c r="AP33" s="557">
        <f>IF(AND(Control!$D$85-ROUNDUP(((AD33-VLOOKUP(AA33,Control!$J$76:$K$82,2,FALSE))),0)&gt;0,Control!$D$85-ROUNDUP(((AD33-VLOOKUP(AA33,Control!$J$76:$K$82,2,FALSE))),0)&lt;Control!$D$86-ROUNDUP(((AD33-VLOOKUP(AA33,Control!$J$76:$K$82,2,FALSE))),0)),Control!$D$85,Control!$D$86)</f>
        <v>750000</v>
      </c>
      <c r="AQ33" s="562">
        <f>Control!$D$78</f>
        <v>0</v>
      </c>
      <c r="AR33" s="562">
        <f>Control!$D$79</f>
        <v>6.7299999999999999E-2</v>
      </c>
      <c r="AS33" s="562">
        <f>IF(INDEX(Control!$Q$3:$S$62,MATCH($AB33,Control!$Q$3:$Q$62,0),MATCH(AS$8,Control!$Q$3:$S$3,0))=1,Control!$D$81*Control!$E$81,0)</f>
        <v>0.2</v>
      </c>
      <c r="AT33" s="562"/>
      <c r="AU33" s="562">
        <f>Control!$D$83/AD33</f>
        <v>0.14457831325301204</v>
      </c>
      <c r="AV33" s="562"/>
      <c r="AW33" s="561">
        <f t="shared" ref="AW33:AW35" si="74">SUM(AK33:AO33,AQ33:AV33)</f>
        <v>1.991384723551741</v>
      </c>
      <c r="AX33" s="561">
        <f t="shared" ref="AX33:AX35" si="75">+T33+AG33+AW33</f>
        <v>28.015481109093908</v>
      </c>
      <c r="AY33" s="561">
        <f t="shared" ref="AY33:AY35" si="76">IF((MONTH(B33)=MONTH(BI33)),0,IF(((MONTH(BI33))-MONTH(B33))+12*YEAR(BH33)-YEAR(B33)&gt;1,SUMIFS($BE$4:$BI$4,$BE$3:$BI$3,"&lt;="&amp;EOMONTH(BH33,-1),$BE$3:$BI$3,"&gt;="&amp;EOMONTH(B33,0)),VLOOKUP("Spreads",$BD$3:$BI$4,MATCH(EOMONTH(B33,0),$BD$3:$BI$3,0))))</f>
        <v>0</v>
      </c>
      <c r="AZ33" s="588" t="e">
        <f t="shared" si="67"/>
        <v>#N/A</v>
      </c>
      <c r="BA33" s="563" t="e">
        <f>$E59+AX33+AY33+AZ33</f>
        <v>#N/A</v>
      </c>
      <c r="BD33" s="531">
        <f t="shared" ref="BD33:BD35" si="77">$BD$32</f>
        <v>43</v>
      </c>
      <c r="BE33" s="530">
        <f t="shared" si="68"/>
        <v>46237</v>
      </c>
      <c r="BF33" s="530">
        <f t="shared" si="69"/>
        <v>46239</v>
      </c>
      <c r="BG33" s="650" t="s">
        <v>157</v>
      </c>
      <c r="BH33" s="675">
        <f>IF($BI$7=0,IF(BG33="ICE Brent",EOMONTH(BF33,2),EOMONTH(BF33,0)),IF(BG33="ICE Brent",EOMONTH(BF33,1),EOMONTH(BF33,-1)))</f>
        <v>46234</v>
      </c>
      <c r="BI33" s="676">
        <f t="shared" ref="BI33" si="78">BH33</f>
        <v>46234</v>
      </c>
      <c r="BJ33" s="735"/>
      <c r="BK33" s="735"/>
      <c r="BL33" s="735"/>
      <c r="BM33" s="735"/>
      <c r="BN33" s="735"/>
      <c r="BO33" s="735"/>
      <c r="BP33" s="920"/>
      <c r="BQ33" s="920"/>
    </row>
    <row r="34" spans="2:74" ht="18" customHeight="1" x14ac:dyDescent="0.35">
      <c r="B34" s="671">
        <f t="shared" si="64"/>
        <v>46191</v>
      </c>
      <c r="C34" s="551">
        <f t="shared" si="65"/>
        <v>46193</v>
      </c>
      <c r="D34" s="552"/>
      <c r="E34" s="552">
        <v>9</v>
      </c>
      <c r="F34" s="553">
        <f>IF(AN34=0,0,VLOOKUP(AA34,Control!$G$41:$J$44,4,FALSE))</f>
        <v>9</v>
      </c>
      <c r="G34" s="554">
        <f t="shared" si="66"/>
        <v>46201</v>
      </c>
      <c r="H34"/>
      <c r="I34"/>
      <c r="J34"/>
      <c r="K34"/>
      <c r="L34"/>
      <c r="M34"/>
      <c r="N34"/>
      <c r="O34"/>
      <c r="P34"/>
      <c r="Q34"/>
      <c r="R34"/>
      <c r="S34"/>
      <c r="V34" s="556">
        <v>0</v>
      </c>
      <c r="W34" s="556">
        <f>INDEX(Control!$E$17:$J$21,MATCH(AA34,Control!$E$17:$E$21,0),MATCH(X34,Control!$E$17:$J$17,0))</f>
        <v>0.5</v>
      </c>
      <c r="X34" s="556" t="s">
        <v>38</v>
      </c>
      <c r="Y34" s="557">
        <v>270000</v>
      </c>
      <c r="Z34" s="558">
        <f>AD34/Control!$D$84</f>
        <v>267073.15503432491</v>
      </c>
      <c r="AA34" s="559" t="s">
        <v>25</v>
      </c>
      <c r="AB34" s="572" t="s">
        <v>86</v>
      </c>
      <c r="AC34" s="556" t="str">
        <f t="shared" ref="AC34" si="79">AC48</f>
        <v>Route</v>
      </c>
      <c r="AD34" s="304">
        <f>AD33</f>
        <v>2075000</v>
      </c>
      <c r="AE34" s="557">
        <v>1001</v>
      </c>
      <c r="AF34" s="734">
        <f t="shared" si="72"/>
        <v>54000000</v>
      </c>
      <c r="AG34" s="561">
        <f t="shared" si="73"/>
        <v>26.024096385542169</v>
      </c>
      <c r="AH34" s="763">
        <v>2</v>
      </c>
      <c r="AI34" s="795" t="str">
        <f t="shared" si="53"/>
        <v>ATA TVM</v>
      </c>
      <c r="AJ34" s="796">
        <f>INDEX(Control!$AS$36:$AY$118,MATCH(Report!$AB34,Control!$AS$36:$AS$118,0),MATCH(Report!AJ$23,Control!$AS$36:$AY$36,0))</f>
        <v>25.5</v>
      </c>
      <c r="AK34" s="811">
        <f>AH34*VLOOKUP($AA34,Control!$F$75:$H$87,3,FALSE)/$AD34</f>
        <v>0.43373493975903615</v>
      </c>
      <c r="AL34" s="787">
        <f>IF($AM$3=1,$AI34*Control!$D$77,0)</f>
        <v>0</v>
      </c>
      <c r="AM34" s="788">
        <f>IF($AM$4=1,$AJ34*Control!$D$77,0)</f>
        <v>0.33242219178082194</v>
      </c>
      <c r="AN34" s="562">
        <f>AN32</f>
        <v>2.6746987951807228</v>
      </c>
      <c r="AO34" s="557">
        <f>IF(K34="Corpus Christi",Control!$D$76,0)</f>
        <v>0</v>
      </c>
      <c r="AP34" s="557">
        <f>IF(AND(Control!$D$85-ROUNDUP(((AD34-VLOOKUP(AA34,Control!$J$76:$K$82,2,FALSE))),0)&gt;0,Control!$D$85-ROUNDUP(((AD34-VLOOKUP(AA34,Control!$J$76:$K$82,2,FALSE))),0)&lt;Control!$D$86-ROUNDUP(((AD34-VLOOKUP(AA34,Control!$J$76:$K$82,2,FALSE))),0)),Control!$D$85,Control!$D$86)</f>
        <v>850000</v>
      </c>
      <c r="AQ34" s="562">
        <f>Control!$D$78</f>
        <v>0</v>
      </c>
      <c r="AR34" s="562">
        <f>Control!$D$79</f>
        <v>6.7299999999999999E-2</v>
      </c>
      <c r="AS34" s="562">
        <f>IF(INDEX(Control!$Q$3:$S$62,MATCH($AB34,Control!$Q$3:$Q$62,0),MATCH(AS$8,Control!$Q$3:$S$3,0))=1,Control!$D$81*Control!$E$81,0)</f>
        <v>0.2</v>
      </c>
      <c r="AT34" s="562"/>
      <c r="AU34" s="562">
        <f>Control!$D$83/AD34</f>
        <v>0.14457831325301204</v>
      </c>
      <c r="AV34" s="562"/>
      <c r="AW34" s="561">
        <f t="shared" si="74"/>
        <v>3.8527342399735933</v>
      </c>
      <c r="AX34" s="561">
        <f t="shared" si="75"/>
        <v>29.876830625515762</v>
      </c>
      <c r="AY34" s="561">
        <f t="shared" si="76"/>
        <v>0</v>
      </c>
      <c r="AZ34" s="588" t="e">
        <f t="shared" si="67"/>
        <v>#N/A</v>
      </c>
      <c r="BA34" s="563" t="e">
        <f>$E93+AX34+AY34+AZ34</f>
        <v>#N/A</v>
      </c>
      <c r="BB34" s="555"/>
      <c r="BC34" s="556"/>
      <c r="BD34" s="553">
        <f t="shared" si="77"/>
        <v>43</v>
      </c>
      <c r="BE34" s="551">
        <f t="shared" si="68"/>
        <v>46243</v>
      </c>
      <c r="BF34" s="551">
        <f t="shared" si="69"/>
        <v>46245</v>
      </c>
      <c r="BG34" s="651" t="s">
        <v>157</v>
      </c>
      <c r="BH34" s="564">
        <f>BH35</f>
        <v>46234</v>
      </c>
      <c r="BI34" s="672">
        <f t="shared" ref="BI34:BI35" si="80">IF($BD$7=1,EOMONTH(BF34,-1),EOMONTH(BF34,0))</f>
        <v>46234</v>
      </c>
      <c r="BJ34" s="735"/>
      <c r="BK34" s="735"/>
      <c r="BL34" s="735"/>
      <c r="BM34" s="735"/>
      <c r="BN34" s="735"/>
      <c r="BO34" s="735"/>
      <c r="BP34" s="920"/>
      <c r="BQ34" s="920"/>
    </row>
    <row r="35" spans="2:74" ht="18" customHeight="1" thickBot="1" x14ac:dyDescent="0.4">
      <c r="B35" s="677">
        <f t="shared" si="64"/>
        <v>46191</v>
      </c>
      <c r="C35" s="678">
        <f t="shared" si="65"/>
        <v>46193</v>
      </c>
      <c r="D35" s="275"/>
      <c r="E35" s="275">
        <v>3</v>
      </c>
      <c r="F35" s="679">
        <f>IF(AN35=0,0,VLOOKUP(AA35,Control!$G$41:$J$44,4,FALSE))</f>
        <v>3</v>
      </c>
      <c r="G35" s="680">
        <f t="shared" si="66"/>
        <v>46195</v>
      </c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351">
        <v>0</v>
      </c>
      <c r="W35" s="351" t="e">
        <f>INDEX(Control!$E$17:$J$21,MATCH(AA35,Control!$E$17:$E$21,0),MATCH(X35,Control!$E$17:$J$17,0))</f>
        <v>#N/A</v>
      </c>
      <c r="X35" s="351" t="s">
        <v>38</v>
      </c>
      <c r="Y35" s="344">
        <v>270000</v>
      </c>
      <c r="Z35" s="352">
        <f>AD35/Control!$D$84</f>
        <v>267073.15503432491</v>
      </c>
      <c r="AA35" s="559" t="s">
        <v>26</v>
      </c>
      <c r="AB35" s="572" t="s">
        <v>86</v>
      </c>
      <c r="AC35" s="556" t="str">
        <f t="shared" ref="AC35" si="81">AC49</f>
        <v>USGC/Nsea</v>
      </c>
      <c r="AD35" s="304">
        <f>AD34</f>
        <v>2075000</v>
      </c>
      <c r="AE35" s="557">
        <v>1001</v>
      </c>
      <c r="AF35" s="734">
        <f t="shared" si="72"/>
        <v>54000000</v>
      </c>
      <c r="AG35" s="561">
        <f t="shared" si="73"/>
        <v>26.024096385542169</v>
      </c>
      <c r="AH35" s="763">
        <v>2</v>
      </c>
      <c r="AI35" s="795">
        <f t="shared" si="53"/>
        <v>-10</v>
      </c>
      <c r="AJ35" s="796">
        <f>INDEX(Control!$AS$36:$AY$118,MATCH(Report!$AB35,Control!$AS$36:$AS$118,0),MATCH(Report!AJ$23,Control!$AS$36:$AY$36,0))-6</f>
        <v>19.5</v>
      </c>
      <c r="AK35" s="811">
        <f>AH35*VLOOKUP($AA35,Control!$F$75:$H$87,3,FALSE)/$AD35</f>
        <v>0.43373493975903615</v>
      </c>
      <c r="AL35" s="787">
        <f>IF($AM$3=1,$AI35*Control!$D$77,0)</f>
        <v>0</v>
      </c>
      <c r="AM35" s="788">
        <f>IF($AM$4=1,$AJ35*Control!$D$77,0)</f>
        <v>0.25420520547945208</v>
      </c>
      <c r="AN35" s="562">
        <f>IF(((AD35-VLOOKUP(AA35,Control!$J$76:$K$82,2,FALSE))/AP35)&lt;=0,0,ROUNDUP(((AD35-VLOOKUP(AA35,Control!$J$76:$K$82,2,FALSE))/Control!$D$86),0)*IF(AP35=Control!$D$86,Control!$H$91,Control!$H$90)/AD35)</f>
        <v>0.89156626506024095</v>
      </c>
      <c r="AO35" s="557">
        <f>IF(K35="Corpus Christi",Control!$D$76,0)</f>
        <v>0</v>
      </c>
      <c r="AP35" s="557">
        <f>IF(AND(Control!$D$85-ROUNDUP(((AD35-VLOOKUP(AA35,Control!$J$76:$K$82,2,FALSE))),0)&gt;0,Control!$D$85-ROUNDUP(((AD35-VLOOKUP(AA35,Control!$J$76:$K$82,2,FALSE))),0)&lt;Control!$D$86-ROUNDUP(((AD35-VLOOKUP(AA35,Control!$J$76:$K$82,2,FALSE))),0)),Control!$D$85,Control!$D$86)</f>
        <v>750000</v>
      </c>
      <c r="AQ35" s="562">
        <f>Control!$D$78</f>
        <v>0</v>
      </c>
      <c r="AR35" s="562">
        <f>Control!$D$79</f>
        <v>6.7299999999999999E-2</v>
      </c>
      <c r="AS35" s="562">
        <f>IF(INDEX(Control!$Q$3:$S$62,MATCH($AB35,Control!$Q$3:$Q$62,0),MATCH(AS$8,Control!$Q$3:$S$3,0))=1,Control!$D$81*Control!$E$81,0)</f>
        <v>0.2</v>
      </c>
      <c r="AT35" s="562"/>
      <c r="AU35" s="562">
        <f>Control!$D$83/AD35</f>
        <v>0.14457831325301204</v>
      </c>
      <c r="AV35" s="562"/>
      <c r="AW35" s="561">
        <f t="shared" si="74"/>
        <v>1.991384723551741</v>
      </c>
      <c r="AX35" s="561">
        <f t="shared" si="75"/>
        <v>28.015481109093908</v>
      </c>
      <c r="AY35" s="561">
        <f t="shared" si="76"/>
        <v>0</v>
      </c>
      <c r="AZ35" s="588" t="e">
        <f t="shared" si="67"/>
        <v>#N/A</v>
      </c>
      <c r="BA35" s="563" t="e">
        <f>$E94+AX35+AY35+AZ35</f>
        <v>#N/A</v>
      </c>
      <c r="BB35" s="350"/>
      <c r="BC35" s="350"/>
      <c r="BD35" s="679">
        <f t="shared" si="77"/>
        <v>43</v>
      </c>
      <c r="BE35" s="678">
        <f t="shared" si="68"/>
        <v>46237</v>
      </c>
      <c r="BF35" s="678">
        <f t="shared" si="69"/>
        <v>46239</v>
      </c>
      <c r="BG35" s="756" t="s">
        <v>157</v>
      </c>
      <c r="BH35" s="757">
        <f t="shared" ref="BH35" si="82">IF($BD$7=0,IF(BG35="ICE Brent",EOMONTH(BF35,2),EOMONTH(BF35,0)),IF(BG35="ICE Brent",EOMONTH(BF35,1),EOMONTH(BF35,-1)))</f>
        <v>46234</v>
      </c>
      <c r="BI35" s="690">
        <f t="shared" si="80"/>
        <v>46234</v>
      </c>
      <c r="BJ35" s="735"/>
      <c r="BK35" s="735"/>
      <c r="BL35" s="735"/>
      <c r="BM35" s="735"/>
      <c r="BN35" s="735"/>
      <c r="BO35" s="735"/>
      <c r="BP35" s="920"/>
      <c r="BQ35" s="920"/>
    </row>
    <row r="36" spans="2:74" ht="18" customHeight="1" thickBot="1" x14ac:dyDescent="0.5">
      <c r="B36" s="535"/>
      <c r="C36" s="530"/>
      <c r="F36" s="531"/>
      <c r="G36" s="532"/>
      <c r="H36"/>
      <c r="I36"/>
      <c r="J36"/>
      <c r="K36"/>
      <c r="L36"/>
      <c r="M36"/>
      <c r="N36"/>
      <c r="O36"/>
      <c r="P36"/>
      <c r="Q36"/>
      <c r="R36"/>
      <c r="S36"/>
      <c r="V36" s="138"/>
      <c r="W36" s="138"/>
      <c r="X36" s="138"/>
      <c r="Y36" s="526"/>
      <c r="Z36" s="527"/>
      <c r="AA36" s="1022" t="s">
        <v>256</v>
      </c>
      <c r="AB36" s="1023"/>
      <c r="AC36" s="1023"/>
      <c r="AD36" s="1023"/>
      <c r="AE36" s="1023"/>
      <c r="AF36" s="1023"/>
      <c r="AG36" s="1023"/>
      <c r="AH36" s="1023"/>
      <c r="AI36" s="1024"/>
      <c r="AJ36" s="1024"/>
      <c r="AK36" s="1023"/>
      <c r="AL36" s="1024"/>
      <c r="AM36" s="1024"/>
      <c r="AN36" s="1023"/>
      <c r="AO36" s="1023"/>
      <c r="AP36" s="1023"/>
      <c r="AQ36" s="1023"/>
      <c r="AR36" s="1023"/>
      <c r="AS36" s="1023"/>
      <c r="AT36" s="1023"/>
      <c r="AU36" s="1023"/>
      <c r="AV36" s="1023"/>
      <c r="AW36" s="1023"/>
      <c r="AX36" s="1023"/>
      <c r="AY36" s="1023"/>
      <c r="AZ36" s="1023"/>
      <c r="BA36" s="1025"/>
      <c r="BB36" s="529"/>
      <c r="BC36" s="529"/>
      <c r="BD36" s="531"/>
      <c r="BE36" s="530"/>
      <c r="BF36" s="530"/>
      <c r="BG36" s="530"/>
      <c r="BH36" s="658"/>
      <c r="BI36" s="536"/>
      <c r="BJ36" s="735"/>
      <c r="BK36" s="735"/>
      <c r="BL36" s="735"/>
      <c r="BM36" s="735"/>
      <c r="BN36" s="735"/>
      <c r="BO36" s="735"/>
      <c r="BP36" s="267">
        <f t="shared" si="40"/>
        <v>0</v>
      </c>
      <c r="BQ36" s="267"/>
    </row>
    <row r="37" spans="2:74" ht="18" hidden="1" customHeight="1" thickBot="1" x14ac:dyDescent="0.4">
      <c r="B37" s="677">
        <f t="shared" si="35"/>
        <v>45795</v>
      </c>
      <c r="C37" s="678">
        <f t="shared" ref="C37" si="83">IF(ISBLANK(B37),"",B37+2)</f>
        <v>45797</v>
      </c>
      <c r="D37" s="275"/>
      <c r="E37" s="275"/>
      <c r="F37" s="679" t="e">
        <f>#REF!</f>
        <v>#REF!</v>
      </c>
      <c r="G37" s="680" t="e">
        <f t="shared" ref="G37" si="84">AVERAGE(B37:C37)+F37</f>
        <v>#REF!</v>
      </c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351">
        <v>0</v>
      </c>
      <c r="W37" s="351" t="e">
        <f>INDEX(Control!$E$17:$J$21,MATCH(AA37,Control!$E$17:$E$21,0),MATCH(X37,Control!$E$17:$J$17,0))</f>
        <v>#N/A</v>
      </c>
      <c r="X37" s="351" t="s">
        <v>41</v>
      </c>
      <c r="Y37" s="344">
        <v>270000</v>
      </c>
      <c r="Z37" s="352" t="e">
        <f>AD37/Control!$D$84</f>
        <v>#REF!</v>
      </c>
      <c r="AA37" s="681" t="s">
        <v>27</v>
      </c>
      <c r="AB37" s="682" t="s">
        <v>43</v>
      </c>
      <c r="AC37" s="351">
        <f>AC47</f>
        <v>0</v>
      </c>
      <c r="AD37" s="344" t="e">
        <f>#REF!</f>
        <v>#REF!</v>
      </c>
      <c r="AE37" s="344">
        <v>1001</v>
      </c>
      <c r="AF37" s="683" t="e">
        <f>#REF!</f>
        <v>#REF!</v>
      </c>
      <c r="AG37" s="684" t="e">
        <f t="shared" ref="AG37" si="85">IF(AE37&gt;1000,IF(AF37=0,AE37,AF37)/AD37,((Y37*V37*(IF(AF37=0,AE37,AF37)/100))+IF(Z37&lt;Y37,0,(Z37-Y37)*V37*IF(AF37=0,AE37,AF37)/100*W37))/AD37)</f>
        <v>#REF!</v>
      </c>
      <c r="AH37" s="685">
        <v>2</v>
      </c>
      <c r="AI37" s="344" t="e">
        <f>#REF!</f>
        <v>#REF!</v>
      </c>
      <c r="AJ37" s="344"/>
      <c r="AK37" s="352" t="e">
        <f>AH37*VLOOKUP($AA37,Control!$F$75:$H$87,3,FALSE)/$AD37</f>
        <v>#REF!</v>
      </c>
      <c r="AL37" s="686" t="e">
        <f>$AI37*Control!$D$77</f>
        <v>#REF!</v>
      </c>
      <c r="AM37" s="686"/>
      <c r="AN37" s="686" t="e">
        <f>IF(((AD37-VLOOKUP(AA37,Control!$J$76:$K$82,2,FALSE))/AP37)&lt;=0,0,ROUNDUP(((AD37-VLOOKUP(AA37,Control!$J$76:$K$82,2,FALSE))/Control!$D$86),0)*IF(AP37=Control!$D$86,Control!$H$91,Control!$H$90)/AD37)</f>
        <v>#REF!</v>
      </c>
      <c r="AO37" s="686">
        <f>IF(K37="Corpus Christi",Control!$D$76,0)</f>
        <v>0</v>
      </c>
      <c r="AP37" s="687" t="e">
        <f>IF(AND(Control!$D$85-ROUNDUP(((AD37-VLOOKUP(AA37,Control!$J$76:$K$82,2,FALSE))),0)&gt;0,Control!$D$85-ROUNDUP(((AD37-VLOOKUP(AA37,Control!$J$76:$K$82,2,FALSE))),0)&lt;Control!$D$86-ROUNDUP(((AD37-VLOOKUP(AA37,Control!$J$76:$K$82,2,FALSE))),0)),Control!$D$85,Control!$D$86)</f>
        <v>#REF!</v>
      </c>
      <c r="AQ37" s="686">
        <f>Control!$D$78</f>
        <v>0</v>
      </c>
      <c r="AR37" s="686">
        <f>Control!$D$79</f>
        <v>6.7299999999999999E-2</v>
      </c>
      <c r="AS37" s="686" t="e">
        <f>#REF!</f>
        <v>#REF!</v>
      </c>
      <c r="AT37" s="686"/>
      <c r="AU37" s="686" t="e">
        <f>Control!$D$83/AD37</f>
        <v>#REF!</v>
      </c>
      <c r="AV37" s="686"/>
      <c r="AW37" s="684" t="e">
        <f t="shared" ref="AW37" si="86">SUM(AK37:AO37,AQ37:AV37)</f>
        <v>#REF!</v>
      </c>
      <c r="AX37" s="684" t="e">
        <f t="shared" ref="AX37" si="87">+T37+AG37+AW37</f>
        <v>#REF!</v>
      </c>
      <c r="AY37" s="684" t="e">
        <f t="shared" ref="AY37" si="88">IF((MONTH(B37)=MONTH(BI37)),0,IF(((MONTH(BI37))-MONTH(B37))+12*YEAR(BH37)-YEAR(B37)&gt;1,SUMIFS($BE$4:$BH$4,$BE$3:$BH$3,"&lt;="&amp;EOMONTH(BH37,-1),$BE$3:$BH$3,"&gt;="&amp;EOMONTH(B37,0)),VLOOKUP("Spreads",$BD$3:$BH$4,MATCH(EOMONTH(B37,0),$BD$3:$BH$3,0))))</f>
        <v>#REF!</v>
      </c>
      <c r="AZ37" s="684" t="e">
        <f t="shared" si="37"/>
        <v>#REF!</v>
      </c>
      <c r="BA37" s="688" t="e">
        <f t="shared" ref="BA37" si="89">$AA$3+AX37+AY37+AZ37</f>
        <v>#REF!</v>
      </c>
      <c r="BB37" s="350"/>
      <c r="BC37" s="350"/>
      <c r="BD37" s="679" t="e">
        <f>#REF!</f>
        <v>#REF!</v>
      </c>
      <c r="BE37" s="678" t="e">
        <f t="shared" ref="BE37" si="90">IF(ISBLANK(B37),"",B37+$BD37+F37)</f>
        <v>#REF!</v>
      </c>
      <c r="BF37" s="678" t="e">
        <f t="shared" ref="BF37" si="91">BE37+2</f>
        <v>#REF!</v>
      </c>
      <c r="BG37" s="678" t="str">
        <f t="shared" si="39"/>
        <v>Dubai</v>
      </c>
      <c r="BH37" s="689" t="e">
        <f t="shared" ref="BH37" si="92">IF($BD$7=0,IF(BG37="ICE Brent",EOMONTH(BF37,2),EOMONTH(BF37,0)),IF(BG37="ICE Brent",EOMONTH(BF37,1),EOMONTH(BF37,-1)))</f>
        <v>#REF!</v>
      </c>
      <c r="BI37" s="690" t="e">
        <f t="shared" ref="BI37" si="93">IF($BD$7=1,EOMONTH(BF37,-1),EOMONTH(BF37,0))</f>
        <v>#REF!</v>
      </c>
      <c r="BL37" s="735" t="e">
        <f t="shared" si="45"/>
        <v>#REF!</v>
      </c>
      <c r="BM37" s="735" t="e">
        <f t="shared" si="46"/>
        <v>#REF!</v>
      </c>
      <c r="BN37" s="735" t="e">
        <f t="shared" si="47"/>
        <v>#REF!</v>
      </c>
      <c r="BO37" s="735" t="e">
        <f t="shared" si="48"/>
        <v>#REF!</v>
      </c>
      <c r="BP37" s="735" t="e">
        <f t="shared" si="40"/>
        <v>#REF!</v>
      </c>
      <c r="BQ37" s="769" t="e">
        <f t="shared" si="41"/>
        <v>#REF!</v>
      </c>
      <c r="BU37" s="3"/>
    </row>
    <row r="38" spans="2:74" ht="18" hidden="1" customHeight="1" thickBot="1" x14ac:dyDescent="0.5">
      <c r="B38" s="530"/>
      <c r="C38" s="530"/>
      <c r="F38" s="531"/>
      <c r="G38" s="532"/>
      <c r="H38"/>
      <c r="I38"/>
      <c r="J38"/>
      <c r="K38"/>
      <c r="L38"/>
      <c r="M38"/>
      <c r="N38"/>
      <c r="O38"/>
      <c r="P38"/>
      <c r="Q38"/>
      <c r="R38"/>
      <c r="S38"/>
      <c r="V38" s="138"/>
      <c r="W38" s="138"/>
      <c r="X38" s="138"/>
      <c r="Y38" s="526"/>
      <c r="Z38" s="527"/>
      <c r="AA38" s="1022" t="s">
        <v>218</v>
      </c>
      <c r="AB38" s="1023"/>
      <c r="AC38" s="1023"/>
      <c r="AD38" s="1023"/>
      <c r="AE38" s="1023"/>
      <c r="AF38" s="1023"/>
      <c r="AG38" s="1023"/>
      <c r="AH38" s="1023"/>
      <c r="AI38" s="1023"/>
      <c r="AJ38" s="1023"/>
      <c r="AK38" s="1023"/>
      <c r="AL38" s="1023"/>
      <c r="AM38" s="1023"/>
      <c r="AN38" s="1023"/>
      <c r="AO38" s="1023"/>
      <c r="AP38" s="1023"/>
      <c r="AQ38" s="1023"/>
      <c r="AR38" s="1023"/>
      <c r="AS38" s="1023"/>
      <c r="AT38" s="1023"/>
      <c r="AU38" s="1023"/>
      <c r="AV38" s="1023"/>
      <c r="AW38" s="1023"/>
      <c r="AX38" s="1023"/>
      <c r="AY38" s="1023"/>
      <c r="AZ38" s="1023"/>
      <c r="BA38" s="1025"/>
      <c r="BB38" s="529"/>
      <c r="BC38" s="529"/>
      <c r="BD38" s="529"/>
      <c r="BE38" s="530"/>
      <c r="BF38" s="530"/>
      <c r="BG38" s="530"/>
      <c r="BH38" s="658"/>
      <c r="BI38" s="658"/>
      <c r="BJ38" s="735"/>
      <c r="BK38" s="735"/>
      <c r="BL38" s="735"/>
      <c r="BM38" s="735"/>
      <c r="BN38" s="735"/>
      <c r="BO38" s="735"/>
      <c r="BP38" s="735">
        <f t="shared" si="40"/>
        <v>0</v>
      </c>
      <c r="BQ38" s="735"/>
      <c r="BR38" s="735"/>
      <c r="BU38" s="3">
        <v>7323624</v>
      </c>
      <c r="BV38" s="2">
        <v>8423085</v>
      </c>
    </row>
    <row r="39" spans="2:74" ht="18" hidden="1" customHeight="1" x14ac:dyDescent="0.35">
      <c r="B39" s="319">
        <f t="shared" si="35"/>
        <v>45795</v>
      </c>
      <c r="C39" s="320">
        <f t="shared" ref="C39:C43" si="94">IF(ISBLANK(B39),"",B39+2)</f>
        <v>45797</v>
      </c>
      <c r="D39" s="270"/>
      <c r="E39" s="270"/>
      <c r="F39" s="338">
        <f>IF(AN39=0,0,VLOOKUP(AA39,Control!$G$41:$J$44,4,FALSE))</f>
        <v>9</v>
      </c>
      <c r="G39" s="515">
        <f t="shared" ref="G39:G42" si="95">AVERAGE(B39:C39)+F39</f>
        <v>45805</v>
      </c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330">
        <f>INDEX('[2]Flat Rates 2025'!$A:$DZ,MATCH(X39,'[2]Flat Rates 2025'!$A:$A,0),MATCH(AB39,'[2]Flat Rates 2025'!$A$1:$DZ$1,0))</f>
        <v>0</v>
      </c>
      <c r="W39" s="330">
        <f>INDEX(Control!$E$17:$J$21,MATCH(AA39,Control!$E$17:$E$21,0),MATCH(X39,Control!$E$17:$J$17,0))</f>
        <v>0.5</v>
      </c>
      <c r="X39" s="330" t="s">
        <v>45</v>
      </c>
      <c r="Y39" s="323">
        <f>INDEX(Vessel_Minimum_MT,MATCH(AA39,Control!$E$11:$E$15,0),MATCH(X39,Control!$E$11:$J$11,0))</f>
        <v>270000</v>
      </c>
      <c r="Z39" s="331">
        <f>AD39/Control!$D$84</f>
        <v>257419.90846681921</v>
      </c>
      <c r="AA39" s="258" t="s">
        <v>25</v>
      </c>
      <c r="AB39" s="311" t="s">
        <v>51</v>
      </c>
      <c r="AC39" s="311" t="str">
        <f t="shared" ref="AC39:AC42" si="96">IF(AB39=X39,"",CONCATENATE(CONCATENATE(VLOOKUP(X39,Zones,2,FALSE),"/",VLOOKUP(AB39,Zones,2,FALSE))))</f>
        <v>USGC/JAPAN</v>
      </c>
      <c r="AD39" s="312">
        <v>2000000</v>
      </c>
      <c r="AE39" s="312">
        <v>1001</v>
      </c>
      <c r="AF39" s="524">
        <f>AF42</f>
        <v>8000000</v>
      </c>
      <c r="AG39" s="314">
        <f t="shared" ref="AG39:AG42" si="97">IF(AE39&gt;1000,IF(AF39=0,AE39,AF39)/AD39,((Y39*V39*(IF(AF39=0,AE39,AF39)/100))+IF(Z39&lt;Y39,0,(Z39-Y39)*V39*IF(AF39=0,AE39,AF39)/100*W39))/AD39)</f>
        <v>4</v>
      </c>
      <c r="AH39" s="765">
        <v>5</v>
      </c>
      <c r="AI39" s="815">
        <f>INDEX(Control!$AS$36:$AY$118,MATCH(Report!$AB39,Control!$AS$36:$AS$118,0),MATCH(Report!AI$23,Control!$AS$36:$AY$36,0))</f>
        <v>-9.5</v>
      </c>
      <c r="AJ39" s="816">
        <f>INDEX(Control!$AS$36:$AY$118,MATCH(Report!$AB39,Control!$AS$36:$AS$118,0),MATCH(Report!AJ$23,Control!$AS$36:$AY$36,0))</f>
        <v>36.5</v>
      </c>
      <c r="AK39" s="814">
        <f>AH39*VLOOKUP($AA39,Control!$F$75:$H$87,3,FALSE)/$AD39</f>
        <v>1.125</v>
      </c>
      <c r="AL39" s="817">
        <f>IF($AM$3=1,$AI39*Control!$D$77,0)</f>
        <v>0</v>
      </c>
      <c r="AM39" s="818">
        <f>IF($AM$4=1,$AJ39*Control!$D$77,0)</f>
        <v>0.47582000000000008</v>
      </c>
      <c r="AN39" s="316">
        <f>IF(((AD39-VLOOKUP(AA39,Control!$J$76:$K$80,2,FALSE))/Control!$D$85)&lt;=0,0,ROUNDUP(((AD39-VLOOKUP(AA39,Control!$J$76:$K$80,2,FALSE))/Control!$D$85),0)*Control!$H$90/AD39)</f>
        <v>2.7749999999999999</v>
      </c>
      <c r="AO39" s="316">
        <f>IF(K39="Corpus Christi",Control!$D$76,0)</f>
        <v>0</v>
      </c>
      <c r="AP39" s="316">
        <v>0</v>
      </c>
      <c r="AQ39" s="316">
        <f>Control!$D$78</f>
        <v>0</v>
      </c>
      <c r="AR39" s="316">
        <f>Control!$D$79</f>
        <v>6.7299999999999999E-2</v>
      </c>
      <c r="AS39" s="316">
        <f>IF(INDEX(Control!$Q$3:$S$62,MATCH($AB39,Control!$Q$3:$Q$62,0),MATCH(AS$8,Control!$Q$3:$S$3,0))=1,Control!$D$81*Control!$E$81,0)</f>
        <v>0.2</v>
      </c>
      <c r="AT39" s="316"/>
      <c r="AU39" s="316">
        <f>IF(AND(AA39="VLCC",Control!$K$79=1200000),Control!$D$83/AD39,0)</f>
        <v>0</v>
      </c>
      <c r="AV39" s="316"/>
      <c r="AW39" s="314">
        <f t="shared" ref="AW39:AW46" si="98">SUM(AK39:AV39)</f>
        <v>4.6431200000000006</v>
      </c>
      <c r="AX39" s="314">
        <f t="shared" si="29"/>
        <v>8.6431199999999997</v>
      </c>
      <c r="AY39" s="314">
        <f t="shared" ref="AY39:AY46" si="99">IF((MONTH(B39)=MONTH(BI39)),0,IF(((MONTH(BI39))-MONTH(B39))+12*YEAR(BH39)-YEAR(B39)&gt;1,SUMIFS($BE$4:$BI$4,$BE$3:$BI$3,"&lt;="&amp;EOMONTH(BH39,-1),$BE$3:$BI$3,"&gt;="&amp;EOMONTH(B39,0)),VLOOKUP("Spreads",$BD$3:$BI$4,MATCH(EOMONTH(B39,0),$BD$3:$BI$3,0))))</f>
        <v>0</v>
      </c>
      <c r="AZ39" s="845" t="e">
        <f t="shared" si="37"/>
        <v>#N/A</v>
      </c>
      <c r="BA39" s="500" t="e">
        <f t="shared" si="31"/>
        <v>#N/A</v>
      </c>
      <c r="BB39" s="329"/>
      <c r="BC39" s="330"/>
      <c r="BD39" s="338">
        <f>+INDEX('[1]Transit Time'!$A:$DZ,MATCH(X39,'[1]Transit Time'!$A:$A,0),MATCH(AB39,'[1]Transit Time'!$A$1:$DZ$1,0))</f>
        <v>52</v>
      </c>
      <c r="BE39" s="320">
        <f t="shared" si="32"/>
        <v>45856</v>
      </c>
      <c r="BF39" s="320">
        <f t="shared" ref="BF39:BF42" si="100">BE39+2</f>
        <v>45858</v>
      </c>
      <c r="BG39" s="320" t="str">
        <f t="shared" si="39"/>
        <v>Dubai</v>
      </c>
      <c r="BH39" s="694">
        <f t="shared" si="33"/>
        <v>45838</v>
      </c>
      <c r="BI39" s="491">
        <f t="shared" si="34"/>
        <v>45838</v>
      </c>
      <c r="BJ39" s="735">
        <f t="shared" ref="BJ39:BJ46" si="101">AG39*AD39</f>
        <v>8000000</v>
      </c>
      <c r="BK39" s="735">
        <f t="shared" ref="BK39:BK46" si="102">AK39*AD39</f>
        <v>2250000</v>
      </c>
      <c r="BL39" s="735">
        <f t="shared" si="45"/>
        <v>5550000</v>
      </c>
      <c r="BM39" s="735">
        <f t="shared" si="46"/>
        <v>0</v>
      </c>
      <c r="BN39" s="735">
        <f t="shared" si="47"/>
        <v>951640.00000000012</v>
      </c>
      <c r="BO39" s="735">
        <f t="shared" si="48"/>
        <v>534600.00000000105</v>
      </c>
      <c r="BP39" s="770">
        <f t="shared" si="40"/>
        <v>15800000</v>
      </c>
      <c r="BQ39" s="770">
        <f t="shared" si="41"/>
        <v>15800000</v>
      </c>
      <c r="BU39" s="2">
        <v>8964648</v>
      </c>
    </row>
    <row r="40" spans="2:74" ht="18" hidden="1" customHeight="1" x14ac:dyDescent="0.35">
      <c r="B40" s="695">
        <f t="shared" si="35"/>
        <v>45795</v>
      </c>
      <c r="C40" s="163">
        <f t="shared" si="94"/>
        <v>45797</v>
      </c>
      <c r="F40" s="153">
        <f>IF(AN40=0,0,VLOOKUP(AA40,Control!$G$41:$J$44,4,FALSE))</f>
        <v>3</v>
      </c>
      <c r="G40" s="518">
        <f t="shared" si="95"/>
        <v>45799</v>
      </c>
      <c r="H40"/>
      <c r="I40"/>
      <c r="J40"/>
      <c r="K40"/>
      <c r="L40"/>
      <c r="M40"/>
      <c r="N40"/>
      <c r="O40"/>
      <c r="P40"/>
      <c r="Q40"/>
      <c r="R40"/>
      <c r="S40"/>
      <c r="V40" s="138">
        <f>INDEX('[2]Flat Rates 2025'!$A:$DZ,MATCH(X40,'[2]Flat Rates 2025'!$A:$A,0),MATCH(AB40,'[2]Flat Rates 2025'!$A$1:$DZ$1,0))</f>
        <v>0</v>
      </c>
      <c r="W40" s="138">
        <f>INDEX(Control!$E$17:$J$21,MATCH(AA40,Control!$E$17:$E$21,0),MATCH(X40,Control!$E$17:$J$17,0))</f>
        <v>0.5</v>
      </c>
      <c r="X40" s="138" t="s">
        <v>45</v>
      </c>
      <c r="Y40" s="526">
        <f>INDEX(Vessel_Minimum_MT,MATCH(AA40,Control!$E$11:$E$15,0),MATCH(X40,Control!$E$11:$J$11,0))</f>
        <v>145000</v>
      </c>
      <c r="Z40" s="527">
        <f>AD40/Control!$D$84</f>
        <v>128709.9542334096</v>
      </c>
      <c r="AA40" s="147" t="s">
        <v>24</v>
      </c>
      <c r="AB40" s="142" t="s">
        <v>114</v>
      </c>
      <c r="AC40" s="142" t="str">
        <f t="shared" si="96"/>
        <v>USGC/Singapore</v>
      </c>
      <c r="AD40" s="15">
        <v>1000000</v>
      </c>
      <c r="AE40" s="141">
        <v>1001</v>
      </c>
      <c r="AF40" s="481">
        <v>5350000</v>
      </c>
      <c r="AG40" s="149">
        <f t="shared" si="97"/>
        <v>5.35</v>
      </c>
      <c r="AH40" s="17">
        <f>$AH$37</f>
        <v>2</v>
      </c>
      <c r="AI40" s="804">
        <f>INDEX(Control!$AS$36:$AY$118,MATCH(Report!$AB40,Control!$AS$36:$AS$118,0),MATCH(Report!AI$23,Control!$AS$36:$AY$36,0))</f>
        <v>-9.5</v>
      </c>
      <c r="AJ40" s="805">
        <f>INDEX(Control!$AS$36:$AY$118,MATCH(Report!$AB40,Control!$AS$36:$AS$118,0),MATCH(Report!AJ$23,Control!$AS$36:$AY$36,0))-6</f>
        <v>22.5</v>
      </c>
      <c r="AK40" s="812">
        <f>AH40*VLOOKUP($AA40,Control!$F$75:$H$87,3,FALSE)/$AD40</f>
        <v>0.19</v>
      </c>
      <c r="AL40" s="803">
        <f>IF($AM$3=1,$AI40*Control!$D$77,0)</f>
        <v>0</v>
      </c>
      <c r="AM40" s="790">
        <f>IF($AM$4=1,$AJ40*Control!$D$77,0)</f>
        <v>0.29331369863013701</v>
      </c>
      <c r="AN40" s="143">
        <f>IF(((AD40-VLOOKUP(AA40,Control!$J$76:$K$82,2,FALSE))/Control!$D$85)&lt;=0,0,ROUNDUP(((AD40-VLOOKUP(AA40,Control!$J$76:$K$82,2,FALSE))/Control!$D$85),0)*Control!$H$90/AD40)</f>
        <v>1.85</v>
      </c>
      <c r="AO40" s="143">
        <f>IF(K40="Corpus Christi",Control!$D$76,0)</f>
        <v>0</v>
      </c>
      <c r="AP40" s="143">
        <v>0</v>
      </c>
      <c r="AQ40" s="143">
        <f>Control!$D$78</f>
        <v>0</v>
      </c>
      <c r="AR40" s="143">
        <f>Control!$D$79</f>
        <v>6.7299999999999999E-2</v>
      </c>
      <c r="AS40" s="143">
        <f>IF(INDEX(Control!$Q$3:$S$62,MATCH($AB40,Control!$Q$3:$Q$62,0),MATCH(AS$8,Control!$Q$3:$S$3,0))=1,Control!$D$81*Control!$E$81,0)</f>
        <v>0.2</v>
      </c>
      <c r="AT40" s="143"/>
      <c r="AU40" s="143">
        <f>IF(AND(AA40="VLCC",Control!$K$79=1200000),Control!$D$83/AD40,0)</f>
        <v>0</v>
      </c>
      <c r="AV40" s="143"/>
      <c r="AW40" s="149">
        <f t="shared" si="98"/>
        <v>2.6006136986301374</v>
      </c>
      <c r="AX40" s="199">
        <f t="shared" si="29"/>
        <v>7.9506136986301374</v>
      </c>
      <c r="AY40" s="199">
        <f t="shared" si="99"/>
        <v>0</v>
      </c>
      <c r="AZ40" s="847" t="e">
        <f t="shared" ref="AZ40:AZ41" si="103">-HLOOKUP(EOMONTH(BH40,0),$BD$3:$BI$6,3,FALSE)</f>
        <v>#N/A</v>
      </c>
      <c r="BA40" s="499" t="e">
        <f t="shared" si="31"/>
        <v>#N/A</v>
      </c>
      <c r="BD40" s="153">
        <f>+INDEX('[1]Transit Time'!$A:$DZ,MATCH(X40,'[1]Transit Time'!$A:$A,0),MATCH(AB40,'[1]Transit Time'!$A$1:$DZ$1,0))</f>
        <v>44</v>
      </c>
      <c r="BE40" s="163">
        <f t="shared" si="32"/>
        <v>45842</v>
      </c>
      <c r="BF40" s="163">
        <f t="shared" si="100"/>
        <v>45844</v>
      </c>
      <c r="BG40" s="163" t="str">
        <f>BG43</f>
        <v>Dated</v>
      </c>
      <c r="BH40" s="490">
        <f t="shared" si="33"/>
        <v>45838</v>
      </c>
      <c r="BI40" s="696">
        <f t="shared" si="34"/>
        <v>45838</v>
      </c>
      <c r="BJ40" s="735">
        <f t="shared" si="101"/>
        <v>5350000</v>
      </c>
      <c r="BK40" s="735">
        <f t="shared" si="102"/>
        <v>190000</v>
      </c>
      <c r="BL40" s="735">
        <f t="shared" si="45"/>
        <v>1850000</v>
      </c>
      <c r="BM40" s="735">
        <f t="shared" si="46"/>
        <v>0</v>
      </c>
      <c r="BN40" s="735">
        <f t="shared" si="47"/>
        <v>293313.69863013702</v>
      </c>
      <c r="BO40" s="735">
        <f t="shared" si="48"/>
        <v>267300.00000000023</v>
      </c>
      <c r="BP40" s="771">
        <f t="shared" si="40"/>
        <v>7390000</v>
      </c>
      <c r="BQ40" s="771">
        <f t="shared" si="41"/>
        <v>7390000</v>
      </c>
    </row>
    <row r="41" spans="2:74" ht="18" hidden="1" customHeight="1" thickBot="1" x14ac:dyDescent="0.4">
      <c r="B41" s="697">
        <f t="shared" si="35"/>
        <v>45795</v>
      </c>
      <c r="C41" s="230">
        <f>IF(ISBLANK(B41),"",B41+2)</f>
        <v>45797</v>
      </c>
      <c r="D41" s="210"/>
      <c r="E41" s="210"/>
      <c r="F41" s="229" t="e">
        <f>IF(AN41=0,0,VLOOKUP(AA41,Control!$G$41:$J$44,4,FALSE))</f>
        <v>#N/A</v>
      </c>
      <c r="G41" s="519" t="e">
        <f>AVERAGE(B41:C41)+F41</f>
        <v>#N/A</v>
      </c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20">
        <f>INDEX('[2]Flat Rates 2025'!$A:$DZ,MATCH(X41,'[2]Flat Rates 2025'!$A:$A,0),MATCH(AB41,'[2]Flat Rates 2025'!$A$1:$DZ$1,0))</f>
        <v>0</v>
      </c>
      <c r="W41" s="220" t="e">
        <f>INDEX(Control!$E$17:$J$21,MATCH(AA41,Control!$E$17:$E$21,0),MATCH(X41,Control!$E$17:$J$17,0))</f>
        <v>#N/A</v>
      </c>
      <c r="X41" s="220" t="s">
        <v>45</v>
      </c>
      <c r="Y41" s="524" t="e">
        <f>INDEX(Vessel_Minimum_MT,MATCH(AA41,Control!$E$11:$E$15,0),MATCH(X41,Control!$E$11:$J$11,0))</f>
        <v>#N/A</v>
      </c>
      <c r="Z41" s="525">
        <f>AD41/Control!$D$84</f>
        <v>128709.9542334096</v>
      </c>
      <c r="AA41" s="215" t="s">
        <v>28</v>
      </c>
      <c r="AB41" s="311" t="s">
        <v>86</v>
      </c>
      <c r="AC41" s="212" t="str">
        <f>IF(AB41=X41,"",CONCATENATE(CONCATENATE(VLOOKUP(X41,Zones,2,FALSE),"/",VLOOKUP(AB41,Zones,2,FALSE))))</f>
        <v>USGC/INDIA</v>
      </c>
      <c r="AD41" s="312">
        <v>1000000</v>
      </c>
      <c r="AE41" s="214">
        <v>1001</v>
      </c>
      <c r="AF41" s="262">
        <f>AF40</f>
        <v>5350000</v>
      </c>
      <c r="AG41" s="225">
        <f>IF(AE41&gt;1000,IF(AF41=0,AE41,AF41)/AD41,((Y41*V41*(IF(AF41=0,AE41,AF41)/100))+IF(Z41&lt;Y41,0,(Z41-Y41)*V41*IF(AF41=0,AE41,AF41)/100*W41))/AD41)</f>
        <v>5.35</v>
      </c>
      <c r="AH41" s="765">
        <f>$AH$37</f>
        <v>2</v>
      </c>
      <c r="AI41" s="806">
        <f>INDEX(Control!$AS$36:$AY$118,MATCH(Report!$AB41,Control!$AS$36:$AS$118,0),MATCH(Report!AI$23,Control!$AS$36:$AY$36,0))</f>
        <v>-9.5</v>
      </c>
      <c r="AJ41" s="807">
        <f>INDEX(Control!$AS$36:$AY$118,MATCH(Report!$AB41,Control!$AS$36:$AS$118,0),MATCH(Report!AJ$23,Control!$AS$36:$AY$36,0))-9</f>
        <v>16.5</v>
      </c>
      <c r="AK41" s="819">
        <f>AH41*VLOOKUP($AA41,Control!$F$75:$H$87,3,FALSE)/$AD41</f>
        <v>0.19</v>
      </c>
      <c r="AL41" s="820">
        <f>IF($AM$3=1,$AI41*Control!$D$77,0)</f>
        <v>0</v>
      </c>
      <c r="AM41" s="821">
        <f>IF($AM$4=1,$AJ41*Control!$D$77,0)</f>
        <v>0.21509671232876715</v>
      </c>
      <c r="AN41" s="227">
        <f>AN59</f>
        <v>0.90243902439024393</v>
      </c>
      <c r="AO41" s="227">
        <f>IF(K41="Corpus Christi",Control!$D$76,0)</f>
        <v>0</v>
      </c>
      <c r="AP41" s="227">
        <v>0</v>
      </c>
      <c r="AQ41" s="227">
        <f>Control!$D$78</f>
        <v>0</v>
      </c>
      <c r="AR41" s="227">
        <f>Control!$D$79</f>
        <v>6.7299999999999999E-2</v>
      </c>
      <c r="AS41" s="227">
        <f>IF(INDEX(Control!$Q$3:$S$62,MATCH($AB41,Control!$Q$3:$Q$62,0),MATCH(AS$8,Control!$Q$3:$S$3,0))=1,Control!$D$81*Control!$E$81,0)</f>
        <v>0.2</v>
      </c>
      <c r="AT41" s="227"/>
      <c r="AU41" s="227">
        <f>IF(AND(AA41="VLCC",Control!$K$79=1200000),Control!$D$83/AD41,0)</f>
        <v>0</v>
      </c>
      <c r="AV41" s="227"/>
      <c r="AW41" s="225">
        <f>SUM(AK41:AV41)</f>
        <v>1.5748357367190109</v>
      </c>
      <c r="AX41" s="314">
        <f>+T41+AG41+AW41</f>
        <v>6.924835736719011</v>
      </c>
      <c r="AY41" s="314" t="e">
        <f t="shared" si="99"/>
        <v>#N/A</v>
      </c>
      <c r="AZ41" s="652" t="e">
        <f t="shared" si="103"/>
        <v>#N/A</v>
      </c>
      <c r="BA41" s="498" t="e">
        <f>$AA$3+AX41+AY41+AZ41</f>
        <v>#N/A</v>
      </c>
      <c r="BB41" s="220"/>
      <c r="BC41" s="220"/>
      <c r="BD41" s="229">
        <f>+INDEX('[1]Transit Time'!$A:$DZ,MATCH(X41,'[1]Transit Time'!$A:$A,0),MATCH(AB41,'[1]Transit Time'!$A$1:$DZ$1,0))</f>
        <v>41</v>
      </c>
      <c r="BE41" s="230" t="e">
        <f>IF(ISBLANK(B41),"",B41+$BD41+F41)</f>
        <v>#N/A</v>
      </c>
      <c r="BF41" s="230" t="e">
        <f>BE41+2</f>
        <v>#N/A</v>
      </c>
      <c r="BG41" s="822" t="str">
        <f>BG45</f>
        <v>Dated</v>
      </c>
      <c r="BH41" s="489" t="e">
        <f t="shared" si="33"/>
        <v>#N/A</v>
      </c>
      <c r="BI41" s="698" t="e">
        <f t="shared" si="34"/>
        <v>#N/A</v>
      </c>
      <c r="BJ41" s="735">
        <f>AG41*AD41</f>
        <v>5350000</v>
      </c>
      <c r="BK41" s="735">
        <f>AK41*AD41</f>
        <v>190000</v>
      </c>
      <c r="BL41" s="735">
        <f t="shared" si="45"/>
        <v>902439.02439024393</v>
      </c>
      <c r="BM41" s="735">
        <f t="shared" si="46"/>
        <v>0</v>
      </c>
      <c r="BN41" s="735">
        <f t="shared" si="47"/>
        <v>215096.71232876714</v>
      </c>
      <c r="BO41" s="735">
        <f t="shared" si="48"/>
        <v>267299.99999999983</v>
      </c>
      <c r="BP41" s="771">
        <f>SUM(BJ41:BM41)</f>
        <v>6442439.0243902439</v>
      </c>
      <c r="BQ41" s="771">
        <f>BP41-BM41</f>
        <v>6442439.0243902439</v>
      </c>
    </row>
    <row r="42" spans="2:74" ht="18" hidden="1" customHeight="1" thickBot="1" x14ac:dyDescent="0.4">
      <c r="B42" s="823">
        <f t="shared" si="35"/>
        <v>45795</v>
      </c>
      <c r="C42" s="824">
        <f t="shared" si="94"/>
        <v>45797</v>
      </c>
      <c r="D42" s="364"/>
      <c r="E42" s="364"/>
      <c r="F42" s="825">
        <f>IF(AN42=0,0,VLOOKUP(AA42,Control!$G$41:$J$44,4,FALSE))</f>
        <v>9</v>
      </c>
      <c r="G42" s="826">
        <f t="shared" si="95"/>
        <v>45805</v>
      </c>
      <c r="H42" s="364"/>
      <c r="I42" s="364"/>
      <c r="J42" s="364"/>
      <c r="K42" s="364"/>
      <c r="L42" s="364"/>
      <c r="M42" s="364"/>
      <c r="N42" s="364"/>
      <c r="O42" s="364"/>
      <c r="P42" s="364"/>
      <c r="Q42" s="364"/>
      <c r="R42" s="364"/>
      <c r="S42" s="364"/>
      <c r="T42" s="364"/>
      <c r="U42" s="364"/>
      <c r="V42" s="365">
        <f>INDEX('[2]Flat Rates 2025'!$A:$DZ,MATCH(X42,'[2]Flat Rates 2025'!$A:$A,0),MATCH(AB42,'[2]Flat Rates 2025'!$A$1:$DZ$1,0))</f>
        <v>0</v>
      </c>
      <c r="W42" s="365">
        <f>INDEX(Control!$E$17:$J$21,MATCH(AA42,Control!$E$17:$E$21,0),MATCH(X42,Control!$E$17:$J$17,0))</f>
        <v>0.5</v>
      </c>
      <c r="X42" s="365" t="s">
        <v>45</v>
      </c>
      <c r="Y42" s="827">
        <f>INDEX(Vessel_Minimum_MT,MATCH(AA42,Control!$E$11:$E$15,0),MATCH(X42,Control!$E$11:$J$11,0))</f>
        <v>270000</v>
      </c>
      <c r="Z42" s="828">
        <f>AD42/Control!$D$84</f>
        <v>267073.15503432491</v>
      </c>
      <c r="AA42" s="829" t="s">
        <v>25</v>
      </c>
      <c r="AB42" s="575" t="s">
        <v>106</v>
      </c>
      <c r="AC42" s="830" t="str">
        <f t="shared" si="96"/>
        <v>USGC/KOREA</v>
      </c>
      <c r="AD42" s="831">
        <v>2075000</v>
      </c>
      <c r="AE42" s="832">
        <v>1001</v>
      </c>
      <c r="AF42" s="833">
        <v>8000000</v>
      </c>
      <c r="AG42" s="834">
        <f t="shared" si="97"/>
        <v>3.8554216867469879</v>
      </c>
      <c r="AH42" s="835">
        <v>5</v>
      </c>
      <c r="AI42" s="836">
        <f>INDEX(Control!$AS$36:$AY$118,MATCH(Report!$AB42,Control!$AS$36:$AS$118,0),MATCH(Report!AI$23,Control!$AS$36:$AY$36,0))</f>
        <v>-9.5</v>
      </c>
      <c r="AJ42" s="837">
        <f>INDEX(Control!$AS$36:$AY$118,MATCH(Report!$AB42,Control!$AS$36:$AS$118,0),MATCH(Report!AJ$23,Control!$AS$36:$AY$36,0))</f>
        <v>38.5</v>
      </c>
      <c r="AK42" s="838">
        <f>AH42*VLOOKUP($AA42,Control!$F$75:$H$87,3,FALSE)/$AD42</f>
        <v>1.0843373493975903</v>
      </c>
      <c r="AL42" s="839">
        <f>IF($AM$3=1,$AI42*Control!$D$77,0)</f>
        <v>0</v>
      </c>
      <c r="AM42" s="840">
        <f>IF($AM$4=1,$AJ42*Control!$D$77,0)</f>
        <v>0.50189232876712331</v>
      </c>
      <c r="AN42" s="841">
        <f>IF(((AD42-VLOOKUP(AA42,Control!$J$76:$K$80,2,FALSE))/Control!$D$85)&lt;=0,0,ROUNDUP(((AD42-VLOOKUP(AA42,Control!$J$76:$K$80,2,FALSE))/Control!$D$85),0)*Control!$H$90/AD42)</f>
        <v>2.6746987951807228</v>
      </c>
      <c r="AO42" s="841">
        <f>IF(K42="Corpus Christi",Control!$D$76,0)</f>
        <v>0</v>
      </c>
      <c r="AP42" s="841">
        <v>0</v>
      </c>
      <c r="AQ42" s="841">
        <f>Control!$D$78</f>
        <v>0</v>
      </c>
      <c r="AR42" s="841">
        <f>Control!$D$79</f>
        <v>6.7299999999999999E-2</v>
      </c>
      <c r="AS42" s="841">
        <f>IF(INDEX(Control!$Q$3:$S$62,MATCH($AB42,Control!$Q$3:$Q$62,0),MATCH(AS$8,Control!$Q$3:$S$3,0))=1,Control!$D$81*Control!$E$81,0)</f>
        <v>0.2</v>
      </c>
      <c r="AT42" s="841"/>
      <c r="AU42" s="841">
        <f>IF(AND(AA42="VLCC",Control!$K$79=1200000),Control!$D$83/AD42,0)</f>
        <v>0</v>
      </c>
      <c r="AV42" s="841"/>
      <c r="AW42" s="834">
        <f t="shared" si="98"/>
        <v>4.528228473345437</v>
      </c>
      <c r="AX42" s="834">
        <f t="shared" si="29"/>
        <v>8.3836501600924258</v>
      </c>
      <c r="AY42" s="834">
        <f t="shared" si="99"/>
        <v>0</v>
      </c>
      <c r="AZ42" s="846" t="e">
        <f>+IF($BD$3=1,HLOOKUP(EOMONTH(BH42,0),$BE$3:$BI$6,4,FALSE),IF($BD$3=2,-HLOOKUP(EOMONTH(BH42,0),$BD$3:$BI$6,3,FALSE),0))</f>
        <v>#N/A</v>
      </c>
      <c r="BA42" s="502" t="e">
        <f t="shared" si="31"/>
        <v>#N/A</v>
      </c>
      <c r="BB42" s="365"/>
      <c r="BC42" s="365"/>
      <c r="BD42" s="825">
        <f>+INDEX('[1]Transit Time'!$A:$DZ,MATCH(X42,'[1]Transit Time'!$A:$A,0),MATCH(AB42,'[1]Transit Time'!$A$1:$DZ$1,0))</f>
        <v>54</v>
      </c>
      <c r="BE42" s="824">
        <f t="shared" si="32"/>
        <v>45858</v>
      </c>
      <c r="BF42" s="824">
        <f t="shared" si="100"/>
        <v>45860</v>
      </c>
      <c r="BG42" s="842" t="str">
        <f t="shared" si="39"/>
        <v>Dubai</v>
      </c>
      <c r="BH42" s="843">
        <f t="shared" si="33"/>
        <v>45838</v>
      </c>
      <c r="BI42" s="844">
        <f t="shared" si="34"/>
        <v>45838</v>
      </c>
      <c r="BJ42" s="735">
        <f t="shared" si="101"/>
        <v>8000000</v>
      </c>
      <c r="BK42" s="735">
        <f t="shared" si="102"/>
        <v>2250000</v>
      </c>
      <c r="BL42" s="735">
        <f t="shared" si="45"/>
        <v>5550000</v>
      </c>
      <c r="BM42" s="735">
        <f t="shared" si="46"/>
        <v>0</v>
      </c>
      <c r="BN42" s="735">
        <f t="shared" si="47"/>
        <v>1041426.5821917809</v>
      </c>
      <c r="BO42" s="735">
        <f t="shared" si="48"/>
        <v>554647.50000000116</v>
      </c>
      <c r="BP42" s="772">
        <f t="shared" si="40"/>
        <v>15800000</v>
      </c>
      <c r="BQ42" s="772">
        <f t="shared" si="41"/>
        <v>15800000</v>
      </c>
    </row>
    <row r="43" spans="2:74" ht="18" hidden="1" customHeight="1" x14ac:dyDescent="0.35">
      <c r="B43" s="697">
        <f t="shared" si="35"/>
        <v>45795</v>
      </c>
      <c r="C43" s="230">
        <f t="shared" si="94"/>
        <v>45797</v>
      </c>
      <c r="F43" s="229">
        <f>IF(AN43=0,0,VLOOKUP(AA43,Control!$G$41:$J$44,4,FALSE))</f>
        <v>9</v>
      </c>
      <c r="G43" s="519">
        <f t="shared" si="25"/>
        <v>45805</v>
      </c>
      <c r="H43"/>
      <c r="I43"/>
      <c r="J43"/>
      <c r="K43"/>
      <c r="L43"/>
      <c r="M43"/>
      <c r="N43"/>
      <c r="O43"/>
      <c r="P43"/>
      <c r="Q43"/>
      <c r="R43"/>
      <c r="S43"/>
      <c r="V43" s="220">
        <f>INDEX('[2]Flat Rates 2025'!$A:$DZ,MATCH(X43,'[2]Flat Rates 2025'!$A:$A,0),MATCH(AB43,'[2]Flat Rates 2025'!$A$1:$DZ$1,0))</f>
        <v>0</v>
      </c>
      <c r="W43" s="220">
        <f>INDEX(Control!$E$17:$J$21,MATCH(AA43,Control!$E$17:$E$21,0),MATCH(X43,Control!$E$17:$J$17,0))</f>
        <v>0.5</v>
      </c>
      <c r="X43" s="220" t="s">
        <v>45</v>
      </c>
      <c r="Y43" s="524">
        <f>INDEX(Vessel_Minimum_MT,MATCH(AA43,Control!$E$11:$E$15,0),MATCH(X43,Control!$E$11:$J$11,0))</f>
        <v>270000</v>
      </c>
      <c r="Z43" s="525">
        <f>AD43/Control!$D$84</f>
        <v>267073.15503432491</v>
      </c>
      <c r="AA43" s="215" t="s">
        <v>25</v>
      </c>
      <c r="AB43" s="576" t="s">
        <v>114</v>
      </c>
      <c r="AC43" s="212" t="str">
        <f t="shared" si="26"/>
        <v>USGC/Singapore</v>
      </c>
      <c r="AD43" s="214">
        <f>$AD$42</f>
        <v>2075000</v>
      </c>
      <c r="AE43" s="214">
        <v>1001</v>
      </c>
      <c r="AF43" s="224">
        <f>AF42-1000000</f>
        <v>7000000</v>
      </c>
      <c r="AG43" s="225">
        <f t="shared" si="27"/>
        <v>3.3734939759036147</v>
      </c>
      <c r="AH43" s="217">
        <f>$AH$42</f>
        <v>5</v>
      </c>
      <c r="AI43" s="815">
        <f>INDEX(Control!$AS$36:$AY$118,MATCH(Report!$AB43,Control!$AS$36:$AS$118,0),MATCH(Report!AI$23,Control!$AS$36:$AY$36,0))</f>
        <v>-9.5</v>
      </c>
      <c r="AJ43" s="807">
        <f>INDEX(Control!$AS$36:$AY$118,MATCH(Report!$AB43,Control!$AS$36:$AS$118,0),MATCH(Report!AJ$23,Control!$AS$36:$AY$36,0))</f>
        <v>28.5</v>
      </c>
      <c r="AK43" s="814">
        <f>AH43*VLOOKUP($AA43,Control!$F$75:$H$87,3,FALSE)/$AD43</f>
        <v>1.0843373493975903</v>
      </c>
      <c r="AL43" s="817">
        <f>IF($AM$3=1,$AI43*Control!$D$77,0)</f>
        <v>0</v>
      </c>
      <c r="AM43" s="818">
        <f>IF($AM$4=1,$AJ43*Control!$D$77,0)</f>
        <v>0.37153068493150687</v>
      </c>
      <c r="AN43" s="227">
        <f>IF(((AD43-VLOOKUP(AA43,Control!$J$76:$K$80,2,FALSE))/Control!$D$85)&lt;=0,0,ROUNDUP(((AD43-VLOOKUP(AA43,Control!$J$76:$K$80,2,FALSE))/Control!$D$85),0)*Control!$H$90/AD43)</f>
        <v>2.6746987951807228</v>
      </c>
      <c r="AO43" s="227">
        <f>IF(K43="Corpus Christi",Control!$D$76,0)</f>
        <v>0</v>
      </c>
      <c r="AP43" s="227">
        <v>0</v>
      </c>
      <c r="AQ43" s="227">
        <f>Control!$D$78</f>
        <v>0</v>
      </c>
      <c r="AR43" s="227">
        <f>Control!$D$79</f>
        <v>6.7299999999999999E-2</v>
      </c>
      <c r="AS43" s="227">
        <f>IF(INDEX(Control!$Q$3:$S$62,MATCH($AB43,Control!$Q$3:$Q$62,0),MATCH(AS$8,Control!$Q$3:$S$3,0))=1,Control!$D$81*Control!$E$81,0)</f>
        <v>0.2</v>
      </c>
      <c r="AT43" s="227"/>
      <c r="AU43" s="227">
        <f>IF(AND(AA43="VLCC",Control!$K$79=1200000),Control!$D$83/AD43,0)</f>
        <v>0</v>
      </c>
      <c r="AV43" s="227"/>
      <c r="AW43" s="225">
        <f t="shared" si="98"/>
        <v>4.3978668295098204</v>
      </c>
      <c r="AX43" s="225">
        <f t="shared" si="29"/>
        <v>7.7713608054134351</v>
      </c>
      <c r="AY43" s="225">
        <f t="shared" si="99"/>
        <v>0</v>
      </c>
      <c r="AZ43" s="657" t="e">
        <f t="shared" ref="AZ43:AZ45" si="104">-HLOOKUP(EOMONTH(BH43,0),$BD$3:$BI$6,3,FALSE)</f>
        <v>#N/A</v>
      </c>
      <c r="BA43" s="507" t="e">
        <f t="shared" si="31"/>
        <v>#N/A</v>
      </c>
      <c r="BC43" s="220"/>
      <c r="BD43" s="229">
        <f>+INDEX('[1]Transit Time'!$A:$DZ,MATCH(X43,'[1]Transit Time'!$A:$A,0),MATCH(AB43,'[1]Transit Time'!$A$1:$DZ$1,0))</f>
        <v>44</v>
      </c>
      <c r="BE43" s="230">
        <f t="shared" si="32"/>
        <v>45848</v>
      </c>
      <c r="BF43" s="230">
        <f t="shared" si="38"/>
        <v>45850</v>
      </c>
      <c r="BG43" s="505" t="s">
        <v>157</v>
      </c>
      <c r="BH43" s="592">
        <f>IF($BI$7=0,IF(BG43="ICE Brent",EOMONTH(BF43,2),EOMONTH(BF43,0)),IF(BG43="ICE Brent",EOMONTH(BF43,1),EOMONTH(BF43,-1)))</f>
        <v>45838</v>
      </c>
      <c r="BI43" s="699">
        <f t="shared" ref="BI43" si="105">BH43</f>
        <v>45838</v>
      </c>
      <c r="BJ43" s="735">
        <f t="shared" si="101"/>
        <v>7000000</v>
      </c>
      <c r="BK43" s="735">
        <f t="shared" si="102"/>
        <v>2250000</v>
      </c>
      <c r="BL43" s="735">
        <f t="shared" si="45"/>
        <v>5550000</v>
      </c>
      <c r="BM43" s="735">
        <f t="shared" si="46"/>
        <v>0</v>
      </c>
      <c r="BN43" s="735">
        <f t="shared" si="47"/>
        <v>770926.17123287672</v>
      </c>
      <c r="BO43" s="735">
        <f t="shared" si="48"/>
        <v>554647.5000000007</v>
      </c>
      <c r="BP43" s="773">
        <f t="shared" si="40"/>
        <v>14800000</v>
      </c>
      <c r="BQ43" s="773">
        <f t="shared" si="41"/>
        <v>14800000</v>
      </c>
    </row>
    <row r="44" spans="2:74" ht="18" hidden="1" customHeight="1" x14ac:dyDescent="0.35">
      <c r="B44" s="695">
        <f t="shared" si="35"/>
        <v>45795</v>
      </c>
      <c r="C44" s="163">
        <f>IF(ISBLANK(B44),"",B44+2)</f>
        <v>45797</v>
      </c>
      <c r="F44" s="153">
        <f>IF(AN44=0,0,VLOOKUP(AA44,Control!$G$41:$J$44,4,FALSE))</f>
        <v>9</v>
      </c>
      <c r="G44" s="518">
        <f>AVERAGE(B44:C44)+F44</f>
        <v>45805</v>
      </c>
      <c r="H44"/>
      <c r="I44"/>
      <c r="J44"/>
      <c r="K44"/>
      <c r="L44"/>
      <c r="M44"/>
      <c r="N44"/>
      <c r="O44"/>
      <c r="P44"/>
      <c r="Q44"/>
      <c r="R44"/>
      <c r="S44"/>
      <c r="V44" s="138">
        <f>INDEX('[2]Flat Rates 2025'!$A:$DZ,MATCH(X44,'[2]Flat Rates 2025'!$A:$A,0),MATCH(AB44,'[2]Flat Rates 2025'!$A$1:$DZ$1,0))</f>
        <v>0</v>
      </c>
      <c r="W44" s="138">
        <f>INDEX(Control!$E$17:$J$21,MATCH(AA44,Control!$E$17:$E$21,0),MATCH(X44,Control!$E$17:$J$17,0))</f>
        <v>0.5</v>
      </c>
      <c r="X44" s="138" t="s">
        <v>45</v>
      </c>
      <c r="Y44" s="526">
        <f>INDEX(Vessel_Minimum_MT,MATCH(AA44,Control!$E$11:$E$15,0),MATCH(X44,Control!$E$11:$J$11,0))</f>
        <v>270000</v>
      </c>
      <c r="Z44" s="527">
        <f>AD44/Control!$D$84</f>
        <v>267073.15503432491</v>
      </c>
      <c r="AA44" s="147" t="s">
        <v>25</v>
      </c>
      <c r="AB44" s="53" t="s">
        <v>114</v>
      </c>
      <c r="AC44" s="142" t="str">
        <f>IF(AB44=X44,"",CONCATENATE(CONCATENATE(VLOOKUP(X44,Zones,2,FALSE),"/",VLOOKUP(AB44,Zones,2,FALSE))))</f>
        <v>USGC/Singapore</v>
      </c>
      <c r="AD44" s="54">
        <f>AD43</f>
        <v>2075000</v>
      </c>
      <c r="AE44" s="141">
        <v>1001</v>
      </c>
      <c r="AF44" s="202">
        <f>AF43</f>
        <v>7000000</v>
      </c>
      <c r="AG44" s="149">
        <f>IF(AE44&gt;1000,IF(AF44=0,AE44,AF44)/AD44,((Y44*V44*(IF(AF44=0,AE44,AF44)/100))+IF(Z44&lt;Y44,0,(Z44-Y44)*V44*IF(AF44=0,AE44,AF44)/100*W44))/AD44)</f>
        <v>3.3734939759036147</v>
      </c>
      <c r="AH44" s="767">
        <v>5</v>
      </c>
      <c r="AI44" s="804">
        <f>INDEX(Control!$AS$36:$AY$118,MATCH(Report!$AB44,Control!$AS$36:$AS$118,0),MATCH(Report!AI$23,Control!$AS$36:$AY$36,0))</f>
        <v>-9.5</v>
      </c>
      <c r="AJ44" s="805">
        <f>INDEX(Control!$AS$36:$AY$118,MATCH(Report!$AB44,Control!$AS$36:$AS$118,0),MATCH(Report!AJ$23,Control!$AS$36:$AY$36,0))-6</f>
        <v>22.5</v>
      </c>
      <c r="AK44" s="812">
        <f>AH44*VLOOKUP($AA44,Control!$F$75:$H$87,3,FALSE)/$AD44</f>
        <v>1.0843373493975903</v>
      </c>
      <c r="AL44" s="803">
        <f>IF($AM$3=1,$AI44*Control!$D$77,0)</f>
        <v>0</v>
      </c>
      <c r="AM44" s="790">
        <f>IF($AM$4=1,$AJ44*Control!$D$77,0)</f>
        <v>0.29331369863013701</v>
      </c>
      <c r="AN44" s="143">
        <f>IF(((AD44-VLOOKUP(AA44,Control!$J$76:$K$82,2,FALSE))/Control!$D$85)&lt;=0,0,ROUNDUP(((AD44-VLOOKUP(AA44,Control!$J$76:$K$82,2,FALSE))/Control!$D$85),0)*Control!$H$90/AD44)</f>
        <v>2.6746987951807228</v>
      </c>
      <c r="AO44" s="143">
        <f>IF(K44="Corpus Christi",Control!$D$76,0)</f>
        <v>0</v>
      </c>
      <c r="AP44" s="143">
        <v>0</v>
      </c>
      <c r="AQ44" s="143">
        <f>Control!$D$78</f>
        <v>0</v>
      </c>
      <c r="AR44" s="143">
        <f>Control!$D$79</f>
        <v>6.7299999999999999E-2</v>
      </c>
      <c r="AS44" s="143">
        <f>IF(INDEX(Control!$Q$3:$S$62,MATCH($AB44,Control!$Q$3:$Q$62,0),MATCH(AS$8,Control!$Q$3:$S$3,0))=1,Control!$D$81*Control!$E$81,0)</f>
        <v>0.2</v>
      </c>
      <c r="AT44" s="143"/>
      <c r="AU44" s="143">
        <f>IF(AND(AA44="VLCC",Control!$K$79=1200000),Control!$D$83/AD44,0)</f>
        <v>0</v>
      </c>
      <c r="AV44" s="143"/>
      <c r="AW44" s="149">
        <f>SUM(AK44:AV44)</f>
        <v>4.3196498432084507</v>
      </c>
      <c r="AX44" s="199">
        <f>+T44+AG44+AW44</f>
        <v>7.6931438191120654</v>
      </c>
      <c r="AY44" s="199">
        <f t="shared" si="99"/>
        <v>0</v>
      </c>
      <c r="AZ44" s="648" t="e">
        <f>+IF($BD$3=1,HLOOKUP(EOMONTH(BH44,0),$BE$3:$BI$6,4,FALSE),IF($BD$3=2,-HLOOKUP(EOMONTH(BH44,0),$BD$3:$BI$6,3,FALSE),0))</f>
        <v>#N/A</v>
      </c>
      <c r="BA44" s="499" t="e">
        <f>$AA$3+AX44+AY44+AZ44</f>
        <v>#N/A</v>
      </c>
      <c r="BD44" s="153">
        <f>+INDEX('[1]Transit Time'!$A:$DZ,MATCH(X44,'[1]Transit Time'!$A:$A,0),MATCH(AB44,'[1]Transit Time'!$A$1:$DZ$1,0))</f>
        <v>44</v>
      </c>
      <c r="BE44" s="163">
        <f>IF(ISBLANK(B44),"",B44+$BD44+F44)</f>
        <v>45848</v>
      </c>
      <c r="BF44" s="163">
        <f>BE44+2</f>
        <v>45850</v>
      </c>
      <c r="BG44" s="506" t="str">
        <f t="shared" si="39"/>
        <v>Dubai</v>
      </c>
      <c r="BH44" s="490">
        <f>IF($BD$7=0,IF(BG44="ICE Brent",EOMONTH(BF44,2),EOMONTH(BF44,0)),IF(BG44="ICE Brent",EOMONTH(BF44,1),EOMONTH(BF44,-1)))</f>
        <v>45838</v>
      </c>
      <c r="BI44" s="696">
        <f>IF($BD$7=1,EOMONTH(BF44,-1),EOMONTH(BF44,0))</f>
        <v>45838</v>
      </c>
      <c r="BJ44" s="735">
        <f>AG44*AD44</f>
        <v>7000000</v>
      </c>
      <c r="BK44" s="735">
        <f>AK44*AD44</f>
        <v>2250000</v>
      </c>
      <c r="BL44" s="735">
        <f t="shared" si="45"/>
        <v>5550000</v>
      </c>
      <c r="BM44" s="735">
        <f t="shared" si="46"/>
        <v>0</v>
      </c>
      <c r="BN44" s="735">
        <f t="shared" si="47"/>
        <v>608625.92465753434</v>
      </c>
      <c r="BO44" s="735">
        <f t="shared" si="48"/>
        <v>554647.50000000116</v>
      </c>
      <c r="BP44" s="771">
        <f>SUM(BJ44:BM44)</f>
        <v>14800000</v>
      </c>
      <c r="BQ44" s="771">
        <f>BP44-BM44</f>
        <v>14800000</v>
      </c>
    </row>
    <row r="45" spans="2:74" ht="18" hidden="1" customHeight="1" x14ac:dyDescent="0.35">
      <c r="B45" s="697">
        <f t="shared" si="35"/>
        <v>45795</v>
      </c>
      <c r="C45" s="230">
        <f>IF(ISBLANK(B45),"",B45+2)</f>
        <v>45797</v>
      </c>
      <c r="F45" s="229">
        <f>IF(AN45=0,0,VLOOKUP(AA45,Control!$G$41:$J$44,4,FALSE))</f>
        <v>9</v>
      </c>
      <c r="G45" s="519">
        <f t="shared" si="25"/>
        <v>45805</v>
      </c>
      <c r="H45"/>
      <c r="I45"/>
      <c r="J45"/>
      <c r="K45"/>
      <c r="L45"/>
      <c r="M45"/>
      <c r="N45"/>
      <c r="O45"/>
      <c r="P45"/>
      <c r="Q45"/>
      <c r="R45"/>
      <c r="S45"/>
      <c r="V45" s="220">
        <f>INDEX('[2]Flat Rates 2025'!$A:$DZ,MATCH(X45,'[2]Flat Rates 2025'!$A:$A,0),MATCH(AB45,'[2]Flat Rates 2025'!$A$1:$DZ$1,0))</f>
        <v>0</v>
      </c>
      <c r="W45" s="220">
        <f>INDEX(Control!$E$17:$J$21,MATCH(AA45,Control!$E$17:$E$21,0),MATCH(X45,Control!$E$17:$J$17,0))</f>
        <v>0.5</v>
      </c>
      <c r="X45" s="220" t="s">
        <v>45</v>
      </c>
      <c r="Y45" s="524">
        <f>INDEX(Vessel_Minimum_MT,MATCH(AA45,Control!$E$11:$E$15,0),MATCH(X45,Control!$E$11:$J$11,0))</f>
        <v>270000</v>
      </c>
      <c r="Z45" s="525">
        <f>AD45/Control!$D$84</f>
        <v>267073.15503432491</v>
      </c>
      <c r="AA45" s="215" t="s">
        <v>25</v>
      </c>
      <c r="AB45" s="573" t="s">
        <v>86</v>
      </c>
      <c r="AC45" s="212" t="str">
        <f>IF(AB45=X45,"",CONCATENATE(CONCATENATE(VLOOKUP(X45,Zones,2,FALSE),"/",VLOOKUP(AB45,Zones,2,FALSE))))</f>
        <v>USGC/INDIA</v>
      </c>
      <c r="AD45" s="214">
        <f>$AD$42</f>
        <v>2075000</v>
      </c>
      <c r="AE45" s="214">
        <v>1001</v>
      </c>
      <c r="AF45" s="224">
        <f>AF43</f>
        <v>7000000</v>
      </c>
      <c r="AG45" s="225">
        <f t="shared" si="27"/>
        <v>3.3734939759036147</v>
      </c>
      <c r="AH45" s="217">
        <f>$AH$42</f>
        <v>5</v>
      </c>
      <c r="AI45" s="815">
        <f>INDEX(Control!$AS$36:$AY$118,MATCH(Report!$AB45,Control!$AS$36:$AS$118,0),MATCH(Report!AI$23,Control!$AS$36:$AY$36,0))</f>
        <v>-9.5</v>
      </c>
      <c r="AJ45" s="807">
        <f>INDEX(Control!$AS$36:$AY$118,MATCH(Report!$AB45,Control!$AS$36:$AS$118,0),MATCH(Report!AJ$23,Control!$AS$36:$AY$36,0))</f>
        <v>25.5</v>
      </c>
      <c r="AK45" s="811">
        <f>AH45*VLOOKUP($AA45,Control!$F$75:$H$87,3,FALSE)/$AD45</f>
        <v>1.0843373493975903</v>
      </c>
      <c r="AL45" s="787">
        <f>IF($AM$3=1,$AI45*Control!$D$77,0)</f>
        <v>0</v>
      </c>
      <c r="AM45" s="788">
        <f>IF($AM$4=1,$AJ45*Control!$D$77,0)</f>
        <v>0.33242219178082194</v>
      </c>
      <c r="AN45" s="227">
        <f>IF(((AD45-VLOOKUP(AA45,Control!$J$76:$K$80,2,FALSE))/Control!$D$85)&lt;=0,0,ROUNDUP(((AD45-VLOOKUP(AA45,Control!$J$76:$K$80,2,FALSE))/Control!$D$85),0)*Control!$H$90/AD45)</f>
        <v>2.6746987951807228</v>
      </c>
      <c r="AO45" s="227">
        <f>IF(K45="Corpus Christi",Control!$D$76,0)</f>
        <v>0</v>
      </c>
      <c r="AP45" s="227">
        <v>0</v>
      </c>
      <c r="AQ45" s="227">
        <f>Control!$D$78</f>
        <v>0</v>
      </c>
      <c r="AR45" s="227">
        <f>Control!$D$79</f>
        <v>6.7299999999999999E-2</v>
      </c>
      <c r="AS45" s="227">
        <f>IF(INDEX(Control!$Q$3:$S$62,MATCH($AB45,Control!$Q$3:$Q$62,0),MATCH(AS$8,Control!$Q$3:$S$3,0))=1,Control!$D$81*Control!$E$81,0)</f>
        <v>0.2</v>
      </c>
      <c r="AT45" s="227"/>
      <c r="AU45" s="227">
        <f>IF(AND(AA45="VLCC",Control!$K$79=1200000),Control!$D$83/AD45,0)</f>
        <v>0</v>
      </c>
      <c r="AV45" s="227"/>
      <c r="AW45" s="225">
        <f>SUM(AK45:AV45)</f>
        <v>4.358758336359136</v>
      </c>
      <c r="AX45" s="225">
        <f t="shared" si="29"/>
        <v>7.7322523122627507</v>
      </c>
      <c r="AY45" s="225">
        <f t="shared" si="99"/>
        <v>0</v>
      </c>
      <c r="AZ45" s="589" t="e">
        <f t="shared" si="104"/>
        <v>#N/A</v>
      </c>
      <c r="BA45" s="508" t="e">
        <f t="shared" si="31"/>
        <v>#N/A</v>
      </c>
      <c r="BC45" s="220"/>
      <c r="BD45" s="229">
        <f>+INDEX('[1]Transit Time'!$A:$DZ,MATCH(X45,'[1]Transit Time'!$A:$A,0),MATCH(AB45,'[1]Transit Time'!$A$1:$DZ$1,0))</f>
        <v>41</v>
      </c>
      <c r="BE45" s="230">
        <f t="shared" si="32"/>
        <v>45845</v>
      </c>
      <c r="BF45" s="230">
        <f t="shared" si="38"/>
        <v>45847</v>
      </c>
      <c r="BG45" s="505" t="s">
        <v>157</v>
      </c>
      <c r="BH45" s="489">
        <f t="shared" si="33"/>
        <v>45838</v>
      </c>
      <c r="BI45" s="698">
        <f t="shared" si="34"/>
        <v>45838</v>
      </c>
      <c r="BJ45" s="735">
        <f t="shared" si="101"/>
        <v>7000000</v>
      </c>
      <c r="BK45" s="735">
        <f t="shared" si="102"/>
        <v>2250000</v>
      </c>
      <c r="BL45" s="735">
        <f t="shared" si="45"/>
        <v>5550000</v>
      </c>
      <c r="BM45" s="735">
        <f t="shared" si="46"/>
        <v>0</v>
      </c>
      <c r="BN45" s="735">
        <f t="shared" si="47"/>
        <v>689776.04794520547</v>
      </c>
      <c r="BO45" s="735">
        <f t="shared" si="48"/>
        <v>554647.50000000198</v>
      </c>
      <c r="BP45" s="774">
        <f t="shared" si="40"/>
        <v>14800000</v>
      </c>
      <c r="BQ45" s="774">
        <f t="shared" si="41"/>
        <v>14800000</v>
      </c>
    </row>
    <row r="46" spans="2:74" ht="18" hidden="1" customHeight="1" thickBot="1" x14ac:dyDescent="0.4">
      <c r="B46" s="340">
        <f t="shared" si="35"/>
        <v>45795</v>
      </c>
      <c r="C46" s="341">
        <f t="shared" ref="C46" si="106">IF(ISBLANK(B46),"",B46+2)</f>
        <v>45797</v>
      </c>
      <c r="D46" s="275"/>
      <c r="E46" s="275"/>
      <c r="F46" s="359">
        <f>IF(AN46=0,0,VLOOKUP(AA46,Control!$G$41:$J$44,4,FALSE))</f>
        <v>9</v>
      </c>
      <c r="G46" s="516">
        <f t="shared" si="25"/>
        <v>45805</v>
      </c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351" t="e">
        <f>INDEX('[2]Flat Rates 2025'!$A:$DZ,MATCH(X46,'[2]Flat Rates 2025'!$A:$A,0),MATCH(AB46,'[2]Flat Rates 2025'!$A$1:$DZ$1,0))</f>
        <v>#N/A</v>
      </c>
      <c r="W46" s="351">
        <f>INDEX(Control!$E$17:$J$21,MATCH(AA46,Control!$E$17:$E$21,0),MATCH(X46,Control!$E$17:$J$17,0))</f>
        <v>0.5</v>
      </c>
      <c r="X46" s="351" t="s">
        <v>45</v>
      </c>
      <c r="Y46" s="344">
        <f>INDEX(Vessel_Minimum_MT,MATCH(AA46,Control!$E$11:$E$15,0),MATCH(X46,Control!$E$11:$J$11,0))</f>
        <v>270000</v>
      </c>
      <c r="Z46" s="352">
        <f>AD46/Control!$D$84</f>
        <v>263855.40617848968</v>
      </c>
      <c r="AA46" s="346" t="s">
        <v>25</v>
      </c>
      <c r="AB46" s="682" t="s">
        <v>43</v>
      </c>
      <c r="AC46" s="343" t="str">
        <f>AC42</f>
        <v>USGC/KOREA</v>
      </c>
      <c r="AD46" s="344">
        <v>2050000</v>
      </c>
      <c r="AE46" s="345">
        <v>1001</v>
      </c>
      <c r="AF46" s="683">
        <f>AF42-350000</f>
        <v>7650000</v>
      </c>
      <c r="AG46" s="355">
        <f t="shared" si="27"/>
        <v>3.7317073170731709</v>
      </c>
      <c r="AH46" s="768">
        <f>$AH$42</f>
        <v>5</v>
      </c>
      <c r="AI46" s="808">
        <f>INDEX(Control!$AS$36:$AY$118,MATCH(Report!$AB46,Control!$AS$36:$AS$118,0),MATCH(Report!AI$23,Control!$AS$36:$AY$36,0))</f>
        <v>-9.5</v>
      </c>
      <c r="AJ46" s="809">
        <f>INDEX(Control!$AS$36:$AY$118,MATCH(Report!$AB46,Control!$AS$36:$AS$118,0),MATCH(Report!AJ$23,Control!$AS$36:$AY$36,0))</f>
        <v>30.5</v>
      </c>
      <c r="AK46" s="813">
        <f>AH46*VLOOKUP($AA46,Control!$F$75:$H$87,3,FALSE)/$AD46</f>
        <v>1.0975609756097562</v>
      </c>
      <c r="AL46" s="791">
        <f>IF($AM$3=1,$AI46*Control!$D$77,0)</f>
        <v>0</v>
      </c>
      <c r="AM46" s="792">
        <f>IF($AM$4=1,$AJ46*Control!$D$77,0)</f>
        <v>0.39760301369863016</v>
      </c>
      <c r="AN46" s="357">
        <f>IF(((AD46-VLOOKUP(AA46,Control!$J$76:$K$80,2,FALSE))/Control!$D$85)&lt;=0,0,ROUNDUP(((AD46-VLOOKUP(AA46,Control!$J$76:$K$80,2,FALSE))/Control!$D$85),0)*Control!$H$90/AD46)</f>
        <v>2.7073170731707319</v>
      </c>
      <c r="AO46" s="357">
        <f>IF(K46="Corpus Christi",Control!$D$76,0)</f>
        <v>0</v>
      </c>
      <c r="AP46" s="357">
        <v>0</v>
      </c>
      <c r="AQ46" s="357">
        <f>Control!$D$78</f>
        <v>0</v>
      </c>
      <c r="AR46" s="357">
        <f>Control!$D$79</f>
        <v>6.7299999999999999E-2</v>
      </c>
      <c r="AS46" s="357"/>
      <c r="AT46" s="357"/>
      <c r="AU46" s="357">
        <f>IF(AND(AA46="VLCC",Control!$K$79=1200000),Control!$D$83/AD46,0)</f>
        <v>0</v>
      </c>
      <c r="AV46" s="357"/>
      <c r="AW46" s="355">
        <f t="shared" si="98"/>
        <v>4.2697810624791188</v>
      </c>
      <c r="AX46" s="684">
        <f t="shared" si="29"/>
        <v>8.0014883795522902</v>
      </c>
      <c r="AY46" s="684">
        <f t="shared" si="99"/>
        <v>0</v>
      </c>
      <c r="AZ46" s="684" t="e">
        <f>-HLOOKUP(EOMONTH(BH46,0),$BD$3:$BI$6,3,FALSE)</f>
        <v>#N/A</v>
      </c>
      <c r="BA46" s="688" t="e">
        <f t="shared" si="31"/>
        <v>#N/A</v>
      </c>
      <c r="BB46" s="350"/>
      <c r="BC46" s="350"/>
      <c r="BD46" s="359">
        <v>49</v>
      </c>
      <c r="BE46" s="341">
        <f t="shared" si="32"/>
        <v>45853</v>
      </c>
      <c r="BF46" s="341">
        <f t="shared" si="38"/>
        <v>45855</v>
      </c>
      <c r="BG46" s="758" t="s">
        <v>157</v>
      </c>
      <c r="BH46" s="700">
        <f t="shared" si="33"/>
        <v>45838</v>
      </c>
      <c r="BI46" s="492">
        <f t="shared" si="34"/>
        <v>45838</v>
      </c>
      <c r="BJ46" s="735">
        <f t="shared" si="101"/>
        <v>7650000</v>
      </c>
      <c r="BK46" s="735">
        <f t="shared" si="102"/>
        <v>2250000</v>
      </c>
      <c r="BL46" s="735">
        <f t="shared" si="45"/>
        <v>5550000</v>
      </c>
      <c r="BM46" s="735">
        <f t="shared" si="46"/>
        <v>0</v>
      </c>
      <c r="BN46" s="735">
        <f t="shared" si="47"/>
        <v>815086.17808219185</v>
      </c>
      <c r="BO46" s="735">
        <f t="shared" si="48"/>
        <v>137965.00000000119</v>
      </c>
      <c r="BP46" s="775">
        <f t="shared" si="40"/>
        <v>15450000</v>
      </c>
      <c r="BQ46" s="775">
        <f t="shared" si="41"/>
        <v>15450000</v>
      </c>
    </row>
    <row r="47" spans="2:74" ht="19" thickBot="1" x14ac:dyDescent="0.5">
      <c r="B47" s="439"/>
      <c r="C47" s="439"/>
      <c r="E47" s="76"/>
      <c r="F47"/>
      <c r="G47" s="520"/>
      <c r="H47"/>
      <c r="I47"/>
      <c r="J47"/>
      <c r="K47"/>
      <c r="L47"/>
      <c r="M47"/>
      <c r="N47"/>
      <c r="O47"/>
      <c r="P47"/>
      <c r="Q47"/>
      <c r="R47"/>
      <c r="S47"/>
      <c r="V47" s="410"/>
      <c r="W47" s="410"/>
      <c r="X47" s="410"/>
      <c r="Y47" s="410"/>
      <c r="Z47" s="410"/>
      <c r="AA47" s="1002" t="s">
        <v>219</v>
      </c>
      <c r="AB47" s="1003"/>
      <c r="AC47" s="1003"/>
      <c r="AD47" s="1003"/>
      <c r="AE47" s="1003"/>
      <c r="AF47" s="1003"/>
      <c r="AG47" s="1003"/>
      <c r="AH47" s="1003"/>
      <c r="AI47" s="1003"/>
      <c r="AJ47" s="1003"/>
      <c r="AK47" s="1003"/>
      <c r="AL47" s="1003"/>
      <c r="AM47" s="1003"/>
      <c r="AN47" s="1003"/>
      <c r="AO47" s="1003"/>
      <c r="AP47" s="1003"/>
      <c r="AQ47" s="1003"/>
      <c r="AR47" s="1003"/>
      <c r="AS47" s="1003"/>
      <c r="AT47" s="1003"/>
      <c r="AU47" s="1003"/>
      <c r="AV47" s="1003"/>
      <c r="AW47" s="1003"/>
      <c r="AX47" s="1003"/>
      <c r="AY47" s="1003"/>
      <c r="AZ47" s="1003"/>
      <c r="BA47" s="1004"/>
      <c r="BD47"/>
      <c r="BE47"/>
      <c r="BF47"/>
      <c r="BG47"/>
      <c r="BH47"/>
      <c r="BI47"/>
      <c r="BJ47" s="735"/>
      <c r="BK47" s="735"/>
      <c r="BL47" s="735"/>
      <c r="BM47" s="735"/>
      <c r="BN47" s="735"/>
      <c r="BO47" s="735"/>
      <c r="BQ47" s="769">
        <f t="shared" si="41"/>
        <v>0</v>
      </c>
    </row>
    <row r="48" spans="2:74" ht="36" customHeight="1" thickBot="1" x14ac:dyDescent="0.4">
      <c r="B48" s="1015" t="s">
        <v>167</v>
      </c>
      <c r="C48" s="1016"/>
      <c r="F48" s="137" t="str">
        <f>F23</f>
        <v>STS Time</v>
      </c>
      <c r="G48" s="521" t="str">
        <f>G23</f>
        <v>Depart</v>
      </c>
      <c r="H48"/>
      <c r="I48"/>
      <c r="J48"/>
      <c r="K48"/>
      <c r="L48"/>
      <c r="M48"/>
      <c r="N48"/>
      <c r="O48"/>
      <c r="P48"/>
      <c r="Q48"/>
      <c r="R48"/>
      <c r="S48"/>
      <c r="V48" s="120" t="s">
        <v>172</v>
      </c>
      <c r="W48" s="120" t="s">
        <v>2</v>
      </c>
      <c r="X48" s="120" t="s">
        <v>173</v>
      </c>
      <c r="Y48" s="152" t="str">
        <f>$Y$8</f>
        <v>Vessel MT</v>
      </c>
      <c r="Z48" s="120" t="s">
        <v>175</v>
      </c>
      <c r="AA48" s="571" t="s">
        <v>176</v>
      </c>
      <c r="AB48" s="571" t="s">
        <v>177</v>
      </c>
      <c r="AC48" s="571" t="s">
        <v>178</v>
      </c>
      <c r="AD48" s="571" t="s">
        <v>200</v>
      </c>
      <c r="AE48" s="578" t="str">
        <f>$AE$8</f>
        <v xml:space="preserve">Current WS Rate </v>
      </c>
      <c r="AF48" s="128">
        <v>300</v>
      </c>
      <c r="AG48" s="579" t="s">
        <v>182</v>
      </c>
      <c r="AH48" s="580" t="s">
        <v>183</v>
      </c>
      <c r="AI48" s="578" t="str">
        <f>AI8</f>
        <v>ATA TVM</v>
      </c>
      <c r="AJ48" s="578" t="str">
        <f>AJ8</f>
        <v>Ext. TVM</v>
      </c>
      <c r="AK48" s="580" t="s">
        <v>184</v>
      </c>
      <c r="AL48" s="783" t="str">
        <f t="shared" ref="AL48:AM48" si="107">AI48</f>
        <v>ATA TVM</v>
      </c>
      <c r="AM48" s="783" t="str">
        <f t="shared" si="107"/>
        <v>Ext. TVM</v>
      </c>
      <c r="AN48" s="580" t="str">
        <f>AN8</f>
        <v>STS</v>
      </c>
      <c r="AO48" s="580" t="s">
        <v>186</v>
      </c>
      <c r="AP48" s="580" t="s">
        <v>187</v>
      </c>
      <c r="AQ48" s="580" t="s">
        <v>141</v>
      </c>
      <c r="AR48" s="580" t="s">
        <v>188</v>
      </c>
      <c r="AS48" s="580" t="s">
        <v>17</v>
      </c>
      <c r="AT48" s="580" t="s">
        <v>18</v>
      </c>
      <c r="AU48" s="580" t="s">
        <v>189</v>
      </c>
      <c r="AV48" s="580" t="s">
        <v>152</v>
      </c>
      <c r="AW48" s="579" t="s">
        <v>208</v>
      </c>
      <c r="AX48" s="579" t="s">
        <v>209</v>
      </c>
      <c r="AY48" s="579" t="s">
        <v>210</v>
      </c>
      <c r="AZ48" s="579" t="str">
        <f>AZ8</f>
        <v>Basis</v>
      </c>
      <c r="BA48" s="137" t="s">
        <v>211</v>
      </c>
      <c r="BD48" s="137" t="s">
        <v>195</v>
      </c>
      <c r="BE48" s="522" t="s">
        <v>196</v>
      </c>
      <c r="BF48" s="522"/>
      <c r="BG48" s="487" t="str">
        <f>BG23</f>
        <v>Basis</v>
      </c>
      <c r="BH48" s="581" t="str">
        <f>BH8</f>
        <v>Pricing Month</v>
      </c>
      <c r="BI48" s="581" t="str">
        <f>BI8</f>
        <v>Delivery Month</v>
      </c>
      <c r="BJ48" s="735"/>
      <c r="BK48" s="735"/>
      <c r="BL48" s="735"/>
      <c r="BM48" s="735"/>
      <c r="BN48" s="735"/>
      <c r="BO48" s="735"/>
      <c r="BQ48" s="769">
        <f t="shared" si="41"/>
        <v>0</v>
      </c>
      <c r="BU48"/>
      <c r="BV48"/>
    </row>
    <row r="49" spans="1:74" ht="18" customHeight="1" thickBot="1" x14ac:dyDescent="0.4">
      <c r="A49">
        <v>1.75</v>
      </c>
      <c r="B49" s="163">
        <v>46174</v>
      </c>
      <c r="C49" s="163">
        <f t="shared" ref="C49:C51" si="108">B49+1</f>
        <v>46175</v>
      </c>
      <c r="E49" s="853" t="e">
        <f>VLOOKUP(EOMONTH(B49,0),[3]FWD!$E$4:$J$11,6,FALSE)+A49</f>
        <v>#N/A</v>
      </c>
      <c r="F49" s="153">
        <f>IF(AN49=0,0,VLOOKUP(AA49,Control!$G$41:$J$44,4,FALSE))</f>
        <v>0</v>
      </c>
      <c r="G49" s="518">
        <f t="shared" ref="G49:G61" si="109">AVERAGE(B49:C49)+F49</f>
        <v>46174.5</v>
      </c>
      <c r="H49"/>
      <c r="I49"/>
      <c r="J49"/>
      <c r="K49"/>
      <c r="L49"/>
      <c r="M49"/>
      <c r="N49"/>
      <c r="O49"/>
      <c r="P49"/>
      <c r="Q49"/>
      <c r="R49"/>
      <c r="S49"/>
      <c r="V49" s="140">
        <f>INDEX([2]Sheet1!$F$2:$AG$5,MATCH($X49,[2]Sheet1!$F$2:$F$5,0),MATCH(AB49,[2]Sheet1!$F$2:$AG$2,0))</f>
        <v>21.51</v>
      </c>
      <c r="W49" s="138">
        <f>INDEX(Control!$E$17:$J$21,MATCH(AA49,Control!$E$17:$E$21,0),MATCH(X49,Control!$E$17:$J$17,0))</f>
        <v>0</v>
      </c>
      <c r="X49" s="138" t="s">
        <v>45</v>
      </c>
      <c r="Y49" s="116">
        <f>INDEX(Vessel_Minimum_MT,MATCH(AA49,Control!$E$11:$E$15,0),MATCH(X49,Control!$E$11:$J$11,0))</f>
        <v>70000</v>
      </c>
      <c r="Z49" s="140">
        <f>AD49/Control!$D$84</f>
        <v>90096.96796338672</v>
      </c>
      <c r="AA49" s="48" t="s">
        <v>23</v>
      </c>
      <c r="AB49" s="639" t="s">
        <v>42</v>
      </c>
      <c r="AC49" s="142" t="str">
        <f t="shared" ref="AC49:AC53" si="110">IF(AB49=X49,"",CONCATENATE(CONCATENATE(VLOOKUP(X49,Zones,2,FALSE),"/",VLOOKUP(AB49,Zones,2,FALSE))))</f>
        <v>USGC/Nsea</v>
      </c>
      <c r="AD49" s="379">
        <v>700000</v>
      </c>
      <c r="AE49" s="141">
        <v>70</v>
      </c>
      <c r="AF49" s="654">
        <v>435</v>
      </c>
      <c r="AG49" s="149">
        <f>IF(AE49&gt;1000,IF(AF49=0,AE49,AF49)/AD49,((Y49*V49*(IF(AF49=0,AE49,AF49)/100))+IF(Z49&lt;Y49,0,(Z49-Y49)*V49*IF(AF49=0,AE49,AF49)/100*W49))/AD49)</f>
        <v>9.3568499999999979</v>
      </c>
      <c r="AH49" s="141"/>
      <c r="AI49" s="155">
        <f>INDEX(Control!$AS$36:$AY$118,MATCH(Report!$AB49,Control!$AS$36:$AS$118,0),MATCH(Report!AI$23,Control!$AS$36:$AY$36,0))</f>
        <v>-10</v>
      </c>
      <c r="AJ49" s="155">
        <f>INDEX(Control!$AS$36:$AY$118,MATCH(Report!$AB49,Control!$AS$36:$AS$118,0),MATCH(Report!AJ$23,Control!$AS$36:$AY$36,0))</f>
        <v>0</v>
      </c>
      <c r="AK49" s="143">
        <f>AH49*VLOOKUP($AA49,Control!$F$75:$H$87,3,FALSE)/$AD49</f>
        <v>0</v>
      </c>
      <c r="AL49" s="144">
        <f>IF($AM$3=1,$AI49*Control!$D$77,0)</f>
        <v>0</v>
      </c>
      <c r="AM49" s="144">
        <f>IF($AM$4=1,$AJ49*Control!$D$77,0)</f>
        <v>0</v>
      </c>
      <c r="AN49" s="143"/>
      <c r="AO49" s="143"/>
      <c r="AP49" s="143"/>
      <c r="AQ49" s="143"/>
      <c r="AR49" s="143">
        <f>Control!$D$79</f>
        <v>6.7299999999999999E-2</v>
      </c>
      <c r="AS49" s="143">
        <f>IF(INDEX(Control!$Q$3:$S$62,MATCH($AB49,Control!$Q$3:$Q$62,0),MATCH(AS$8,Control!$Q$3:$S$3,0))=1,Control!$D$81*Control!$E$81,0)</f>
        <v>0</v>
      </c>
      <c r="AT49" s="143">
        <f>IF(INDEX(Control!$Q$3:$S$62,MATCH($AB49,Control!$Q$3:$Q$62,0),MATCH(AT$8,Control!$Q$3:$S$3,0))=1,INDEX(Control!$AK$3:$AO$69,MATCH(Report!AB49,Control!$AK$3:$AK$29,0),MATCH(Report!AA49,Control!$AK$3:$AO$3,0))/AD49*1000,0)</f>
        <v>0</v>
      </c>
      <c r="AU49" s="143">
        <f>93980/AD49</f>
        <v>0.13425714285714285</v>
      </c>
      <c r="AV49" s="143"/>
      <c r="AW49" s="149">
        <f>SUM(AK49:AV49)</f>
        <v>0.20155714285714285</v>
      </c>
      <c r="AX49" s="149">
        <f t="shared" ref="AX49:AX58" si="111">+T49+AG49+AW49</f>
        <v>9.5584071428571402</v>
      </c>
      <c r="AY49" s="98">
        <f t="shared" ref="AY49:AY58" si="112">IF((MONTH(B49)=MONTH(BI49)),0,IF(((MONTH(BI49))-MONTH(B49))+12*YEAR(BH49)-YEAR(B49)&gt;1,SUMIFS($BE$4:$BI$4,$BE$3:$BI$3,"&lt;="&amp;EOMONTH(BH49,-1),$BE$3:$BI$3,"&gt;="&amp;EOMONTH(B49,0)),VLOOKUP("Spreads",$BD$3:$BI$4,MATCH(EOMONTH(B49,0),$BD$3:$BI$3,0))))</f>
        <v>0</v>
      </c>
      <c r="AZ49" s="149" t="e">
        <f t="shared" ref="AZ49:AZ58" si="113">-HLOOKUP(EOMONTH(BH49,0),$BE$3:$BH$6,3,FALSE)</f>
        <v>#N/A</v>
      </c>
      <c r="BA49" s="638" t="e">
        <f>$E49+AX49+AY49+AZ49</f>
        <v>#N/A</v>
      </c>
      <c r="BD49" s="153">
        <f>+INDEX('[1]Transit Time'!$A:$DZ,MATCH(X49,'[1]Transit Time'!$A:$A,0),MATCH(AB49,'[1]Transit Time'!$A$1:$DZ$1,0))</f>
        <v>17</v>
      </c>
      <c r="BE49" s="163">
        <f>IF(ISBLANK(G49),"",G49+$BD49+F49)</f>
        <v>46191.5</v>
      </c>
      <c r="BF49" s="163">
        <f t="shared" ref="BF49:BF62" si="114">BE49+2</f>
        <v>46193.5</v>
      </c>
      <c r="BG49" s="163" t="s">
        <v>157</v>
      </c>
      <c r="BH49" s="490">
        <f t="shared" ref="BH49:BH62" si="115">EOMONTH(BF49,0)</f>
        <v>46203</v>
      </c>
      <c r="BI49" s="490">
        <f t="shared" ref="BI49:BI62" si="116">BH49</f>
        <v>46203</v>
      </c>
      <c r="BJ49" s="735">
        <f t="shared" ref="BJ49:BJ61" si="117">AG49*AD49</f>
        <v>6549794.9999999981</v>
      </c>
      <c r="BK49" s="735">
        <f t="shared" ref="BK49:BK61" si="118">AK49*AD49</f>
        <v>0</v>
      </c>
      <c r="BL49" s="735">
        <f t="shared" ref="BL49:BL62" si="119">(AW49-AK49-AL49)*AD49</f>
        <v>141090</v>
      </c>
      <c r="BM49" s="735">
        <f t="shared" ref="BM49:BM62" si="120">AL49*AD49</f>
        <v>0</v>
      </c>
      <c r="BN49" s="735"/>
      <c r="BO49" s="735"/>
      <c r="BP49" s="735">
        <f t="shared" ref="BP49:BP61" si="121">(AX49-AL49)*AD49</f>
        <v>6690884.9999999981</v>
      </c>
      <c r="BQ49" s="769">
        <f t="shared" si="41"/>
        <v>6690884.9999999981</v>
      </c>
      <c r="BU49"/>
      <c r="BV49"/>
    </row>
    <row r="50" spans="1:74" ht="18" customHeight="1" x14ac:dyDescent="0.35">
      <c r="A50">
        <v>1.75</v>
      </c>
      <c r="B50" s="230">
        <v>46174</v>
      </c>
      <c r="C50" s="163">
        <f t="shared" si="108"/>
        <v>46175</v>
      </c>
      <c r="E50" s="854" t="e">
        <f>VLOOKUP(EOMONTH(B50,0),[3]FWD!$E$4:$J$11,6,FALSE)+A50</f>
        <v>#N/A</v>
      </c>
      <c r="F50" s="229">
        <f>IF(AN50=0,0,VLOOKUP(AA50,Control!$G$41:$J$44,4,FALSE))</f>
        <v>0</v>
      </c>
      <c r="G50" s="519">
        <f t="shared" si="109"/>
        <v>46174.5</v>
      </c>
      <c r="H50"/>
      <c r="I50"/>
      <c r="J50"/>
      <c r="K50"/>
      <c r="L50"/>
      <c r="M50"/>
      <c r="N50"/>
      <c r="O50"/>
      <c r="P50"/>
      <c r="Q50"/>
      <c r="R50"/>
      <c r="S50"/>
      <c r="V50" s="478">
        <f>INDEX([2]Sheet1!$F$2:$AG$5,MATCH($X50,[2]Sheet1!$F$2:$F$5,0),MATCH(AB50,[2]Sheet1!$F$2:$AG$2,0))</f>
        <v>21.51</v>
      </c>
      <c r="W50" s="220">
        <f>INDEX(Control!$E$17:$J$21,MATCH(AA50,Control!$E$17:$E$21,0),MATCH(X50,Control!$E$17:$J$17,0))</f>
        <v>0</v>
      </c>
      <c r="X50" s="220" t="s">
        <v>45</v>
      </c>
      <c r="Y50" s="213">
        <f>INDEX(Vessel_Minimum_MT,MATCH(AA50,Control!$E$11:$E$15,0),MATCH(X50,Control!$E$11:$J$11,0))</f>
        <v>70000</v>
      </c>
      <c r="Z50" s="222">
        <f>AD50/Control!$D$84</f>
        <v>90096.96796338672</v>
      </c>
      <c r="AA50" s="215" t="s">
        <v>23</v>
      </c>
      <c r="AB50" s="212" t="s">
        <v>42</v>
      </c>
      <c r="AC50" s="212" t="str">
        <f t="shared" si="110"/>
        <v>USGC/Nsea</v>
      </c>
      <c r="AD50" s="312">
        <f>AD49</f>
        <v>700000</v>
      </c>
      <c r="AE50" s="214">
        <v>70</v>
      </c>
      <c r="AF50" s="262">
        <v>400</v>
      </c>
      <c r="AG50" s="225">
        <f t="shared" ref="AG50:AG53" si="122">IF(AE50&gt;1000,IF(AF50=0,AE50,AF50)/AD50,((Y50*V50*(IF(AF50=0,AE50,AF50)/100))+IF(Z50&lt;Y50,0,(Z50-Y50)*V50*IF(AF50=0,AE50,AF50)/100*W50))/AD50)</f>
        <v>8.6039999999999992</v>
      </c>
      <c r="AH50" s="214">
        <f t="shared" ref="AH50:AH57" si="123">$AH$49</f>
        <v>0</v>
      </c>
      <c r="AI50" s="214">
        <f>INDEX(Control!$AS$36:$AY$118,MATCH(Report!$AB50,Control!$AS$36:$AS$118,0),MATCH(Report!AI$23,Control!$AS$36:$AY$36,0))</f>
        <v>-10</v>
      </c>
      <c r="AJ50" s="214">
        <f>INDEX(Control!$AS$36:$AY$118,MATCH(Report!$AB50,Control!$AS$36:$AS$118,0),MATCH(Report!AJ$23,Control!$AS$36:$AY$36,0))</f>
        <v>0</v>
      </c>
      <c r="AK50" s="227">
        <f>AH50*VLOOKUP($AA50,Control!$F$75:$H$87,3,FALSE)/$AD50</f>
        <v>0</v>
      </c>
      <c r="AL50" s="226">
        <f>IF($AM$3=1,$AI50*Control!$D$77,0)</f>
        <v>0</v>
      </c>
      <c r="AM50" s="226">
        <f>IF($AM$4=1,$AJ50*Control!$D$77,0)</f>
        <v>0</v>
      </c>
      <c r="AN50" s="227">
        <f>IF(((AD50-VLOOKUP(AA50,Control!$J$76:$K$80,2,FALSE))/Control!$D$85)&lt;=0,0,ROUNDUP(((AD50-VLOOKUP(AA50,Control!$J$76:$K$80,2,FALSE))/Control!$D$85),0)*Control!$H$90/AD50)</f>
        <v>0</v>
      </c>
      <c r="AO50" s="227">
        <f>IF(K50="Corpus Christi",Control!$D$76,0)</f>
        <v>0</v>
      </c>
      <c r="AP50" s="227">
        <v>0</v>
      </c>
      <c r="AQ50" s="227">
        <f>Control!$D$78</f>
        <v>0</v>
      </c>
      <c r="AR50" s="227">
        <f>Control!$D$79</f>
        <v>6.7299999999999999E-2</v>
      </c>
      <c r="AS50" s="227">
        <f>IF(INDEX(Control!$Q$3:$S$62,MATCH($AB50,Control!$Q$3:$Q$62,0),MATCH(AS$8,Control!$Q$3:$S$3,0))=1,Control!$D$81*Control!$E$81,0)</f>
        <v>0</v>
      </c>
      <c r="AT50" s="227">
        <f>IF(INDEX(Control!$Q$3:$S$62,MATCH($AB50,Control!$Q$3:$Q$62,0),MATCH(AT$8,Control!$Q$3:$S$3,0))=1,INDEX(Control!$AK$3:$AO$69,MATCH(Report!AB50,Control!$AK$3:$AK$29,0),MATCH(Report!AA50,Control!$AK$3:$AO$3,0))/AD50*1000,0)</f>
        <v>0</v>
      </c>
      <c r="AU50" s="227">
        <f t="shared" ref="AU50:AU53" si="124">IF(AB50="Rotterdam",0.114,"")</f>
        <v>0.114</v>
      </c>
      <c r="AV50" s="227"/>
      <c r="AW50" s="225">
        <f t="shared" ref="AW50" si="125">SUM(AK50:AV50)</f>
        <v>0.18130000000000002</v>
      </c>
      <c r="AX50" s="225">
        <f t="shared" si="111"/>
        <v>8.7852999999999994</v>
      </c>
      <c r="AY50" s="225">
        <f t="shared" si="112"/>
        <v>0</v>
      </c>
      <c r="AZ50" s="225" t="e">
        <f t="shared" si="113"/>
        <v>#N/A</v>
      </c>
      <c r="BA50" s="856" t="e">
        <f t="shared" ref="BA50:BA58" si="126">$E50+AX50+AY50+AZ50</f>
        <v>#N/A</v>
      </c>
      <c r="BC50" s="220"/>
      <c r="BD50" s="229">
        <f>+INDEX('[1]Transit Time'!$A:$DZ,MATCH(X50,'[1]Transit Time'!$A:$A,0),MATCH(AB50,'[1]Transit Time'!$A$1:$DZ$1,0))</f>
        <v>17</v>
      </c>
      <c r="BE50" s="230">
        <f t="shared" ref="BE50:BE58" si="127">IF(ISBLANK(G50),"",G50+$BD50+F50)</f>
        <v>46191.5</v>
      </c>
      <c r="BF50" s="230">
        <f t="shared" si="114"/>
        <v>46193.5</v>
      </c>
      <c r="BG50" s="230" t="s">
        <v>157</v>
      </c>
      <c r="BH50" s="489">
        <f t="shared" si="115"/>
        <v>46203</v>
      </c>
      <c r="BI50" s="489">
        <f t="shared" si="116"/>
        <v>46203</v>
      </c>
      <c r="BJ50" s="735">
        <f t="shared" si="117"/>
        <v>6022799.9999999991</v>
      </c>
      <c r="BK50" s="735">
        <f t="shared" si="118"/>
        <v>0</v>
      </c>
      <c r="BL50" s="735">
        <f t="shared" si="119"/>
        <v>126910.00000000001</v>
      </c>
      <c r="BM50" s="735">
        <f t="shared" si="120"/>
        <v>0</v>
      </c>
      <c r="BN50" s="735"/>
      <c r="BO50" s="735"/>
      <c r="BP50" s="735">
        <f t="shared" si="121"/>
        <v>6149710</v>
      </c>
      <c r="BQ50" s="769">
        <f t="shared" si="41"/>
        <v>6149710</v>
      </c>
      <c r="BU50"/>
      <c r="BV50"/>
    </row>
    <row r="51" spans="1:74" ht="18" customHeight="1" x14ac:dyDescent="0.35">
      <c r="A51">
        <v>1.75</v>
      </c>
      <c r="B51" s="163">
        <v>46180</v>
      </c>
      <c r="C51" s="163">
        <f t="shared" si="108"/>
        <v>46181</v>
      </c>
      <c r="E51" s="854" t="e">
        <f>VLOOKUP(EOMONTH(B51,0),[3]FWD!$E$4:$J$11,6,FALSE)+A51</f>
        <v>#N/A</v>
      </c>
      <c r="F51" s="153">
        <f>IF(AN51=0,0,VLOOKUP(AA51,Control!$G$41:$J$44,4,FALSE))</f>
        <v>0</v>
      </c>
      <c r="G51" s="518">
        <f t="shared" si="109"/>
        <v>46180.5</v>
      </c>
      <c r="H51"/>
      <c r="I51"/>
      <c r="J51"/>
      <c r="K51"/>
      <c r="L51"/>
      <c r="M51"/>
      <c r="N51"/>
      <c r="O51"/>
      <c r="P51"/>
      <c r="Q51"/>
      <c r="R51"/>
      <c r="S51"/>
      <c r="V51" s="191">
        <f>INDEX([2]Sheet1!$F$2:$AG$5,MATCH($X51,[2]Sheet1!$F$2:$F$5,0),MATCH(AB51,[2]Sheet1!$F$2:$AG$2,0))</f>
        <v>21.51</v>
      </c>
      <c r="W51" s="138">
        <f>INDEX(Control!$E$17:$J$21,MATCH(AA51,Control!$E$17:$E$21,0),MATCH(X51,Control!$E$17:$J$17,0))</f>
        <v>0</v>
      </c>
      <c r="X51" s="138" t="s">
        <v>45</v>
      </c>
      <c r="Y51" s="116">
        <f>INDEX(Vessel_Minimum_MT,MATCH(AA51,Control!$E$11:$E$15,0),MATCH(X51,Control!$E$11:$J$11,0))</f>
        <v>70000</v>
      </c>
      <c r="Z51" s="140">
        <f>AD51/Control!$D$84</f>
        <v>90096.96796338672</v>
      </c>
      <c r="AA51" s="566" t="s">
        <v>23</v>
      </c>
      <c r="AB51" s="142" t="s">
        <v>42</v>
      </c>
      <c r="AC51" s="142" t="str">
        <f t="shared" si="110"/>
        <v>USGC/Nsea</v>
      </c>
      <c r="AD51" s="141">
        <f t="shared" ref="AD51:AD57" si="128">AD50</f>
        <v>700000</v>
      </c>
      <c r="AE51" s="567">
        <v>70</v>
      </c>
      <c r="AF51" s="568">
        <v>390</v>
      </c>
      <c r="AG51" s="149">
        <f>IF(AE51&gt;1000,IF(AF51=0,AE51,AF51)/AD51,((Y51*V51*(IF(AF51=0,AE51,AF51)/100))+IF(Z51&lt;Y51,0,(Z51-Y51)*V51*IF(AF51=0,AE51,AF51)/100*W51))/AD51)</f>
        <v>8.3888999999999996</v>
      </c>
      <c r="AH51" s="141">
        <f t="shared" si="123"/>
        <v>0</v>
      </c>
      <c r="AI51" s="155">
        <f>INDEX(Control!$AS$36:$AY$118,MATCH(Report!$AB51,Control!$AS$36:$AS$118,0),MATCH(Report!AI$23,Control!$AS$36:$AY$36,0))</f>
        <v>-10</v>
      </c>
      <c r="AJ51" s="155">
        <f>INDEX(Control!$AS$36:$AY$118,MATCH(Report!$AB51,Control!$AS$36:$AS$118,0),MATCH(Report!AJ$23,Control!$AS$36:$AY$36,0))</f>
        <v>0</v>
      </c>
      <c r="AK51" s="143">
        <f>AH51*VLOOKUP($AA51,Control!$F$75:$H$87,3,FALSE)/$AD51</f>
        <v>0</v>
      </c>
      <c r="AL51" s="144">
        <f>IF($AM$3=1,$AI51*Control!$D$77,0)</f>
        <v>0</v>
      </c>
      <c r="AM51" s="144">
        <f>IF($AM$4=1,$AJ51*Control!$D$77,0)</f>
        <v>0</v>
      </c>
      <c r="AN51" s="143">
        <f>IF(((AD51-VLOOKUP(AA51,Control!$J$76:$K$80,2,FALSE))/Control!$D$85)&lt;=0,0,ROUNDUP(((AD51-VLOOKUP(AA51,Control!$J$76:$K$80,2,FALSE))/Control!$D$85),0)*Control!$H$90/AD51)</f>
        <v>0</v>
      </c>
      <c r="AO51" s="143">
        <f>IF(K51="Corpus Christi",Control!$D$76,0)</f>
        <v>0</v>
      </c>
      <c r="AP51" s="143">
        <v>0</v>
      </c>
      <c r="AQ51" s="143">
        <f>Control!$D$78</f>
        <v>0</v>
      </c>
      <c r="AR51" s="143">
        <f>Control!$D$79</f>
        <v>6.7299999999999999E-2</v>
      </c>
      <c r="AS51" s="143">
        <f>IF(INDEX(Control!$Q$3:$S$62,MATCH($AB51,Control!$Q$3:$Q$62,0),MATCH(AS$8,Control!$Q$3:$S$3,0))=1,Control!$D$81*Control!$E$81,0)</f>
        <v>0</v>
      </c>
      <c r="AT51" s="143">
        <f>IF(INDEX(Control!$Q$3:$S$62,MATCH($AB51,Control!$Q$3:$Q$62,0),MATCH(AT$8,Control!$Q$3:$S$3,0))=1,INDEX(Control!$AK$3:$AO$69,MATCH(Report!AB51,Control!$AK$3:$AK$29,0),MATCH(Report!AA51,Control!$AK$3:$AO$3,0))/AD51*1000,0)</f>
        <v>0</v>
      </c>
      <c r="AU51" s="143">
        <f t="shared" si="124"/>
        <v>0.114</v>
      </c>
      <c r="AV51" s="143"/>
      <c r="AW51" s="149">
        <f t="shared" ref="AW51" si="129">SUM(AK51:AV51)</f>
        <v>0.18130000000000002</v>
      </c>
      <c r="AX51" s="149">
        <f t="shared" si="111"/>
        <v>8.5701999999999998</v>
      </c>
      <c r="AY51" s="149">
        <f t="shared" si="112"/>
        <v>0</v>
      </c>
      <c r="AZ51" s="149" t="e">
        <f t="shared" si="113"/>
        <v>#N/A</v>
      </c>
      <c r="BA51" s="857" t="e">
        <f t="shared" si="126"/>
        <v>#N/A</v>
      </c>
      <c r="BD51" s="153">
        <f>+INDEX('[1]Transit Time'!$A:$DZ,MATCH(X51,'[1]Transit Time'!$A:$A,0),MATCH(AB51,'[1]Transit Time'!$A$1:$DZ$1,0))</f>
        <v>17</v>
      </c>
      <c r="BE51" s="163">
        <f t="shared" si="127"/>
        <v>46197.5</v>
      </c>
      <c r="BF51" s="163">
        <f t="shared" si="114"/>
        <v>46199.5</v>
      </c>
      <c r="BG51" s="163" t="s">
        <v>157</v>
      </c>
      <c r="BH51" s="490">
        <f t="shared" si="115"/>
        <v>46203</v>
      </c>
      <c r="BI51" s="490">
        <f t="shared" si="116"/>
        <v>46203</v>
      </c>
      <c r="BJ51" s="735">
        <f t="shared" si="117"/>
        <v>5872230</v>
      </c>
      <c r="BK51" s="735">
        <f t="shared" si="118"/>
        <v>0</v>
      </c>
      <c r="BL51" s="735">
        <f t="shared" si="119"/>
        <v>126910.00000000001</v>
      </c>
      <c r="BM51" s="735">
        <f t="shared" si="120"/>
        <v>0</v>
      </c>
      <c r="BN51" s="735"/>
      <c r="BO51" s="735"/>
      <c r="BP51" s="735">
        <f t="shared" si="121"/>
        <v>5999140</v>
      </c>
      <c r="BQ51" s="769">
        <f t="shared" si="41"/>
        <v>5999140</v>
      </c>
      <c r="BU51"/>
      <c r="BV51"/>
    </row>
    <row r="52" spans="1:74" ht="18" customHeight="1" x14ac:dyDescent="0.35">
      <c r="A52">
        <v>1.75</v>
      </c>
      <c r="B52" s="163">
        <v>46184</v>
      </c>
      <c r="C52" s="163">
        <f t="shared" ref="C52:C56" si="130">B52+1</f>
        <v>46185</v>
      </c>
      <c r="E52" s="854" t="e">
        <f>VLOOKUP(EOMONTH(B52,0),[3]FWD!$E$4:$J$11,6,FALSE)+A52</f>
        <v>#N/A</v>
      </c>
      <c r="F52" s="229">
        <f>IF(AN52=0,0,VLOOKUP(AA52,Control!$G$41:$J$44,4,FALSE))</f>
        <v>0</v>
      </c>
      <c r="G52" s="519">
        <f t="shared" si="109"/>
        <v>46184.5</v>
      </c>
      <c r="H52"/>
      <c r="I52"/>
      <c r="J52"/>
      <c r="K52"/>
      <c r="L52"/>
      <c r="M52"/>
      <c r="N52"/>
      <c r="O52"/>
      <c r="P52"/>
      <c r="Q52"/>
      <c r="R52"/>
      <c r="S52"/>
      <c r="V52" s="220">
        <f>INDEX([2]Sheet1!$F$2:$AG$5,MATCH($X52,[2]Sheet1!$F$2:$F$5,0),MATCH(AB52,[2]Sheet1!$F$2:$AG$2,0))</f>
        <v>21.51</v>
      </c>
      <c r="W52" s="220">
        <f>INDEX(Control!$E$17:$J$21,MATCH(AA52,Control!$E$17:$E$21,0),MATCH(X52,Control!$E$17:$J$17,0))</f>
        <v>0</v>
      </c>
      <c r="X52" s="220" t="s">
        <v>45</v>
      </c>
      <c r="Y52" s="213">
        <f>INDEX(Vessel_Minimum_MT,MATCH(AA52,Control!$E$11:$E$15,0),MATCH(X52,Control!$E$11:$J$11,0))</f>
        <v>70000</v>
      </c>
      <c r="Z52" s="222">
        <f>AD52/Control!$D$84</f>
        <v>90096.96796338672</v>
      </c>
      <c r="AA52" s="258" t="s">
        <v>23</v>
      </c>
      <c r="AB52" s="212" t="s">
        <v>42</v>
      </c>
      <c r="AC52" s="212" t="str">
        <f t="shared" si="110"/>
        <v>USGC/Nsea</v>
      </c>
      <c r="AD52" s="214">
        <f t="shared" si="128"/>
        <v>700000</v>
      </c>
      <c r="AE52" s="214">
        <v>70</v>
      </c>
      <c r="AF52" s="224">
        <v>340</v>
      </c>
      <c r="AG52" s="225">
        <f t="shared" si="122"/>
        <v>7.3133999999999997</v>
      </c>
      <c r="AH52" s="214">
        <f t="shared" si="123"/>
        <v>0</v>
      </c>
      <c r="AI52" s="214">
        <f>INDEX(Control!$AS$36:$AY$118,MATCH(Report!$AB52,Control!$AS$36:$AS$118,0),MATCH(Report!AI$23,Control!$AS$36:$AY$36,0))</f>
        <v>-10</v>
      </c>
      <c r="AJ52" s="214">
        <f>INDEX(Control!$AS$36:$AY$118,MATCH(Report!$AB52,Control!$AS$36:$AS$118,0),MATCH(Report!AJ$23,Control!$AS$36:$AY$36,0))</f>
        <v>0</v>
      </c>
      <c r="AK52" s="227">
        <f>AH52*VLOOKUP($AA52,Control!$F$75:$H$87,3,FALSE)/$AD52</f>
        <v>0</v>
      </c>
      <c r="AL52" s="226">
        <f>IF($AM$3=1,$AI52*Control!$D$77,0)</f>
        <v>0</v>
      </c>
      <c r="AM52" s="226">
        <f>IF($AM$4=1,$AJ52*Control!$D$77,0)</f>
        <v>0</v>
      </c>
      <c r="AN52" s="227">
        <f>IF(((AD52-VLOOKUP(AA52,Control!$J$76:$K$80,2,FALSE))/Control!$D$85)&lt;=0,0,ROUNDUP(((AD52-VLOOKUP(AA52,Control!$J$76:$K$80,2,FALSE))/Control!$D$85),0)*Control!$H$90/AD52)</f>
        <v>0</v>
      </c>
      <c r="AO52" s="227">
        <f>IF(K52="Corpus Christi",Control!$D$76,0)</f>
        <v>0</v>
      </c>
      <c r="AP52" s="227">
        <v>0</v>
      </c>
      <c r="AQ52" s="227">
        <f>Control!$D$78</f>
        <v>0</v>
      </c>
      <c r="AR52" s="227">
        <f>Control!$D$79</f>
        <v>6.7299999999999999E-2</v>
      </c>
      <c r="AS52" s="227">
        <f>IF(INDEX(Control!$Q$3:$S$62,MATCH($AB52,Control!$Q$3:$Q$62,0),MATCH(AS$8,Control!$Q$3:$S$3,0))=1,Control!$D$81*Control!$E$81,0)</f>
        <v>0</v>
      </c>
      <c r="AT52" s="227">
        <f>IF(INDEX(Control!$Q$3:$S$62,MATCH($AB52,Control!$Q$3:$Q$62,0),MATCH(AT$8,Control!$Q$3:$S$3,0))=1,INDEX(Control!$AK$3:$AO$69,MATCH(Report!AB52,Control!$AK$3:$AK$29,0),MATCH(Report!AA52,Control!$AK$3:$AO$3,0))/AD52*1000,0)</f>
        <v>0</v>
      </c>
      <c r="AU52" s="227">
        <f t="shared" si="124"/>
        <v>0.114</v>
      </c>
      <c r="AV52" s="227"/>
      <c r="AW52" s="225">
        <f t="shared" ref="AW52" si="131">SUM(AK52:AV52)</f>
        <v>0.18130000000000002</v>
      </c>
      <c r="AX52" s="225">
        <f t="shared" si="111"/>
        <v>7.4946999999999999</v>
      </c>
      <c r="AY52" s="225">
        <f t="shared" si="112"/>
        <v>0</v>
      </c>
      <c r="AZ52" s="225" t="e">
        <f t="shared" si="113"/>
        <v>#N/A</v>
      </c>
      <c r="BA52" s="856" t="e">
        <f t="shared" si="126"/>
        <v>#N/A</v>
      </c>
      <c r="BC52" s="220"/>
      <c r="BD52" s="229">
        <f>+INDEX('[1]Transit Time'!$A:$DZ,MATCH(X52,'[1]Transit Time'!$A:$A,0),MATCH(AB52,'[1]Transit Time'!$A$1:$DZ$1,0))</f>
        <v>17</v>
      </c>
      <c r="BE52" s="230">
        <f t="shared" si="127"/>
        <v>46201.5</v>
      </c>
      <c r="BF52" s="230">
        <f t="shared" si="114"/>
        <v>46203.5</v>
      </c>
      <c r="BG52" s="230" t="s">
        <v>157</v>
      </c>
      <c r="BH52" s="489">
        <f t="shared" si="115"/>
        <v>46203</v>
      </c>
      <c r="BI52" s="489">
        <f t="shared" si="116"/>
        <v>46203</v>
      </c>
      <c r="BJ52" s="735">
        <f t="shared" si="117"/>
        <v>5119380</v>
      </c>
      <c r="BK52" s="735">
        <f t="shared" si="118"/>
        <v>0</v>
      </c>
      <c r="BL52" s="735">
        <f t="shared" si="119"/>
        <v>126910.00000000001</v>
      </c>
      <c r="BM52" s="735">
        <f t="shared" si="120"/>
        <v>0</v>
      </c>
      <c r="BN52" s="735"/>
      <c r="BO52" s="735"/>
      <c r="BP52" s="735">
        <f t="shared" si="121"/>
        <v>5246290</v>
      </c>
      <c r="BQ52" s="769">
        <f t="shared" si="41"/>
        <v>5246290</v>
      </c>
      <c r="BU52"/>
      <c r="BV52"/>
    </row>
    <row r="53" spans="1:74" ht="18" customHeight="1" x14ac:dyDescent="0.35">
      <c r="A53">
        <v>1</v>
      </c>
      <c r="B53" s="163">
        <v>46187</v>
      </c>
      <c r="C53" s="163">
        <f t="shared" si="130"/>
        <v>46188</v>
      </c>
      <c r="E53" s="854" t="e">
        <f>VLOOKUP(EOMONTH(B53,0),[3]FWD!$E$4:$J$11,6,FALSE)+A53</f>
        <v>#N/A</v>
      </c>
      <c r="F53" s="153">
        <f>IF(AN53=0,0,VLOOKUP(AA53,Control!$G$41:$J$44,4,FALSE))</f>
        <v>0</v>
      </c>
      <c r="G53" s="518">
        <f t="shared" si="109"/>
        <v>46187.5</v>
      </c>
      <c r="H53"/>
      <c r="I53"/>
      <c r="J53"/>
      <c r="K53"/>
      <c r="L53"/>
      <c r="M53"/>
      <c r="N53"/>
      <c r="O53"/>
      <c r="P53"/>
      <c r="Q53"/>
      <c r="R53"/>
      <c r="S53"/>
      <c r="V53" s="191">
        <f>INDEX([2]Sheet1!$F$2:$AG$5,MATCH($X53,[2]Sheet1!$F$2:$F$5,0),MATCH(AB53,[2]Sheet1!$F$2:$AG$2,0))</f>
        <v>21.51</v>
      </c>
      <c r="W53" s="138">
        <f>INDEX(Control!$E$17:$J$21,MATCH(AA53,Control!$E$17:$E$21,0),MATCH(X53,Control!$E$17:$J$17,0))</f>
        <v>0</v>
      </c>
      <c r="X53" s="138" t="s">
        <v>45</v>
      </c>
      <c r="Y53" s="116">
        <f>INDEX(Vessel_Minimum_MT,MATCH(AA53,Control!$E$11:$E$15,0),MATCH(X53,Control!$E$11:$J$11,0))</f>
        <v>70000</v>
      </c>
      <c r="Z53" s="140">
        <f>AD53/Control!$D$84</f>
        <v>90096.96796338672</v>
      </c>
      <c r="AA53" s="147" t="s">
        <v>23</v>
      </c>
      <c r="AB53" s="142" t="s">
        <v>42</v>
      </c>
      <c r="AC53" s="142" t="str">
        <f t="shared" si="110"/>
        <v>USGC/Nsea</v>
      </c>
      <c r="AD53" s="141">
        <f t="shared" si="128"/>
        <v>700000</v>
      </c>
      <c r="AE53" s="141">
        <v>70</v>
      </c>
      <c r="AF53" s="49">
        <f t="shared" ref="AF53:AF54" si="132">AF52</f>
        <v>340</v>
      </c>
      <c r="AG53" s="149">
        <f t="shared" si="122"/>
        <v>7.3133999999999997</v>
      </c>
      <c r="AH53" s="15">
        <f t="shared" si="123"/>
        <v>0</v>
      </c>
      <c r="AI53" s="155">
        <f>INDEX(Control!$AS$36:$AY$118,MATCH(Report!$AB53,Control!$AS$36:$AS$118,0),MATCH(Report!AI$23,Control!$AS$36:$AY$36,0))</f>
        <v>-10</v>
      </c>
      <c r="AJ53" s="155">
        <f>INDEX(Control!$AS$36:$AY$118,MATCH(Report!$AB53,Control!$AS$36:$AS$118,0),MATCH(Report!AJ$23,Control!$AS$36:$AY$36,0))</f>
        <v>0</v>
      </c>
      <c r="AK53" s="143">
        <f>AH53*VLOOKUP($AA53,Control!$F$75:$H$87,3,FALSE)/$AD53</f>
        <v>0</v>
      </c>
      <c r="AL53" s="144">
        <f>IF($AM$3=1,$AI53*Control!$D$77,0)</f>
        <v>0</v>
      </c>
      <c r="AM53" s="144">
        <f>IF($AM$4=1,$AJ53*Control!$D$77,0)</f>
        <v>0</v>
      </c>
      <c r="AN53" s="143">
        <f>IF(((AD53-VLOOKUP(AA53,Control!$J$76:$K$80,2,FALSE))/Control!$D$85)&lt;=0,0,ROUNDUP(((AD53-VLOOKUP(AA53,Control!$J$76:$K$80,2,FALSE))/Control!$D$85),0)*Control!$H$90/AD53)</f>
        <v>0</v>
      </c>
      <c r="AO53" s="143">
        <f>IF(K53="Corpus Christi",Control!$D$76,0)</f>
        <v>0</v>
      </c>
      <c r="AP53" s="143">
        <v>0</v>
      </c>
      <c r="AQ53" s="143">
        <f>Control!$D$78</f>
        <v>0</v>
      </c>
      <c r="AR53" s="143">
        <f>Control!$D$79</f>
        <v>6.7299999999999999E-2</v>
      </c>
      <c r="AS53" s="143">
        <f>IF(INDEX(Control!$Q$3:$S$62,MATCH($AB53,Control!$Q$3:$Q$62,0),MATCH(AS$8,Control!$Q$3:$S$3,0))=1,Control!$D$81*Control!$E$81,0)</f>
        <v>0</v>
      </c>
      <c r="AT53" s="143">
        <f>IF(INDEX(Control!$Q$3:$S$62,MATCH($AB53,Control!$Q$3:$Q$62,0),MATCH(AT$8,Control!$Q$3:$S$3,0))=1,INDEX(Control!$AK$3:$AO$69,MATCH(Report!AB53,Control!$AK$3:$AK$29,0),MATCH(Report!AA53,Control!$AK$3:$AO$3,0))/AD53*1000,0)</f>
        <v>0</v>
      </c>
      <c r="AU53" s="143">
        <f t="shared" si="124"/>
        <v>0.114</v>
      </c>
      <c r="AV53" s="143"/>
      <c r="AW53" s="149">
        <f t="shared" ref="AW53" si="133">SUM(AK53:AV53)</f>
        <v>0.18130000000000002</v>
      </c>
      <c r="AX53" s="149">
        <f t="shared" si="111"/>
        <v>7.4946999999999999</v>
      </c>
      <c r="AY53" s="149">
        <f t="shared" si="112"/>
        <v>0</v>
      </c>
      <c r="AZ53" s="149" t="e">
        <f t="shared" si="113"/>
        <v>#N/A</v>
      </c>
      <c r="BA53" s="857" t="e">
        <f t="shared" si="126"/>
        <v>#N/A</v>
      </c>
      <c r="BD53" s="153">
        <f>+INDEX('[1]Transit Time'!$A:$DZ,MATCH(X53,'[1]Transit Time'!$A:$A,0),MATCH(AB53,'[1]Transit Time'!$A$1:$DZ$1,0))</f>
        <v>17</v>
      </c>
      <c r="BE53" s="163">
        <f t="shared" si="127"/>
        <v>46204.5</v>
      </c>
      <c r="BF53" s="163">
        <f t="shared" si="114"/>
        <v>46206.5</v>
      </c>
      <c r="BG53" s="163" t="s">
        <v>157</v>
      </c>
      <c r="BH53" s="490">
        <f t="shared" si="115"/>
        <v>46234</v>
      </c>
      <c r="BI53" s="490">
        <f t="shared" si="116"/>
        <v>46234</v>
      </c>
      <c r="BJ53" s="735">
        <f t="shared" si="117"/>
        <v>5119380</v>
      </c>
      <c r="BK53" s="735">
        <f t="shared" si="118"/>
        <v>0</v>
      </c>
      <c r="BL53" s="735">
        <f t="shared" si="119"/>
        <v>126910.00000000001</v>
      </c>
      <c r="BM53" s="735">
        <f t="shared" si="120"/>
        <v>0</v>
      </c>
      <c r="BN53" s="735"/>
      <c r="BO53" s="735"/>
      <c r="BP53" s="735">
        <f t="shared" si="121"/>
        <v>5246290</v>
      </c>
      <c r="BQ53" s="769">
        <f t="shared" si="41"/>
        <v>5246290</v>
      </c>
      <c r="BU53"/>
      <c r="BV53"/>
    </row>
    <row r="54" spans="1:74" ht="18" customHeight="1" x14ac:dyDescent="0.35">
      <c r="A54">
        <v>0.75</v>
      </c>
      <c r="B54" s="163">
        <v>46194</v>
      </c>
      <c r="C54" s="163">
        <f t="shared" si="130"/>
        <v>46195</v>
      </c>
      <c r="E54" s="854" t="e">
        <f>VLOOKUP(EOMONTH(B54,0),[3]FWD!$E$4:$J$11,6,FALSE)+A54</f>
        <v>#N/A</v>
      </c>
      <c r="F54" s="153">
        <f>IF(AN54=0,0,VLOOKUP(AA54,Control!$G$41:$J$44,4,FALSE))</f>
        <v>0</v>
      </c>
      <c r="G54" s="518">
        <f t="shared" ref="G54" si="134">AVERAGE(B54:C54)+F54</f>
        <v>46194.5</v>
      </c>
      <c r="H54"/>
      <c r="I54"/>
      <c r="J54"/>
      <c r="K54"/>
      <c r="L54"/>
      <c r="M54"/>
      <c r="N54"/>
      <c r="O54"/>
      <c r="P54"/>
      <c r="Q54"/>
      <c r="R54"/>
      <c r="S54"/>
      <c r="V54" s="191">
        <f>INDEX([2]Sheet1!$F$2:$AG$5,MATCH($X54,[2]Sheet1!$F$2:$F$5,0),MATCH(AB54,[2]Sheet1!$F$2:$AG$2,0))</f>
        <v>21.51</v>
      </c>
      <c r="W54" s="138">
        <f>INDEX(Control!$E$17:$J$21,MATCH(AA54,Control!$E$17:$E$21,0),MATCH(X54,Control!$E$17:$J$17,0))</f>
        <v>0</v>
      </c>
      <c r="X54" s="138" t="s">
        <v>45</v>
      </c>
      <c r="Y54" s="116">
        <f>INDEX(Vessel_Minimum_MT,MATCH(AA54,Control!$E$11:$E$15,0),MATCH(X54,Control!$E$11:$J$11,0))</f>
        <v>70000</v>
      </c>
      <c r="Z54" s="140">
        <f>AD54/Control!$D$84</f>
        <v>90096.96796338672</v>
      </c>
      <c r="AA54" s="147" t="s">
        <v>23</v>
      </c>
      <c r="AB54" s="142" t="s">
        <v>42</v>
      </c>
      <c r="AC54" s="142" t="str">
        <f t="shared" ref="AC54" si="135">IF(AB54=X54,"",CONCATENATE(CONCATENATE(VLOOKUP(X54,Zones,2,FALSE),"/",VLOOKUP(AB54,Zones,2,FALSE))))</f>
        <v>USGC/Nsea</v>
      </c>
      <c r="AD54" s="141">
        <f t="shared" si="128"/>
        <v>700000</v>
      </c>
      <c r="AE54" s="141">
        <v>70</v>
      </c>
      <c r="AF54" s="49">
        <f t="shared" si="132"/>
        <v>340</v>
      </c>
      <c r="AG54" s="149">
        <f t="shared" ref="AG54" si="136">IF(AE54&gt;1000,IF(AF54=0,AE54,AF54)/AD54,((Y54*V54*(IF(AF54=0,AE54,AF54)/100))+IF(Z54&lt;Y54,0,(Z54-Y54)*V54*IF(AF54=0,AE54,AF54)/100*W54))/AD54)</f>
        <v>7.3133999999999997</v>
      </c>
      <c r="AH54" s="15">
        <f t="shared" si="123"/>
        <v>0</v>
      </c>
      <c r="AI54" s="155">
        <f>INDEX(Control!$AS$36:$AY$118,MATCH(Report!$AB54,Control!$AS$36:$AS$118,0),MATCH(Report!AI$23,Control!$AS$36:$AY$36,0))</f>
        <v>-10</v>
      </c>
      <c r="AJ54" s="155">
        <f>INDEX(Control!$AS$36:$AY$118,MATCH(Report!$AB54,Control!$AS$36:$AS$118,0),MATCH(Report!AJ$23,Control!$AS$36:$AY$36,0))</f>
        <v>0</v>
      </c>
      <c r="AK54" s="143">
        <f>AH54*VLOOKUP($AA54,Control!$F$75:$H$87,3,FALSE)/$AD54</f>
        <v>0</v>
      </c>
      <c r="AL54" s="144">
        <f>IF($AM$3=1,$AI54*Control!$D$77,0)</f>
        <v>0</v>
      </c>
      <c r="AM54" s="144">
        <f>IF($AM$4=1,$AJ54*Control!$D$77,0)</f>
        <v>0</v>
      </c>
      <c r="AN54" s="143">
        <f>IF(((AD54-VLOOKUP(AA54,Control!$J$76:$K$80,2,FALSE))/Control!$D$85)&lt;=0,0,ROUNDUP(((AD54-VLOOKUP(AA54,Control!$J$76:$K$80,2,FALSE))/Control!$D$85),0)*Control!$H$90/AD54)</f>
        <v>0</v>
      </c>
      <c r="AO54" s="143">
        <f>IF(K54="Corpus Christi",Control!$D$76,0)</f>
        <v>0</v>
      </c>
      <c r="AP54" s="143">
        <v>0</v>
      </c>
      <c r="AQ54" s="143">
        <f>Control!$D$78</f>
        <v>0</v>
      </c>
      <c r="AR54" s="143">
        <f>Control!$D$79</f>
        <v>6.7299999999999999E-2</v>
      </c>
      <c r="AS54" s="143">
        <f>IF(INDEX(Control!$Q$3:$S$62,MATCH($AB54,Control!$Q$3:$Q$62,0),MATCH(AS$8,Control!$Q$3:$S$3,0))=1,Control!$D$81*Control!$E$81,0)</f>
        <v>0</v>
      </c>
      <c r="AT54" s="143">
        <f>IF(INDEX(Control!$Q$3:$S$62,MATCH($AB54,Control!$Q$3:$Q$62,0),MATCH(AT$8,Control!$Q$3:$S$3,0))=1,INDEX(Control!$AK$3:$AO$69,MATCH(Report!AB54,Control!$AK$3:$AK$29,0),MATCH(Report!AA54,Control!$AK$3:$AO$3,0))/AD54*1000,0)</f>
        <v>0</v>
      </c>
      <c r="AU54" s="143">
        <f t="shared" ref="AU54" si="137">IF(AB54="Rotterdam",0.114,"")</f>
        <v>0.114</v>
      </c>
      <c r="AV54" s="143"/>
      <c r="AW54" s="149">
        <f t="shared" ref="AW54" si="138">SUM(AK54:AV54)</f>
        <v>0.18130000000000002</v>
      </c>
      <c r="AX54" s="149">
        <f t="shared" ref="AX54" si="139">+T54+AG54+AW54</f>
        <v>7.4946999999999999</v>
      </c>
      <c r="AY54" s="149">
        <f t="shared" ref="AY54" si="140">IF((MONTH(B54)=MONTH(BI54)),0,IF(((MONTH(BI54))-MONTH(B54))+12*YEAR(BH54)-YEAR(B54)&gt;1,SUMIFS($BE$4:$BI$4,$BE$3:$BI$3,"&lt;="&amp;EOMONTH(BH54,-1),$BE$3:$BI$3,"&gt;="&amp;EOMONTH(B54,0)),VLOOKUP("Spreads",$BD$3:$BI$4,MATCH(EOMONTH(B54,0),$BD$3:$BI$3,0))))</f>
        <v>0</v>
      </c>
      <c r="AZ54" s="149" t="e">
        <f t="shared" ref="AZ54" si="141">-HLOOKUP(EOMONTH(BH54,0),$BE$3:$BH$6,3,FALSE)</f>
        <v>#N/A</v>
      </c>
      <c r="BA54" s="857" t="e">
        <f t="shared" ref="BA54" si="142">$E54+AX54+AY54+AZ54</f>
        <v>#N/A</v>
      </c>
      <c r="BD54" s="153">
        <f>+INDEX('[1]Transit Time'!$A:$DZ,MATCH(X54,'[1]Transit Time'!$A:$A,0),MATCH(AB54,'[1]Transit Time'!$A$1:$DZ$1,0))</f>
        <v>17</v>
      </c>
      <c r="BE54" s="163">
        <f t="shared" ref="BE54" si="143">IF(ISBLANK(G54),"",G54+$BD54+F54)</f>
        <v>46211.5</v>
      </c>
      <c r="BF54" s="163">
        <f t="shared" ref="BF54" si="144">BE54+2</f>
        <v>46213.5</v>
      </c>
      <c r="BG54" s="163" t="s">
        <v>157</v>
      </c>
      <c r="BH54" s="490">
        <f t="shared" ref="BH54" si="145">EOMONTH(BF54,0)</f>
        <v>46234</v>
      </c>
      <c r="BI54" s="490">
        <f t="shared" ref="BI54" si="146">BH54</f>
        <v>46234</v>
      </c>
      <c r="BJ54" s="735">
        <f t="shared" ref="BJ54" si="147">AG54*AD54</f>
        <v>5119380</v>
      </c>
      <c r="BK54" s="735">
        <f t="shared" ref="BK54" si="148">AK54*AD54</f>
        <v>0</v>
      </c>
      <c r="BL54" s="735">
        <f t="shared" ref="BL54" si="149">(AW54-AK54-AL54)*AD54</f>
        <v>126910.00000000001</v>
      </c>
      <c r="BM54" s="735">
        <f t="shared" ref="BM54" si="150">AL54*AD54</f>
        <v>0</v>
      </c>
      <c r="BN54" s="735"/>
      <c r="BO54" s="735"/>
      <c r="BP54" s="735">
        <f t="shared" ref="BP54" si="151">(AX54-AL54)*AD54</f>
        <v>5246290</v>
      </c>
      <c r="BQ54" s="769">
        <f t="shared" ref="BQ54" si="152">BP54-BM54</f>
        <v>5246290</v>
      </c>
      <c r="BU54"/>
      <c r="BV54"/>
    </row>
    <row r="55" spans="1:74" ht="18" customHeight="1" x14ac:dyDescent="0.35">
      <c r="A55">
        <v>0.5</v>
      </c>
      <c r="B55" s="163">
        <v>46199</v>
      </c>
      <c r="C55" s="163">
        <f t="shared" si="130"/>
        <v>46200</v>
      </c>
      <c r="E55" s="854" t="e">
        <f>VLOOKUP(EOMONTH(B55,0),[3]FWD!$E$4:$J$11,6,FALSE)+A55</f>
        <v>#N/A</v>
      </c>
      <c r="F55" s="153">
        <f>IF(AN55=0,0,VLOOKUP(AA55,Control!$G$41:$J$44,4,FALSE))</f>
        <v>0</v>
      </c>
      <c r="G55" s="518">
        <f t="shared" ref="G55" si="153">AVERAGE(B55:C55)+F55</f>
        <v>46199.5</v>
      </c>
      <c r="H55"/>
      <c r="I55"/>
      <c r="J55"/>
      <c r="K55"/>
      <c r="L55"/>
      <c r="M55"/>
      <c r="N55"/>
      <c r="O55"/>
      <c r="P55"/>
      <c r="Q55"/>
      <c r="R55"/>
      <c r="S55"/>
      <c r="V55" s="191">
        <f>INDEX([2]Sheet1!$F$2:$AG$5,MATCH($X55,[2]Sheet1!$F$2:$F$5,0),MATCH(AB55,[2]Sheet1!$F$2:$AG$2,0))</f>
        <v>21.51</v>
      </c>
      <c r="W55" s="138">
        <f>INDEX(Control!$E$17:$J$21,MATCH(AA55,Control!$E$17:$E$21,0),MATCH(X55,Control!$E$17:$J$17,0))</f>
        <v>0</v>
      </c>
      <c r="X55" s="138" t="s">
        <v>45</v>
      </c>
      <c r="Y55" s="116">
        <f>INDEX(Vessel_Minimum_MT,MATCH(AA55,Control!$E$11:$E$15,0),MATCH(X55,Control!$E$11:$J$11,0))</f>
        <v>70000</v>
      </c>
      <c r="Z55" s="140">
        <f>AD55/Control!$D$84</f>
        <v>90096.96796338672</v>
      </c>
      <c r="AA55" s="147" t="s">
        <v>23</v>
      </c>
      <c r="AB55" s="142" t="s">
        <v>42</v>
      </c>
      <c r="AC55" s="142" t="str">
        <f t="shared" ref="AC55" si="154">IF(AB55=X55,"",CONCATENATE(CONCATENATE(VLOOKUP(X55,Zones,2,FALSE),"/",VLOOKUP(AB55,Zones,2,FALSE))))</f>
        <v>USGC/Nsea</v>
      </c>
      <c r="AD55" s="141">
        <f t="shared" si="128"/>
        <v>700000</v>
      </c>
      <c r="AE55" s="141">
        <v>70</v>
      </c>
      <c r="AF55" s="49">
        <f>AF54</f>
        <v>340</v>
      </c>
      <c r="AG55" s="149">
        <f t="shared" ref="AG55" si="155">IF(AE55&gt;1000,IF(AF55=0,AE55,AF55)/AD55,((Y55*V55*(IF(AF55=0,AE55,AF55)/100))+IF(Z55&lt;Y55,0,(Z55-Y55)*V55*IF(AF55=0,AE55,AF55)/100*W55))/AD55)</f>
        <v>7.3133999999999997</v>
      </c>
      <c r="AH55" s="15">
        <f t="shared" si="123"/>
        <v>0</v>
      </c>
      <c r="AI55" s="155">
        <f>INDEX(Control!$AS$36:$AY$118,MATCH(Report!$AB55,Control!$AS$36:$AS$118,0),MATCH(Report!AI$23,Control!$AS$36:$AY$36,0))</f>
        <v>-10</v>
      </c>
      <c r="AJ55" s="155">
        <f>INDEX(Control!$AS$36:$AY$118,MATCH(Report!$AB55,Control!$AS$36:$AS$118,0),MATCH(Report!AJ$23,Control!$AS$36:$AY$36,0))</f>
        <v>0</v>
      </c>
      <c r="AK55" s="143">
        <f>AH55*VLOOKUP($AA55,Control!$F$75:$H$87,3,FALSE)/$AD55</f>
        <v>0</v>
      </c>
      <c r="AL55" s="144">
        <f>IF($AM$3=1,$AI55*Control!$D$77,0)</f>
        <v>0</v>
      </c>
      <c r="AM55" s="144">
        <f>IF($AM$4=1,$AJ55*Control!$D$77,0)</f>
        <v>0</v>
      </c>
      <c r="AN55" s="143">
        <f>IF(((AD55-VLOOKUP(AA55,Control!$J$76:$K$80,2,FALSE))/Control!$D$85)&lt;=0,0,ROUNDUP(((AD55-VLOOKUP(AA55,Control!$J$76:$K$80,2,FALSE))/Control!$D$85),0)*Control!$H$90/AD55)</f>
        <v>0</v>
      </c>
      <c r="AO55" s="143">
        <f>IF(K55="Corpus Christi",Control!$D$76,0)</f>
        <v>0</v>
      </c>
      <c r="AP55" s="143">
        <v>0</v>
      </c>
      <c r="AQ55" s="143">
        <f>Control!$D$78</f>
        <v>0</v>
      </c>
      <c r="AR55" s="143">
        <f>Control!$D$79</f>
        <v>6.7299999999999999E-2</v>
      </c>
      <c r="AS55" s="143">
        <f>IF(INDEX(Control!$Q$3:$S$62,MATCH($AB55,Control!$Q$3:$Q$62,0),MATCH(AS$8,Control!$Q$3:$S$3,0))=1,Control!$D$81*Control!$E$81,0)</f>
        <v>0</v>
      </c>
      <c r="AT55" s="143">
        <f>IF(INDEX(Control!$Q$3:$S$62,MATCH($AB55,Control!$Q$3:$Q$62,0),MATCH(AT$8,Control!$Q$3:$S$3,0))=1,INDEX(Control!$AK$3:$AO$69,MATCH(Report!AB55,Control!$AK$3:$AK$29,0),MATCH(Report!AA55,Control!$AK$3:$AO$3,0))/AD55*1000,0)</f>
        <v>0</v>
      </c>
      <c r="AU55" s="143">
        <f t="shared" ref="AU55" si="156">IF(AB55="Rotterdam",0.114,"")</f>
        <v>0.114</v>
      </c>
      <c r="AV55" s="143"/>
      <c r="AW55" s="149">
        <f t="shared" ref="AW55" si="157">SUM(AK55:AV55)</f>
        <v>0.18130000000000002</v>
      </c>
      <c r="AX55" s="149">
        <f t="shared" ref="AX55" si="158">+T55+AG55+AW55</f>
        <v>7.4946999999999999</v>
      </c>
      <c r="AY55" s="149">
        <f t="shared" ref="AY55" si="159">IF((MONTH(B55)=MONTH(BI55)),0,IF(((MONTH(BI55))-MONTH(B55))+12*YEAR(BH55)-YEAR(B55)&gt;1,SUMIFS($BE$4:$BI$4,$BE$3:$BI$3,"&lt;="&amp;EOMONTH(BH55,-1),$BE$3:$BI$3,"&gt;="&amp;EOMONTH(B55,0)),VLOOKUP("Spreads",$BD$3:$BI$4,MATCH(EOMONTH(B55,0),$BD$3:$BI$3,0))))</f>
        <v>0</v>
      </c>
      <c r="AZ55" s="149" t="e">
        <f t="shared" ref="AZ55" si="160">-HLOOKUP(EOMONTH(BH55,0),$BE$3:$BH$6,3,FALSE)</f>
        <v>#N/A</v>
      </c>
      <c r="BA55" s="857" t="e">
        <f t="shared" ref="BA55" si="161">$E55+AX55+AY55+AZ55</f>
        <v>#N/A</v>
      </c>
      <c r="BD55" s="153">
        <f>+INDEX('[1]Transit Time'!$A:$DZ,MATCH(X55,'[1]Transit Time'!$A:$A,0),MATCH(AB55,'[1]Transit Time'!$A$1:$DZ$1,0))</f>
        <v>17</v>
      </c>
      <c r="BE55" s="163">
        <f t="shared" ref="BE55" si="162">IF(ISBLANK(G55),"",G55+$BD55+F55)</f>
        <v>46216.5</v>
      </c>
      <c r="BF55" s="163">
        <f t="shared" ref="BF55" si="163">BE55+2</f>
        <v>46218.5</v>
      </c>
      <c r="BG55" s="163" t="s">
        <v>157</v>
      </c>
      <c r="BH55" s="490">
        <f t="shared" ref="BH55" si="164">EOMONTH(BF55,0)</f>
        <v>46234</v>
      </c>
      <c r="BI55" s="490">
        <f t="shared" ref="BI55" si="165">BH55</f>
        <v>46234</v>
      </c>
      <c r="BJ55" s="735">
        <f t="shared" ref="BJ55" si="166">AG55*AD55</f>
        <v>5119380</v>
      </c>
      <c r="BK55" s="735">
        <f t="shared" ref="BK55" si="167">AK55*AD55</f>
        <v>0</v>
      </c>
      <c r="BL55" s="735">
        <f t="shared" ref="BL55" si="168">(AW55-AK55-AL55)*AD55</f>
        <v>126910.00000000001</v>
      </c>
      <c r="BM55" s="735">
        <f t="shared" ref="BM55" si="169">AL55*AD55</f>
        <v>0</v>
      </c>
      <c r="BN55" s="735"/>
      <c r="BO55" s="735"/>
      <c r="BP55" s="735">
        <f t="shared" ref="BP55" si="170">(AX55-AL55)*AD55</f>
        <v>5246290</v>
      </c>
      <c r="BQ55" s="769">
        <f t="shared" ref="BQ55" si="171">BP55-BM55</f>
        <v>5246290</v>
      </c>
      <c r="BU55"/>
      <c r="BV55"/>
    </row>
    <row r="56" spans="1:74" ht="18" customHeight="1" x14ac:dyDescent="0.35">
      <c r="A56">
        <v>0.5</v>
      </c>
      <c r="B56" s="163">
        <v>46202</v>
      </c>
      <c r="C56" s="163">
        <f t="shared" si="130"/>
        <v>46203</v>
      </c>
      <c r="E56" s="854" t="e">
        <f>VLOOKUP(EOMONTH(B56,0),[3]FWD!$E$4:$J$11,6,FALSE)+A56</f>
        <v>#N/A</v>
      </c>
      <c r="F56" s="153">
        <f>IF(AN56=0,0,VLOOKUP(AA56,Control!$G$41:$J$44,4,FALSE))</f>
        <v>0</v>
      </c>
      <c r="G56" s="518">
        <f t="shared" ref="G56" si="172">AVERAGE(B56:C56)+F56</f>
        <v>46202.5</v>
      </c>
      <c r="H56"/>
      <c r="I56"/>
      <c r="J56"/>
      <c r="K56"/>
      <c r="L56"/>
      <c r="M56"/>
      <c r="N56"/>
      <c r="O56"/>
      <c r="P56"/>
      <c r="Q56"/>
      <c r="R56"/>
      <c r="S56"/>
      <c r="V56" s="191">
        <f>INDEX([2]Sheet1!$F$2:$AG$5,MATCH($X56,[2]Sheet1!$F$2:$F$5,0),MATCH(AB56,[2]Sheet1!$F$2:$AG$2,0))</f>
        <v>21.51</v>
      </c>
      <c r="W56" s="138">
        <f>INDEX(Control!$E$17:$J$21,MATCH(AA56,Control!$E$17:$E$21,0),MATCH(X56,Control!$E$17:$J$17,0))</f>
        <v>0</v>
      </c>
      <c r="X56" s="138" t="s">
        <v>45</v>
      </c>
      <c r="Y56" s="116">
        <f>INDEX(Vessel_Minimum_MT,MATCH(AA56,Control!$E$11:$E$15,0),MATCH(X56,Control!$E$11:$J$11,0))</f>
        <v>70000</v>
      </c>
      <c r="Z56" s="140">
        <f>AD56/Control!$D$84</f>
        <v>90096.96796338672</v>
      </c>
      <c r="AA56" s="147" t="s">
        <v>23</v>
      </c>
      <c r="AB56" s="142" t="s">
        <v>42</v>
      </c>
      <c r="AC56" s="142" t="str">
        <f t="shared" ref="AC56" si="173">IF(AB56=X56,"",CONCATENATE(CONCATENATE(VLOOKUP(X56,Zones,2,FALSE),"/",VLOOKUP(AB56,Zones,2,FALSE))))</f>
        <v>USGC/Nsea</v>
      </c>
      <c r="AD56" s="141">
        <f t="shared" si="128"/>
        <v>700000</v>
      </c>
      <c r="AE56" s="141">
        <v>70</v>
      </c>
      <c r="AF56" s="49">
        <f>AF55</f>
        <v>340</v>
      </c>
      <c r="AG56" s="149">
        <f t="shared" ref="AG56" si="174">IF(AE56&gt;1000,IF(AF56=0,AE56,AF56)/AD56,((Y56*V56*(IF(AF56=0,AE56,AF56)/100))+IF(Z56&lt;Y56,0,(Z56-Y56)*V56*IF(AF56=0,AE56,AF56)/100*W56))/AD56)</f>
        <v>7.3133999999999997</v>
      </c>
      <c r="AH56" s="15">
        <f t="shared" si="123"/>
        <v>0</v>
      </c>
      <c r="AI56" s="155">
        <f>INDEX(Control!$AS$36:$AY$118,MATCH(Report!$AB56,Control!$AS$36:$AS$118,0),MATCH(Report!AI$23,Control!$AS$36:$AY$36,0))</f>
        <v>-10</v>
      </c>
      <c r="AJ56" s="155">
        <f>INDEX(Control!$AS$36:$AY$118,MATCH(Report!$AB56,Control!$AS$36:$AS$118,0),MATCH(Report!AJ$23,Control!$AS$36:$AY$36,0))</f>
        <v>0</v>
      </c>
      <c r="AK56" s="143">
        <f>AH56*VLOOKUP($AA56,Control!$F$75:$H$87,3,FALSE)/$AD56</f>
        <v>0</v>
      </c>
      <c r="AL56" s="144">
        <f>IF($AM$3=1,$AI56*Control!$D$77,0)</f>
        <v>0</v>
      </c>
      <c r="AM56" s="144">
        <f>IF($AM$4=1,$AJ56*Control!$D$77,0)</f>
        <v>0</v>
      </c>
      <c r="AN56" s="143">
        <f>IF(((AD56-VLOOKUP(AA56,Control!$J$76:$K$80,2,FALSE))/Control!$D$85)&lt;=0,0,ROUNDUP(((AD56-VLOOKUP(AA56,Control!$J$76:$K$80,2,FALSE))/Control!$D$85),0)*Control!$H$90/AD56)</f>
        <v>0</v>
      </c>
      <c r="AO56" s="143">
        <f>IF(K56="Corpus Christi",Control!$D$76,0)</f>
        <v>0</v>
      </c>
      <c r="AP56" s="143">
        <v>0</v>
      </c>
      <c r="AQ56" s="143">
        <f>Control!$D$78</f>
        <v>0</v>
      </c>
      <c r="AR56" s="143">
        <f>Control!$D$79</f>
        <v>6.7299999999999999E-2</v>
      </c>
      <c r="AS56" s="143">
        <f>IF(INDEX(Control!$Q$3:$S$62,MATCH($AB56,Control!$Q$3:$Q$62,0),MATCH(AS$8,Control!$Q$3:$S$3,0))=1,Control!$D$81*Control!$E$81,0)</f>
        <v>0</v>
      </c>
      <c r="AT56" s="143">
        <f>IF(INDEX(Control!$Q$3:$S$62,MATCH($AB56,Control!$Q$3:$Q$62,0),MATCH(AT$8,Control!$Q$3:$S$3,0))=1,INDEX(Control!$AK$3:$AO$69,MATCH(Report!AB56,Control!$AK$3:$AK$29,0),MATCH(Report!AA56,Control!$AK$3:$AO$3,0))/AD56*1000,0)</f>
        <v>0</v>
      </c>
      <c r="AU56" s="143">
        <f t="shared" ref="AU56" si="175">IF(AB56="Rotterdam",0.114,"")</f>
        <v>0.114</v>
      </c>
      <c r="AV56" s="143"/>
      <c r="AW56" s="149">
        <f t="shared" ref="AW56" si="176">SUM(AK56:AV56)</f>
        <v>0.18130000000000002</v>
      </c>
      <c r="AX56" s="149">
        <f t="shared" ref="AX56" si="177">+T56+AG56+AW56</f>
        <v>7.4946999999999999</v>
      </c>
      <c r="AY56" s="149">
        <f t="shared" ref="AY56" si="178">IF((MONTH(B56)=MONTH(BI56)),0,IF(((MONTH(BI56))-MONTH(B56))+12*YEAR(BH56)-YEAR(B56)&gt;1,SUMIFS($BE$4:$BI$4,$BE$3:$BI$3,"&lt;="&amp;EOMONTH(BH56,-1),$BE$3:$BI$3,"&gt;="&amp;EOMONTH(B56,0)),VLOOKUP("Spreads",$BD$3:$BI$4,MATCH(EOMONTH(B56,0),$BD$3:$BI$3,0))))</f>
        <v>0</v>
      </c>
      <c r="AZ56" s="149" t="e">
        <f t="shared" ref="AZ56" si="179">-HLOOKUP(EOMONTH(BH56,0),$BE$3:$BH$6,3,FALSE)</f>
        <v>#N/A</v>
      </c>
      <c r="BA56" s="857" t="e">
        <f t="shared" ref="BA56" si="180">$E56+AX56+AY56+AZ56</f>
        <v>#N/A</v>
      </c>
      <c r="BD56" s="153">
        <f>+INDEX('[1]Transit Time'!$A:$DZ,MATCH(X56,'[1]Transit Time'!$A:$A,0),MATCH(AB56,'[1]Transit Time'!$A$1:$DZ$1,0))</f>
        <v>17</v>
      </c>
      <c r="BE56" s="163">
        <f t="shared" ref="BE56" si="181">IF(ISBLANK(G56),"",G56+$BD56+F56)</f>
        <v>46219.5</v>
      </c>
      <c r="BF56" s="163">
        <f t="shared" ref="BF56" si="182">BE56+2</f>
        <v>46221.5</v>
      </c>
      <c r="BG56" s="163" t="s">
        <v>157</v>
      </c>
      <c r="BH56" s="490">
        <f t="shared" ref="BH56" si="183">EOMONTH(BF56,0)</f>
        <v>46234</v>
      </c>
      <c r="BI56" s="490">
        <f t="shared" ref="BI56" si="184">BH56</f>
        <v>46234</v>
      </c>
      <c r="BJ56" s="735">
        <f t="shared" ref="BJ56" si="185">AG56*AD56</f>
        <v>5119380</v>
      </c>
      <c r="BK56" s="735">
        <f t="shared" ref="BK56" si="186">AK56*AD56</f>
        <v>0</v>
      </c>
      <c r="BL56" s="735">
        <f t="shared" ref="BL56" si="187">(AW56-AK56-AL56)*AD56</f>
        <v>126910.00000000001</v>
      </c>
      <c r="BM56" s="735">
        <f t="shared" ref="BM56" si="188">AL56*AD56</f>
        <v>0</v>
      </c>
      <c r="BN56" s="735"/>
      <c r="BO56" s="735"/>
      <c r="BP56" s="735">
        <f t="shared" ref="BP56" si="189">(AX56-AL56)*AD56</f>
        <v>5246290</v>
      </c>
      <c r="BQ56" s="769">
        <f t="shared" ref="BQ56" si="190">BP56-BM56</f>
        <v>5246290</v>
      </c>
      <c r="BU56"/>
      <c r="BV56"/>
    </row>
    <row r="57" spans="1:74" ht="18" customHeight="1" x14ac:dyDescent="0.35">
      <c r="B57" s="163"/>
      <c r="C57" s="163"/>
      <c r="E57" s="854" t="e">
        <f>VLOOKUP(EOMONTH(B57,0),[3]FWD!$E$4:$J$11,6,FALSE)+A57</f>
        <v>#N/A</v>
      </c>
      <c r="F57" s="153">
        <f>IF(AN57=0,0,VLOOKUP(AA57,Control!$G$41:$J$44,4,FALSE))</f>
        <v>0</v>
      </c>
      <c r="G57" s="518" t="e">
        <f t="shared" ref="G57" si="191">AVERAGE(B57:C57)+F57</f>
        <v>#DIV/0!</v>
      </c>
      <c r="H57"/>
      <c r="I57"/>
      <c r="J57"/>
      <c r="K57"/>
      <c r="L57"/>
      <c r="M57"/>
      <c r="N57"/>
      <c r="O57"/>
      <c r="P57"/>
      <c r="Q57"/>
      <c r="R57"/>
      <c r="S57"/>
      <c r="V57" s="191">
        <f>INDEX([2]Sheet1!$F$2:$AG$5,MATCH($X57,[2]Sheet1!$F$2:$F$5,0),MATCH(AB57,[2]Sheet1!$F$2:$AG$2,0))</f>
        <v>21.51</v>
      </c>
      <c r="W57" s="138">
        <f>INDEX(Control!$E$17:$J$21,MATCH(AA57,Control!$E$17:$E$21,0),MATCH(X57,Control!$E$17:$J$17,0))</f>
        <v>0</v>
      </c>
      <c r="X57" s="138" t="s">
        <v>45</v>
      </c>
      <c r="Y57" s="116">
        <f>INDEX(Vessel_Minimum_MT,MATCH(AA57,Control!$E$11:$E$15,0),MATCH(X57,Control!$E$11:$J$11,0))</f>
        <v>70000</v>
      </c>
      <c r="Z57" s="140">
        <f>AD57/Control!$D$84</f>
        <v>90096.96796338672</v>
      </c>
      <c r="AA57" s="147" t="s">
        <v>23</v>
      </c>
      <c r="AB57" s="142" t="s">
        <v>42</v>
      </c>
      <c r="AC57" s="142" t="str">
        <f t="shared" ref="AC57" si="192">IF(AB57=X57,"",CONCATENATE(CONCATENATE(VLOOKUP(X57,Zones,2,FALSE),"/",VLOOKUP(AB57,Zones,2,FALSE))))</f>
        <v>USGC/Nsea</v>
      </c>
      <c r="AD57" s="141">
        <f t="shared" si="128"/>
        <v>700000</v>
      </c>
      <c r="AE57" s="141">
        <v>70</v>
      </c>
      <c r="AF57" s="49">
        <f>AF56</f>
        <v>340</v>
      </c>
      <c r="AG57" s="149">
        <f t="shared" ref="AG57" si="193">IF(AE57&gt;1000,IF(AF57=0,AE57,AF57)/AD57,((Y57*V57*(IF(AF57=0,AE57,AF57)/100))+IF(Z57&lt;Y57,0,(Z57-Y57)*V57*IF(AF57=0,AE57,AF57)/100*W57))/AD57)</f>
        <v>7.3133999999999997</v>
      </c>
      <c r="AH57" s="15">
        <f t="shared" si="123"/>
        <v>0</v>
      </c>
      <c r="AI57" s="155">
        <f>INDEX(Control!$AS$36:$AY$118,MATCH(Report!$AB57,Control!$AS$36:$AS$118,0),MATCH(Report!AI$23,Control!$AS$36:$AY$36,0))</f>
        <v>-10</v>
      </c>
      <c r="AJ57" s="155">
        <f>INDEX(Control!$AS$36:$AY$118,MATCH(Report!$AB57,Control!$AS$36:$AS$118,0),MATCH(Report!AJ$23,Control!$AS$36:$AY$36,0))</f>
        <v>0</v>
      </c>
      <c r="AK57" s="143">
        <f>AH57*VLOOKUP($AA57,Control!$F$75:$H$87,3,FALSE)/$AD57</f>
        <v>0</v>
      </c>
      <c r="AL57" s="144">
        <f>IF($AM$3=1,$AI57*Control!$D$77,0)</f>
        <v>0</v>
      </c>
      <c r="AM57" s="144">
        <f>IF($AM$4=1,$AJ57*Control!$D$77,0)</f>
        <v>0</v>
      </c>
      <c r="AN57" s="143">
        <f>IF(((AD57-VLOOKUP(AA57,Control!$J$76:$K$80,2,FALSE))/Control!$D$85)&lt;=0,0,ROUNDUP(((AD57-VLOOKUP(AA57,Control!$J$76:$K$80,2,FALSE))/Control!$D$85),0)*Control!$H$90/AD57)</f>
        <v>0</v>
      </c>
      <c r="AO57" s="143">
        <f>IF(K57="Corpus Christi",Control!$D$76,0)</f>
        <v>0</v>
      </c>
      <c r="AP57" s="143">
        <v>0</v>
      </c>
      <c r="AQ57" s="143">
        <f>Control!$D$78</f>
        <v>0</v>
      </c>
      <c r="AR57" s="143">
        <f>Control!$D$79</f>
        <v>6.7299999999999999E-2</v>
      </c>
      <c r="AS57" s="143">
        <f>IF(INDEX(Control!$Q$3:$S$62,MATCH($AB57,Control!$Q$3:$Q$62,0),MATCH(AS$8,Control!$Q$3:$S$3,0))=1,Control!$D$81*Control!$E$81,0)</f>
        <v>0</v>
      </c>
      <c r="AT57" s="143">
        <f>IF(INDEX(Control!$Q$3:$S$62,MATCH($AB57,Control!$Q$3:$Q$62,0),MATCH(AT$8,Control!$Q$3:$S$3,0))=1,INDEX(Control!$AK$3:$AO$69,MATCH(Report!AB57,Control!$AK$3:$AK$29,0),MATCH(Report!AA57,Control!$AK$3:$AO$3,0))/AD57*1000,0)</f>
        <v>0</v>
      </c>
      <c r="AU57" s="143">
        <f t="shared" ref="AU57" si="194">IF(AB57="Rotterdam",0.114,"")</f>
        <v>0.114</v>
      </c>
      <c r="AV57" s="143"/>
      <c r="AW57" s="149">
        <f t="shared" ref="AW57" si="195">SUM(AK57:AV57)</f>
        <v>0.18130000000000002</v>
      </c>
      <c r="AX57" s="149">
        <f t="shared" ref="AX57" si="196">+T57+AG57+AW57</f>
        <v>7.4946999999999999</v>
      </c>
      <c r="AY57" s="149" t="e">
        <f t="shared" ref="AY57" si="197">IF((MONTH(B57)=MONTH(BI57)),0,IF(((MONTH(BI57))-MONTH(B57))+12*YEAR(BH57)-YEAR(B57)&gt;1,SUMIFS($BE$4:$BI$4,$BE$3:$BI$3,"&lt;="&amp;EOMONTH(BH57,-1),$BE$3:$BI$3,"&gt;="&amp;EOMONTH(B57,0)),VLOOKUP("Spreads",$BD$3:$BI$4,MATCH(EOMONTH(B57,0),$BD$3:$BI$3,0))))</f>
        <v>#DIV/0!</v>
      </c>
      <c r="AZ57" s="149" t="e">
        <f t="shared" ref="AZ57" si="198">-HLOOKUP(EOMONTH(BH57,0),$BE$3:$BH$6,3,FALSE)</f>
        <v>#DIV/0!</v>
      </c>
      <c r="BA57" s="857" t="e">
        <f t="shared" ref="BA57" si="199">$E57+AX57+AY57+AZ57</f>
        <v>#N/A</v>
      </c>
      <c r="BD57" s="153">
        <f>+INDEX('[1]Transit Time'!$A:$DZ,MATCH(X57,'[1]Transit Time'!$A:$A,0),MATCH(AB57,'[1]Transit Time'!$A$1:$DZ$1,0))</f>
        <v>17</v>
      </c>
      <c r="BE57" s="163" t="e">
        <f t="shared" ref="BE57" si="200">IF(ISBLANK(G57),"",G57+$BD57+F57)</f>
        <v>#DIV/0!</v>
      </c>
      <c r="BF57" s="163" t="e">
        <f t="shared" ref="BF57" si="201">BE57+2</f>
        <v>#DIV/0!</v>
      </c>
      <c r="BG57" s="163" t="s">
        <v>157</v>
      </c>
      <c r="BH57" s="490" t="e">
        <f t="shared" ref="BH57" si="202">EOMONTH(BF57,0)</f>
        <v>#DIV/0!</v>
      </c>
      <c r="BI57" s="490" t="e">
        <f t="shared" ref="BI57" si="203">BH57</f>
        <v>#DIV/0!</v>
      </c>
      <c r="BJ57" s="735">
        <f t="shared" ref="BJ57" si="204">AG57*AD57</f>
        <v>5119380</v>
      </c>
      <c r="BK57" s="735">
        <f t="shared" ref="BK57" si="205">AK57*AD57</f>
        <v>0</v>
      </c>
      <c r="BL57" s="735">
        <f t="shared" ref="BL57" si="206">(AW57-AK57-AL57)*AD57</f>
        <v>126910.00000000001</v>
      </c>
      <c r="BM57" s="735">
        <f t="shared" ref="BM57" si="207">AL57*AD57</f>
        <v>0</v>
      </c>
      <c r="BN57" s="735"/>
      <c r="BO57" s="735"/>
      <c r="BP57" s="735">
        <f t="shared" ref="BP57" si="208">(AX57-AL57)*AD57</f>
        <v>5246290</v>
      </c>
      <c r="BQ57" s="769">
        <f t="shared" ref="BQ57" si="209">BP57-BM57</f>
        <v>5246290</v>
      </c>
      <c r="BU57"/>
      <c r="BV57"/>
    </row>
    <row r="58" spans="1:74" ht="18" customHeight="1" x14ac:dyDescent="0.35">
      <c r="A58" s="921">
        <v>3</v>
      </c>
      <c r="B58" s="230">
        <v>46191</v>
      </c>
      <c r="C58" s="230">
        <f t="shared" ref="C58:C59" si="210">IF(ISBLANK(B58),"",B58+2)</f>
        <v>46193</v>
      </c>
      <c r="E58" s="854" t="e">
        <f>VLOOKUP(EOMONTH(C58,0),[3]FWD!$E$4:$J$11,6,FALSE)+A58</f>
        <v>#N/A</v>
      </c>
      <c r="F58" s="229">
        <f>IF(AN58=0,0,VLOOKUP(AA58,Control!$G$41:$J$44,4,FALSE))</f>
        <v>9</v>
      </c>
      <c r="G58" s="519">
        <f t="shared" si="109"/>
        <v>46201</v>
      </c>
      <c r="H58"/>
      <c r="I58"/>
      <c r="J58"/>
      <c r="K58"/>
      <c r="L58"/>
      <c r="M58"/>
      <c r="N58"/>
      <c r="O58"/>
      <c r="P58"/>
      <c r="Q58"/>
      <c r="R58"/>
      <c r="S58"/>
      <c r="V58" s="220">
        <f>INDEX([2]Sheet1!$F$2:$AG$5,MATCH($X58,[2]Sheet1!$F$2:$F$5,0),MATCH(AB58,[2]Sheet1!$F$2:$AG$2,0))</f>
        <v>21.51</v>
      </c>
      <c r="W58" s="220">
        <f>INDEX(Control!$E$17:$J$21,MATCH(AA58,Control!$E$17:$E$21,0),MATCH(X58,Control!$E$17:$J$17,0))</f>
        <v>0.5</v>
      </c>
      <c r="X58" s="220" t="s">
        <v>45</v>
      </c>
      <c r="Y58" s="213">
        <f>INDEX(Vessel_Minimum_MT,MATCH(AA58,Control!$E$11:$E$15,0),MATCH(X58,Control!$E$11:$J$11,0))</f>
        <v>270000</v>
      </c>
      <c r="Z58" s="222">
        <f>AD58/Control!$D$84</f>
        <v>263855.40617848968</v>
      </c>
      <c r="AA58" s="215" t="s">
        <v>25</v>
      </c>
      <c r="AB58" s="591" t="s">
        <v>42</v>
      </c>
      <c r="AC58" s="212" t="str">
        <f t="shared" ref="AC58:AC59" si="211">IF(AB58=X58,"",CONCATENATE(CONCATENATE(VLOOKUP(X58,Zones,2,FALSE),"/",VLOOKUP(AB58,Zones,2,FALSE))))</f>
        <v>USGC/Nsea</v>
      </c>
      <c r="AD58" s="214">
        <v>2050000</v>
      </c>
      <c r="AE58" s="214"/>
      <c r="AF58" s="262">
        <f>WTI!AD62</f>
        <v>35000000</v>
      </c>
      <c r="AG58" s="225">
        <f>AF58/AD58</f>
        <v>17.073170731707318</v>
      </c>
      <c r="AH58" s="214">
        <v>0</v>
      </c>
      <c r="AI58" s="214">
        <f>INDEX(Control!$AS$36:$AY$118,MATCH(Report!$AB58,Control!$AS$36:$AS$118,0),MATCH(Report!AI$23,Control!$AS$36:$AY$36,0))</f>
        <v>-10</v>
      </c>
      <c r="AJ58" s="214">
        <f>INDEX(Control!$AS$36:$AY$118,MATCH(Report!$AB58,Control!$AS$36:$AS$118,0),MATCH(Report!AJ$23,Control!$AS$36:$AY$36,0))</f>
        <v>0</v>
      </c>
      <c r="AK58" s="227">
        <f>AH58*VLOOKUP($AA58,Control!$F$75:$H$87,3,FALSE)/$AD58</f>
        <v>0</v>
      </c>
      <c r="AL58" s="226">
        <f>IF($AM$3=1,$AI58*Control!$D$77,0)</f>
        <v>0</v>
      </c>
      <c r="AM58" s="226">
        <f>IF($AM$4=1,$AJ58*Control!$D$77,0)</f>
        <v>0</v>
      </c>
      <c r="AN58" s="227">
        <f>IF(((AD58-VLOOKUP(AA58,Control!$J$76:$K$80,2,FALSE))/Control!$D$85)&lt;=0,0,ROUNDUP(((AD58-VLOOKUP(AA58,Control!$J$76:$K$80,2,FALSE))/Control!$D$85),0)*Control!$H$90/AD58)</f>
        <v>2.7073170731707319</v>
      </c>
      <c r="AO58" s="227">
        <f>IF(K58="Corpus Christi",Control!$D$76,0)</f>
        <v>0</v>
      </c>
      <c r="AP58" s="227">
        <v>0</v>
      </c>
      <c r="AQ58" s="227">
        <f>Control!$D$78</f>
        <v>0</v>
      </c>
      <c r="AR58" s="227">
        <f>Control!$D$79</f>
        <v>6.7299999999999999E-2</v>
      </c>
      <c r="AS58" s="227">
        <f>IF(INDEX(Control!$Q$3:$S$62,MATCH($AB58,Control!$Q$3:$Q$62,0),MATCH(AS$8,Control!$Q$3:$S$3,0))=1,Control!$D$81*Control!$E$81,0)</f>
        <v>0</v>
      </c>
      <c r="AT58" s="227">
        <v>0</v>
      </c>
      <c r="AU58" s="227">
        <f>116490/AD58+(Control!$D$83/AD58)</f>
        <v>0.20316585365853657</v>
      </c>
      <c r="AV58" s="227"/>
      <c r="AW58" s="225">
        <f t="shared" ref="AW58" si="212">SUM(AK58:AV58)</f>
        <v>2.9777829268292684</v>
      </c>
      <c r="AX58" s="225">
        <f t="shared" si="111"/>
        <v>20.050953658536585</v>
      </c>
      <c r="AY58" s="225">
        <f t="shared" si="112"/>
        <v>0</v>
      </c>
      <c r="AZ58" s="225" t="e">
        <f t="shared" si="113"/>
        <v>#N/A</v>
      </c>
      <c r="BA58" s="949" t="e">
        <f t="shared" si="126"/>
        <v>#N/A</v>
      </c>
      <c r="BC58" s="220"/>
      <c r="BD58" s="229">
        <f>+INDEX('[1]Transit Time'!$A:$DZ,MATCH(X58,'[1]Transit Time'!$A:$A,0),MATCH(AB58,'[1]Transit Time'!$A$1:$DZ$1,0))</f>
        <v>17</v>
      </c>
      <c r="BE58" s="230">
        <f t="shared" si="127"/>
        <v>46227</v>
      </c>
      <c r="BF58" s="230">
        <f t="shared" si="114"/>
        <v>46229</v>
      </c>
      <c r="BG58" s="230" t="s">
        <v>157</v>
      </c>
      <c r="BH58" s="489">
        <f t="shared" ref="BH58:BI58" si="213">BH59</f>
        <v>46234</v>
      </c>
      <c r="BI58" s="489">
        <f t="shared" si="213"/>
        <v>46234</v>
      </c>
      <c r="BJ58" s="735">
        <f t="shared" si="117"/>
        <v>35000000</v>
      </c>
      <c r="BK58" s="735">
        <f t="shared" si="118"/>
        <v>0</v>
      </c>
      <c r="BL58" s="735">
        <f t="shared" si="119"/>
        <v>6104455</v>
      </c>
      <c r="BM58" s="735">
        <f t="shared" si="120"/>
        <v>0</v>
      </c>
      <c r="BN58" s="735"/>
      <c r="BO58" s="735"/>
      <c r="BP58" s="735">
        <f t="shared" si="121"/>
        <v>41104455</v>
      </c>
      <c r="BQ58" s="769">
        <f t="shared" si="41"/>
        <v>41104455</v>
      </c>
      <c r="BU58"/>
      <c r="BV58"/>
    </row>
    <row r="59" spans="1:74" ht="18" customHeight="1" x14ac:dyDescent="0.35">
      <c r="A59">
        <f>A58</f>
        <v>3</v>
      </c>
      <c r="B59" s="163">
        <f>B58</f>
        <v>46191</v>
      </c>
      <c r="C59" s="163">
        <f t="shared" si="210"/>
        <v>46193</v>
      </c>
      <c r="E59" s="854" t="e">
        <f>VLOOKUP(EOMONTH(B59,0),[3]FWD!$E$4:$J$11,6,FALSE)+A59</f>
        <v>#N/A</v>
      </c>
      <c r="F59" s="153">
        <f>IF(AN59=0,0,VLOOKUP(AA59,Control!$G$41:$J$44,4,FALSE))</f>
        <v>3</v>
      </c>
      <c r="G59" s="518">
        <f t="shared" si="109"/>
        <v>46195</v>
      </c>
      <c r="H59"/>
      <c r="I59"/>
      <c r="J59"/>
      <c r="K59"/>
      <c r="L59"/>
      <c r="M59"/>
      <c r="N59"/>
      <c r="O59"/>
      <c r="P59"/>
      <c r="Q59"/>
      <c r="R59"/>
      <c r="S59"/>
      <c r="V59" s="191">
        <f>INDEX([2]Sheet1!$F$2:$AG$5,MATCH($X59,[2]Sheet1!$F$2:$F$5,0),MATCH(AB59,[2]Sheet1!$F$2:$AG$2,0))</f>
        <v>21.51</v>
      </c>
      <c r="W59" s="138">
        <v>0</v>
      </c>
      <c r="X59" s="138" t="s">
        <v>45</v>
      </c>
      <c r="Y59" s="641">
        <v>145000</v>
      </c>
      <c r="Z59" s="140">
        <f>AD59/Control!$D$84</f>
        <v>263855.40617848968</v>
      </c>
      <c r="AA59" s="147" t="s">
        <v>26</v>
      </c>
      <c r="AB59" s="142" t="s">
        <v>42</v>
      </c>
      <c r="AC59" s="142" t="str">
        <f t="shared" si="211"/>
        <v>USGC/Nsea</v>
      </c>
      <c r="AD59" s="141">
        <v>2050000</v>
      </c>
      <c r="AE59" s="141">
        <v>70</v>
      </c>
      <c r="AF59" s="568">
        <f>AF58</f>
        <v>35000000</v>
      </c>
      <c r="AG59" s="149">
        <f>AF59/AD59</f>
        <v>17.073170731707318</v>
      </c>
      <c r="AH59" s="15">
        <v>0</v>
      </c>
      <c r="AI59" s="155">
        <f>INDEX(Control!$AS$36:$AY$118,MATCH(Report!$AB59,Control!$AS$36:$AS$118,0),MATCH(Report!AI$23,Control!$AS$36:$AY$36,0))</f>
        <v>-10</v>
      </c>
      <c r="AJ59" s="155">
        <f>INDEX(Control!$AS$36:$AY$118,MATCH(Report!$AB59,Control!$AS$36:$AS$118,0),MATCH(Report!AJ$23,Control!$AS$36:$AY$36,0))</f>
        <v>0</v>
      </c>
      <c r="AK59" s="143">
        <f>AH59*VLOOKUP($AA59,Control!$F$75:$H$87,3,FALSE)/$AD59</f>
        <v>0</v>
      </c>
      <c r="AL59" s="144">
        <f>IF($AM$3=1,$AI59*Control!$D$77,0)</f>
        <v>0</v>
      </c>
      <c r="AM59" s="144">
        <f>IF($AM$4=1,$AJ59*Control!$D$77,0)</f>
        <v>0</v>
      </c>
      <c r="AN59" s="143">
        <f>IF(((AD59-VLOOKUP(AA59,Control!$J$76:$K$80,2,FALSE))/Control!$D$85)&lt;=0,0,ROUNDUP(((AD59-VLOOKUP(AA59,Control!$J$76:$K$80,2,FALSE))/Control!$D$85),0)*Control!$H$90/AD59)</f>
        <v>0.90243902439024393</v>
      </c>
      <c r="AO59" s="143">
        <f>IF(K59="Corpus Christi",Control!$D$76,0)</f>
        <v>0</v>
      </c>
      <c r="AP59" s="143">
        <v>0</v>
      </c>
      <c r="AQ59" s="143">
        <f>Control!$D$78</f>
        <v>0</v>
      </c>
      <c r="AR59" s="143">
        <f>Control!$D$79</f>
        <v>6.7299999999999999E-2</v>
      </c>
      <c r="AS59" s="143">
        <f>IF(INDEX(Control!$Q$3:$S$62,MATCH($AB59,Control!$Q$3:$Q$62,0),MATCH(AS$8,Control!$Q$3:$S$3,0))=1,Control!$D$81*Control!$E$81,0)</f>
        <v>0</v>
      </c>
      <c r="AT59" s="143">
        <v>0</v>
      </c>
      <c r="AU59" s="143">
        <f>116490/AD59+(Control!$D$83/AD59)</f>
        <v>0.20316585365853657</v>
      </c>
      <c r="AV59" s="143"/>
      <c r="AW59" s="149">
        <f t="shared" ref="AW59:AW60" si="214">SUM(AK59:AV59)</f>
        <v>1.1729048780487805</v>
      </c>
      <c r="AX59" s="149">
        <f t="shared" ref="AX59:AX60" si="215">+T59+AG59+AW59</f>
        <v>18.246075609756097</v>
      </c>
      <c r="AY59" s="149">
        <f t="shared" ref="AY59:AY60" si="216">IF((MONTH(B59)=MONTH(BI59)),0,IF(((MONTH(BI59))-MONTH(B59))+12*YEAR(BH59)-YEAR(B59)&gt;1,SUMIFS($BE$4:$BI$4,$BE$3:$BI$3,"&lt;="&amp;EOMONTH(BH59,-1),$BE$3:$BI$3,"&gt;="&amp;EOMONTH(B59,0)),VLOOKUP("Spreads",$BD$3:$BI$4,MATCH(EOMONTH(B59,0),$BD$3:$BI$3,0))))</f>
        <v>0</v>
      </c>
      <c r="AZ59" s="149" t="e">
        <f t="shared" ref="AZ59:AZ60" si="217">-HLOOKUP(EOMONTH(BH59,0),$BE$3:$BH$6,3,FALSE)</f>
        <v>#N/A</v>
      </c>
      <c r="BA59" s="949" t="e">
        <f t="shared" ref="BA59:BA60" si="218">$E59+AX59+AY59+AZ59</f>
        <v>#N/A</v>
      </c>
      <c r="BD59" s="153">
        <f>+INDEX('[1]Transit Time'!$A:$DZ,MATCH(X59,'[1]Transit Time'!$A:$A,0),MATCH(AB59,'[1]Transit Time'!$A$1:$DZ$1,0))</f>
        <v>17</v>
      </c>
      <c r="BE59" s="163">
        <f t="shared" ref="BE59:BE61" si="219">IF(ISBLANK(B59),"",B59+$BD59+F59)</f>
        <v>46211</v>
      </c>
      <c r="BF59" s="163">
        <f t="shared" si="114"/>
        <v>46213</v>
      </c>
      <c r="BG59" s="163" t="s">
        <v>157</v>
      </c>
      <c r="BH59" s="490">
        <f t="shared" si="115"/>
        <v>46234</v>
      </c>
      <c r="BI59" s="490">
        <f t="shared" si="116"/>
        <v>46234</v>
      </c>
      <c r="BJ59" s="735">
        <f t="shared" si="117"/>
        <v>35000000</v>
      </c>
      <c r="BK59" s="735">
        <f t="shared" si="118"/>
        <v>0</v>
      </c>
      <c r="BL59" s="735">
        <f t="shared" si="119"/>
        <v>2404455</v>
      </c>
      <c r="BM59" s="735">
        <f t="shared" si="120"/>
        <v>0</v>
      </c>
      <c r="BN59" s="735"/>
      <c r="BO59" s="735"/>
      <c r="BP59" s="735">
        <f t="shared" si="121"/>
        <v>37404455</v>
      </c>
      <c r="BQ59" s="769">
        <f t="shared" si="41"/>
        <v>37404455</v>
      </c>
      <c r="BU59"/>
      <c r="BV59"/>
    </row>
    <row r="60" spans="1:74" ht="18" customHeight="1" x14ac:dyDescent="0.35">
      <c r="A60">
        <f>A59</f>
        <v>3</v>
      </c>
      <c r="B60" s="230">
        <f>B58</f>
        <v>46191</v>
      </c>
      <c r="C60" s="230">
        <f t="shared" ref="C60:C61" si="220">IF(ISBLANK(B60),"",B60+2)</f>
        <v>46193</v>
      </c>
      <c r="E60" s="854" t="e">
        <f>VLOOKUP(EOMONTH(B60,0),[3]FWD!$E$4:$J$11,6,FALSE)+A60</f>
        <v>#N/A</v>
      </c>
      <c r="F60" s="153">
        <f>IF(AN60=0,0,VLOOKUP(AA60,Control!$G$41:$J$44,4,FALSE))</f>
        <v>9</v>
      </c>
      <c r="G60" s="518">
        <f t="shared" si="109"/>
        <v>46201</v>
      </c>
      <c r="H60"/>
      <c r="I60"/>
      <c r="J60"/>
      <c r="K60"/>
      <c r="L60"/>
      <c r="M60"/>
      <c r="N60"/>
      <c r="O60"/>
      <c r="P60"/>
      <c r="Q60"/>
      <c r="R60"/>
      <c r="S60"/>
      <c r="V60" s="191" t="e">
        <f>INDEX([2]Sheet1!$F$2:$AG$5,MATCH($X60,[2]Sheet1!$F$2:$F$5,0),MATCH(AB60,[2]Sheet1!$F$2:$AG$2,0))</f>
        <v>#N/A</v>
      </c>
      <c r="W60" s="138">
        <v>0</v>
      </c>
      <c r="X60" s="138" t="s">
        <v>45</v>
      </c>
      <c r="Y60" s="641">
        <v>145000</v>
      </c>
      <c r="Z60" s="140">
        <f>AD60/Control!$D$84</f>
        <v>263855.40617848968</v>
      </c>
      <c r="AA60" s="215" t="s">
        <v>25</v>
      </c>
      <c r="AB60" s="591" t="s">
        <v>72</v>
      </c>
      <c r="AC60" s="212" t="str">
        <f t="shared" ref="AC60:AC61" si="221">IF(AB60=X60,"",CONCATENATE(CONCATENATE(VLOOKUP(X60,Zones,2,FALSE),"/",VLOOKUP(AB60,Zones,2,FALSE))))</f>
        <v>USGC/Nsea</v>
      </c>
      <c r="AD60" s="214">
        <v>2050000</v>
      </c>
      <c r="AE60" s="214"/>
      <c r="AF60" s="224">
        <f>WTI!AD65</f>
        <v>35150000</v>
      </c>
      <c r="AG60" s="225">
        <f>AF60/AD60</f>
        <v>17.146341463414632</v>
      </c>
      <c r="AH60" s="304">
        <v>0</v>
      </c>
      <c r="AI60" s="214">
        <f>INDEX(Control!$AS$36:$AY$118,MATCH(Report!$AB60,Control!$AS$36:$AS$118,0),MATCH(Report!AI$23,Control!$AS$36:$AY$36,0))</f>
        <v>-10</v>
      </c>
      <c r="AJ60" s="214">
        <f>INDEX(Control!$AS$36:$AY$118,MATCH(Report!$AB60,Control!$AS$36:$AS$118,0),MATCH(Report!AJ$23,Control!$AS$36:$AY$36,0))</f>
        <v>0</v>
      </c>
      <c r="AK60" s="227">
        <f>AH60*VLOOKUP($AA60,Control!$F$75:$H$87,3,FALSE)/$AD60</f>
        <v>0</v>
      </c>
      <c r="AL60" s="226">
        <f>IF($AM$3=1,$AI60*Control!$D$77,0)</f>
        <v>0</v>
      </c>
      <c r="AM60" s="226">
        <f>IF($AM$4=1,$AJ60*Control!$D$77,0)</f>
        <v>0</v>
      </c>
      <c r="AN60" s="227">
        <f>IF(((AD60-VLOOKUP(AA60,Control!$J$76:$K$80,2,FALSE))/Control!$D$85)&lt;=0,0,ROUNDUP(((AD60-VLOOKUP(AA60,Control!$J$76:$K$80,2,FALSE))/Control!$D$85),0)*Control!$H$90/AD60)</f>
        <v>2.7073170731707319</v>
      </c>
      <c r="AO60" s="227">
        <f>IF(K60="Corpus Christi",Control!$D$76,0)</f>
        <v>0</v>
      </c>
      <c r="AP60" s="227">
        <v>0</v>
      </c>
      <c r="AQ60" s="227">
        <f>Control!$D$78</f>
        <v>0</v>
      </c>
      <c r="AR60" s="227">
        <f>Control!$D$79</f>
        <v>6.7299999999999999E-2</v>
      </c>
      <c r="AS60" s="227">
        <f>IF(INDEX(Control!$Q$3:$S$62,MATCH($AB60,Control!$Q$3:$Q$62,0),MATCH(AS$8,Control!$Q$3:$S$3,0))=1,Control!$D$81*Control!$E$81,0)</f>
        <v>0</v>
      </c>
      <c r="AT60" s="227">
        <v>0</v>
      </c>
      <c r="AU60" s="227">
        <f>116490/AD60+(Control!$D$83/AD60)</f>
        <v>0.20316585365853657</v>
      </c>
      <c r="AV60" s="227">
        <v>0.49</v>
      </c>
      <c r="AW60" s="225">
        <f t="shared" si="214"/>
        <v>3.4677829268292681</v>
      </c>
      <c r="AX60" s="225">
        <f t="shared" si="215"/>
        <v>20.614124390243902</v>
      </c>
      <c r="AY60" s="225">
        <f t="shared" si="216"/>
        <v>0</v>
      </c>
      <c r="AZ60" s="225" t="e">
        <f t="shared" si="217"/>
        <v>#N/A</v>
      </c>
      <c r="BA60" s="856" t="e">
        <f t="shared" si="218"/>
        <v>#N/A</v>
      </c>
      <c r="BD60" s="153">
        <f>WTI!BC65</f>
        <v>21</v>
      </c>
      <c r="BE60" s="163">
        <f t="shared" si="219"/>
        <v>46221</v>
      </c>
      <c r="BF60" s="163">
        <f t="shared" si="114"/>
        <v>46223</v>
      </c>
      <c r="BG60" s="163" t="s">
        <v>157</v>
      </c>
      <c r="BH60" s="490">
        <f>BH61</f>
        <v>46234</v>
      </c>
      <c r="BI60" s="490">
        <f t="shared" si="116"/>
        <v>46234</v>
      </c>
      <c r="BJ60" s="735">
        <f t="shared" si="117"/>
        <v>35150000</v>
      </c>
      <c r="BK60" s="735">
        <f t="shared" si="118"/>
        <v>0</v>
      </c>
      <c r="BL60" s="735">
        <f t="shared" si="119"/>
        <v>7108955</v>
      </c>
      <c r="BM60" s="735">
        <f t="shared" si="120"/>
        <v>0</v>
      </c>
      <c r="BN60" s="735"/>
      <c r="BO60" s="735"/>
      <c r="BP60" s="735">
        <f t="shared" si="121"/>
        <v>42258955</v>
      </c>
      <c r="BQ60" s="769">
        <f t="shared" si="41"/>
        <v>42258955</v>
      </c>
      <c r="BU60"/>
      <c r="BV60"/>
    </row>
    <row r="61" spans="1:74" ht="18" customHeight="1" thickBot="1" x14ac:dyDescent="0.4">
      <c r="A61">
        <f>A60</f>
        <v>3</v>
      </c>
      <c r="B61" s="163">
        <f>B60</f>
        <v>46191</v>
      </c>
      <c r="C61" s="163">
        <f t="shared" si="220"/>
        <v>46193</v>
      </c>
      <c r="E61" s="855" t="e">
        <f>VLOOKUP(EOMONTH(B61,0),[3]FWD!$E$4:$J$11,6,FALSE)+A61</f>
        <v>#N/A</v>
      </c>
      <c r="F61" s="229">
        <f>IF(AN61=0,0,VLOOKUP(AA61,Control!$G$41:$J$44,4,FALSE))</f>
        <v>3</v>
      </c>
      <c r="G61" s="519">
        <f t="shared" si="109"/>
        <v>46195</v>
      </c>
      <c r="H61"/>
      <c r="I61"/>
      <c r="J61"/>
      <c r="K61"/>
      <c r="L61"/>
      <c r="M61"/>
      <c r="N61"/>
      <c r="O61"/>
      <c r="P61"/>
      <c r="Q61"/>
      <c r="R61"/>
      <c r="S61"/>
      <c r="V61" s="220" t="e">
        <f>INDEX([2]Sheet1!$F$2:$AG$5,MATCH($X61,[2]Sheet1!$F$2:$F$5,0),MATCH(AB61,[2]Sheet1!$F$2:$AG$2,0))</f>
        <v>#N/A</v>
      </c>
      <c r="W61" s="220" t="e">
        <f>INDEX(Control!$E$17:$J$21,MATCH(AA61,Control!$E$17:$E$21,0),MATCH(X61,Control!$E$17:$J$17,0))</f>
        <v>#N/A</v>
      </c>
      <c r="X61" s="220" t="s">
        <v>45</v>
      </c>
      <c r="Y61" s="213" t="e">
        <f>INDEX(Vessel_Minimum_MT,MATCH(AA61,Control!$E$11:$E$15,0),MATCH(X61,Control!$E$11:$J$11,0))</f>
        <v>#N/A</v>
      </c>
      <c r="Z61" s="222">
        <f>AD61/Control!$D$84</f>
        <v>263855.40617848968</v>
      </c>
      <c r="AA61" s="147" t="s">
        <v>26</v>
      </c>
      <c r="AB61" s="858" t="str">
        <f>AB60</f>
        <v>Lagos</v>
      </c>
      <c r="AC61" s="142" t="str">
        <f t="shared" si="221"/>
        <v>USGC/Nsea</v>
      </c>
      <c r="AD61" s="141">
        <v>2050000</v>
      </c>
      <c r="AE61" s="141">
        <v>70</v>
      </c>
      <c r="AF61" s="49">
        <f>AF60</f>
        <v>35150000</v>
      </c>
      <c r="AG61" s="149">
        <f>AF61/AD61</f>
        <v>17.146341463414632</v>
      </c>
      <c r="AH61" s="15">
        <v>0</v>
      </c>
      <c r="AI61" s="155">
        <f>INDEX(Control!$AS$36:$AY$118,MATCH(Report!$AB61,Control!$AS$36:$AS$118,0),MATCH(Report!AI$23,Control!$AS$36:$AY$36,0))</f>
        <v>-10</v>
      </c>
      <c r="AJ61" s="155">
        <f>INDEX(Control!$AS$36:$AY$118,MATCH(Report!$AB61,Control!$AS$36:$AS$118,0),MATCH(Report!AJ$23,Control!$AS$36:$AY$36,0))</f>
        <v>0</v>
      </c>
      <c r="AK61" s="143">
        <f>AH61*VLOOKUP($AA61,Control!$F$75:$H$87,3,FALSE)/$AD61</f>
        <v>0</v>
      </c>
      <c r="AL61" s="144">
        <f>IF($AM$3=1,$AI61*Control!$D$77,0)</f>
        <v>0</v>
      </c>
      <c r="AM61" s="144">
        <f>IF($AM$4=1,$AJ61*Control!$D$77,0)</f>
        <v>0</v>
      </c>
      <c r="AN61" s="143">
        <f>IF(((AD61-VLOOKUP(AA61,Control!$J$76:$K$80,2,FALSE))/Control!$D$85)&lt;=0,0,ROUNDUP(((AD61-VLOOKUP(AA61,Control!$J$76:$K$80,2,FALSE))/Control!$D$85),0)*Control!$H$90/AD61)</f>
        <v>0.90243902439024393</v>
      </c>
      <c r="AO61" s="143">
        <f>IF(K61="Corpus Christi",Control!$D$76,0)</f>
        <v>0</v>
      </c>
      <c r="AP61" s="143">
        <v>0</v>
      </c>
      <c r="AQ61" s="143">
        <f>Control!$D$78</f>
        <v>0</v>
      </c>
      <c r="AR61" s="143">
        <f>Control!$D$79</f>
        <v>6.7299999999999999E-2</v>
      </c>
      <c r="AS61" s="143">
        <f>IF(INDEX(Control!$Q$3:$S$62,MATCH($AB61,Control!$Q$3:$Q$62,0),MATCH(AS$8,Control!$Q$3:$S$3,0))=1,Control!$D$81*Control!$E$81,0)</f>
        <v>0</v>
      </c>
      <c r="AT61" s="143">
        <v>0</v>
      </c>
      <c r="AU61" s="143">
        <f>116490/AD61+(Control!$D$83/AD61)</f>
        <v>0.20316585365853657</v>
      </c>
      <c r="AV61" s="143">
        <v>0.49</v>
      </c>
      <c r="AW61" s="149">
        <f t="shared" ref="AW61" si="222">SUM(AK61:AV61)</f>
        <v>1.6629048780487805</v>
      </c>
      <c r="AX61" s="149">
        <f t="shared" ref="AX61" si="223">+T61+AG61+AW61</f>
        <v>18.809246341463414</v>
      </c>
      <c r="AY61" s="149">
        <f t="shared" ref="AY61" si="224">IF((MONTH(B61)=MONTH(BI61)),0,IF(((MONTH(BI61))-MONTH(B61))+12*YEAR(BH61)-YEAR(B61)&gt;1,SUMIFS($BE$4:$BI$4,$BE$3:$BI$3,"&lt;="&amp;EOMONTH(BH61,-1),$BE$3:$BI$3,"&gt;="&amp;EOMONTH(B61,0)),VLOOKUP("Spreads",$BD$3:$BI$4,MATCH(EOMONTH(B61,0),$BD$3:$BI$3,0))))</f>
        <v>0</v>
      </c>
      <c r="AZ61" s="149" t="e">
        <f t="shared" ref="AZ61" si="225">-HLOOKUP(EOMONTH(BH61,0),$BE$3:$BH$6,3,FALSE)</f>
        <v>#N/A</v>
      </c>
      <c r="BA61" s="857" t="e">
        <f t="shared" ref="BA61" si="226">$E61+AX61+AY61+AZ61</f>
        <v>#N/A</v>
      </c>
      <c r="BC61" s="220"/>
      <c r="BD61" s="229">
        <f>WTI!BC66</f>
        <v>21</v>
      </c>
      <c r="BE61" s="230">
        <f t="shared" si="219"/>
        <v>46215</v>
      </c>
      <c r="BF61" s="230">
        <f t="shared" si="114"/>
        <v>46217</v>
      </c>
      <c r="BG61" s="230" t="s">
        <v>157</v>
      </c>
      <c r="BH61" s="489">
        <f t="shared" si="115"/>
        <v>46234</v>
      </c>
      <c r="BI61" s="489">
        <f t="shared" si="116"/>
        <v>46234</v>
      </c>
      <c r="BJ61" s="735">
        <f t="shared" si="117"/>
        <v>35150000</v>
      </c>
      <c r="BK61" s="735">
        <f t="shared" si="118"/>
        <v>0</v>
      </c>
      <c r="BL61" s="735">
        <f t="shared" si="119"/>
        <v>3408955</v>
      </c>
      <c r="BM61" s="735">
        <f t="shared" si="120"/>
        <v>0</v>
      </c>
      <c r="BN61" s="735"/>
      <c r="BO61" s="735"/>
      <c r="BP61" s="735">
        <f t="shared" si="121"/>
        <v>38558955</v>
      </c>
      <c r="BQ61" s="769">
        <f t="shared" si="41"/>
        <v>38558955</v>
      </c>
      <c r="BU61"/>
      <c r="BV61"/>
    </row>
    <row r="62" spans="1:74" ht="19" hidden="1" thickBot="1" x14ac:dyDescent="0.5">
      <c r="B62" s="163"/>
      <c r="C62" s="163"/>
      <c r="F62" s="77"/>
      <c r="G62" s="520"/>
      <c r="H62"/>
      <c r="I62"/>
      <c r="J62"/>
      <c r="K62"/>
      <c r="L62"/>
      <c r="M62"/>
      <c r="N62"/>
      <c r="O62"/>
      <c r="P62"/>
      <c r="Q62"/>
      <c r="R62"/>
      <c r="S62"/>
      <c r="V62" s="9"/>
      <c r="W62" s="9"/>
      <c r="X62" s="9"/>
      <c r="Y62" s="9"/>
      <c r="Z62" s="9"/>
      <c r="AA62" s="999" t="s">
        <v>221</v>
      </c>
      <c r="AB62" s="1000"/>
      <c r="AC62" s="1000"/>
      <c r="AD62" s="1000"/>
      <c r="AE62" s="1000"/>
      <c r="AF62" s="1000"/>
      <c r="AG62" s="1000"/>
      <c r="AH62" s="1000"/>
      <c r="AI62" s="1000"/>
      <c r="AJ62" s="1000"/>
      <c r="AK62" s="1000"/>
      <c r="AL62" s="1000"/>
      <c r="AM62" s="1000"/>
      <c r="AN62" s="1000"/>
      <c r="AO62" s="1000"/>
      <c r="AP62" s="1000"/>
      <c r="AQ62" s="1000"/>
      <c r="AR62" s="1000"/>
      <c r="AS62" s="1000"/>
      <c r="AT62" s="1000"/>
      <c r="AU62" s="1000"/>
      <c r="AV62" s="1000"/>
      <c r="AW62" s="1000"/>
      <c r="AX62" s="1000"/>
      <c r="AY62" s="1000"/>
      <c r="AZ62" s="1000"/>
      <c r="BA62" s="1001"/>
      <c r="BD62" s="77"/>
      <c r="BE62" s="77" t="e">
        <f>BA58-BA49</f>
        <v>#N/A</v>
      </c>
      <c r="BF62" s="530" t="e">
        <f t="shared" si="114"/>
        <v>#N/A</v>
      </c>
      <c r="BG62"/>
      <c r="BH62" s="658" t="e">
        <f t="shared" si="115"/>
        <v>#N/A</v>
      </c>
      <c r="BI62" s="658" t="e">
        <f t="shared" si="116"/>
        <v>#N/A</v>
      </c>
      <c r="BJ62"/>
      <c r="BL62" s="2">
        <f t="shared" si="119"/>
        <v>0</v>
      </c>
      <c r="BM62" s="2">
        <f t="shared" si="120"/>
        <v>0</v>
      </c>
      <c r="BQ62" s="769">
        <f t="shared" si="41"/>
        <v>0</v>
      </c>
      <c r="BU62"/>
      <c r="BV62"/>
    </row>
    <row r="63" spans="1:74" ht="47" hidden="1" thickBot="1" x14ac:dyDescent="0.4">
      <c r="B63" s="1011" t="s">
        <v>167</v>
      </c>
      <c r="C63" s="1011"/>
      <c r="F63" s="137" t="str">
        <f>F48</f>
        <v>STS Time</v>
      </c>
      <c r="G63" s="521" t="str">
        <f>G48</f>
        <v>Depart</v>
      </c>
      <c r="H63"/>
      <c r="I63"/>
      <c r="J63"/>
      <c r="K63"/>
      <c r="L63"/>
      <c r="M63"/>
      <c r="N63"/>
      <c r="O63"/>
      <c r="P63"/>
      <c r="Q63"/>
      <c r="R63"/>
      <c r="S63"/>
      <c r="V63" s="120" t="s">
        <v>172</v>
      </c>
      <c r="W63" s="120" t="s">
        <v>2</v>
      </c>
      <c r="X63" s="120" t="s">
        <v>173</v>
      </c>
      <c r="Y63" s="152" t="str">
        <f>$Y$8</f>
        <v>Vessel MT</v>
      </c>
      <c r="Z63" s="120" t="s">
        <v>175</v>
      </c>
      <c r="AA63" s="120" t="s">
        <v>176</v>
      </c>
      <c r="AB63" s="120" t="s">
        <v>177</v>
      </c>
      <c r="AC63" s="120" t="s">
        <v>178</v>
      </c>
      <c r="AD63" s="120" t="s">
        <v>200</v>
      </c>
      <c r="AE63" s="146" t="str">
        <f>$AE$8</f>
        <v xml:space="preserve">Current WS Rate </v>
      </c>
      <c r="AF63" s="128" t="s">
        <v>202</v>
      </c>
      <c r="AG63" s="150" t="s">
        <v>182</v>
      </c>
      <c r="AH63" s="136" t="s">
        <v>183</v>
      </c>
      <c r="AI63" s="146" t="str">
        <f>AI23</f>
        <v>ATA tvm</v>
      </c>
      <c r="AJ63" s="146" t="str">
        <f>AJ23</f>
        <v>Ext. TVM</v>
      </c>
      <c r="AK63" s="136" t="s">
        <v>184</v>
      </c>
      <c r="AL63" s="784" t="str">
        <f t="shared" ref="AL63:AM63" si="227">AI63</f>
        <v>ATA tvm</v>
      </c>
      <c r="AM63" s="784" t="str">
        <f t="shared" si="227"/>
        <v>Ext. TVM</v>
      </c>
      <c r="AN63" s="136" t="str">
        <f>AN23</f>
        <v>STS</v>
      </c>
      <c r="AO63" s="136" t="s">
        <v>186</v>
      </c>
      <c r="AP63" s="136" t="s">
        <v>187</v>
      </c>
      <c r="AQ63" s="136" t="s">
        <v>141</v>
      </c>
      <c r="AR63" s="136" t="s">
        <v>188</v>
      </c>
      <c r="AS63" s="136" t="s">
        <v>17</v>
      </c>
      <c r="AT63" s="136" t="s">
        <v>207</v>
      </c>
      <c r="AU63" s="136" t="s">
        <v>189</v>
      </c>
      <c r="AV63" s="136" t="s">
        <v>152</v>
      </c>
      <c r="AW63" s="150" t="s">
        <v>208</v>
      </c>
      <c r="AX63" s="150" t="s">
        <v>209</v>
      </c>
      <c r="AY63" s="150" t="s">
        <v>210</v>
      </c>
      <c r="AZ63" s="150" t="str">
        <f>AZ48</f>
        <v>Basis</v>
      </c>
      <c r="BA63" s="137" t="s">
        <v>211</v>
      </c>
      <c r="BD63" s="137" t="s">
        <v>195</v>
      </c>
      <c r="BE63" s="522" t="s">
        <v>196</v>
      </c>
      <c r="BF63" s="522"/>
      <c r="BG63" s="487" t="str">
        <f>BG8</f>
        <v>Basis</v>
      </c>
      <c r="BH63" s="487" t="str">
        <f>BH48</f>
        <v>Pricing Month</v>
      </c>
      <c r="BI63" s="487" t="str">
        <f>BI48</f>
        <v>Delivery Month</v>
      </c>
      <c r="BJ63" s="735"/>
      <c r="BK63" s="735"/>
      <c r="BL63" s="735"/>
      <c r="BM63" s="735"/>
      <c r="BN63" s="735"/>
      <c r="BO63" s="735"/>
      <c r="BQ63" s="769">
        <f t="shared" si="41"/>
        <v>0</v>
      </c>
      <c r="BU63"/>
      <c r="BV63"/>
    </row>
    <row r="64" spans="1:74" hidden="1" x14ac:dyDescent="0.35">
      <c r="B64" s="407">
        <f t="shared" ref="B64:B68" si="228">+$B$9</f>
        <v>45795</v>
      </c>
      <c r="C64" s="407">
        <f t="shared" ref="C64" si="229">IF(ISBLANK(B64),"",B64+2)</f>
        <v>45797</v>
      </c>
      <c r="F64" s="409">
        <f>IF(AN64=0,0,VLOOKUP(AA64,Control!$G$41:$J$44,4,FALSE))</f>
        <v>0</v>
      </c>
      <c r="G64" s="593">
        <f t="shared" ref="G64" si="230">AVERAGE(B64:C64)+F64</f>
        <v>45796</v>
      </c>
      <c r="H64"/>
      <c r="I64"/>
      <c r="J64"/>
      <c r="K64"/>
      <c r="L64"/>
      <c r="M64"/>
      <c r="N64"/>
      <c r="O64"/>
      <c r="P64"/>
      <c r="Q64"/>
      <c r="R64"/>
      <c r="S64"/>
      <c r="V64" s="140">
        <f>$V$49</f>
        <v>21.51</v>
      </c>
      <c r="W64" s="138">
        <f>INDEX(Control!$E$17:$J$21,MATCH(AA64,Control!$E$17:$E$21,0),MATCH(X64,Control!$E$17:$J$17,0))</f>
        <v>0</v>
      </c>
      <c r="X64" s="138" t="s">
        <v>45</v>
      </c>
      <c r="Y64" s="116">
        <f>INDEX(Vessel_Minimum_MT,MATCH(AA64,Control!$E$11:$E$15,0),MATCH(X64,Control!$E$11:$J$11,0))</f>
        <v>70000</v>
      </c>
      <c r="Z64" s="140">
        <f>AD64/Control!$D$84</f>
        <v>90096.96796338672</v>
      </c>
      <c r="AA64" s="48" t="s">
        <v>23</v>
      </c>
      <c r="AB64" s="26" t="s">
        <v>119</v>
      </c>
      <c r="AC64" s="26" t="str">
        <f>AC49</f>
        <v>USGC/Nsea</v>
      </c>
      <c r="AD64" s="594">
        <v>700000</v>
      </c>
      <c r="AE64" s="15">
        <v>70</v>
      </c>
      <c r="AF64" s="549">
        <f>AF49</f>
        <v>435</v>
      </c>
      <c r="AG64" s="50">
        <f>IF(AE64&gt;1000,IF(AF64=0,AE64,AF64)/AD64,((Y64*V64*(IF(AF64=0,AE64,AF64)/100))+IF(Z64&lt;Y64,0,(Z64-Y64)*V64*IF(AF64=0,AE64,AF64)/100*W64))/AD64)</f>
        <v>9.3568499999999979</v>
      </c>
      <c r="AH64" s="28">
        <v>0</v>
      </c>
      <c r="AI64" s="595">
        <f>INDEX(Control!$AS$36:$AY$118,MATCH(Report!$AB64,Control!$AS$36:$AS$118,0),MATCH(Report!AI$23,Control!$AS$36:$AY$36,0))</f>
        <v>-10</v>
      </c>
      <c r="AJ64" s="595">
        <f>INDEX(Control!$AS$36:$AY$118,MATCH(Report!$AB64,Control!$AS$36:$AS$118,0),MATCH(Report!AJ$23,Control!$AS$36:$AY$36,0))</f>
        <v>14</v>
      </c>
      <c r="AK64" s="29">
        <f>AH64*VLOOKUP($AA64,Control!$F$75:$H$87,3,FALSE)/$AD64</f>
        <v>0</v>
      </c>
      <c r="AL64" s="28">
        <f>IF(AND($AM$3=1,$AI64*Control!$D$77&lt;0),$AI64*Control!$D$77,0)</f>
        <v>0</v>
      </c>
      <c r="AM64" s="28">
        <f>IF($AM$4=1,$AJ64*Control!$D$77,0)</f>
        <v>0.18250630136986304</v>
      </c>
      <c r="AN64" s="29">
        <f>IF(((AD64-VLOOKUP(AA64,Control!$J$76:$K$80,2,FALSE))/Control!$D$85)&lt;=0,0,ROUNDUP(((AD64-VLOOKUP(AA64,Control!$J$76:$K$80,2,FALSE))/Control!$D$85),0)*Control!$H$90/AD64)</f>
        <v>0</v>
      </c>
      <c r="AO64" s="29">
        <f>IF(K64="Corpus Christi",Control!$D$76,0)</f>
        <v>0</v>
      </c>
      <c r="AP64" s="29">
        <v>0</v>
      </c>
      <c r="AQ64" s="29">
        <f>Control!$D$78</f>
        <v>0</v>
      </c>
      <c r="AR64" s="29"/>
      <c r="AS64" s="29"/>
      <c r="AT64" s="29"/>
      <c r="AU64" s="29">
        <f>AU49</f>
        <v>0.13425714285714285</v>
      </c>
      <c r="AV64" s="29">
        <f>IF(AND(N64="Chiriqui Grande",X64="Puerto Armuelles"),Control!$G$93,0)</f>
        <v>0</v>
      </c>
      <c r="AW64" s="50">
        <f t="shared" ref="AW64" si="231">SUM(AK64:AV64)</f>
        <v>0.31676344422700586</v>
      </c>
      <c r="AX64" s="50">
        <f>+T64+AG64+AW64</f>
        <v>9.6736134442270032</v>
      </c>
      <c r="AY64" s="50">
        <f t="shared" ref="AY64" si="232">IF((MONTH(B64)=MONTH(BI64)),0,IF(((MONTH(BI64))-MONTH(B64))+12*YEAR(BH64)-YEAR(B64)&gt;1,SUMIFS($BE$4:$BH$4,$BE$3:$BH$3,"&lt;="&amp;EOMONTH(BH64,-1),$BE$3:$BH$3,"&gt;="&amp;EOMONTH(B64,0)),VLOOKUP("Spreads",$BD$3:$BH$4,MATCH(EOMONTH(B64,0),$BD$3:$BH$3,0))))</f>
        <v>0</v>
      </c>
      <c r="AZ64" s="149">
        <v>-0.75</v>
      </c>
      <c r="BA64" s="596">
        <f>$AA$3+AX64+AY64+AZ64</f>
        <v>8.0236134442270028</v>
      </c>
      <c r="BD64" s="409">
        <f>$BD$49</f>
        <v>17</v>
      </c>
      <c r="BE64" s="407">
        <f>IF(ISBLANK(G64),"",G64+$BD64+F64)</f>
        <v>45813</v>
      </c>
      <c r="BF64" s="407">
        <f t="shared" ref="BF64" si="233">BE64+2</f>
        <v>45815</v>
      </c>
      <c r="BG64" s="407" t="s">
        <v>157</v>
      </c>
      <c r="BH64" s="597">
        <f t="shared" ref="BH64:BH68" si="234">EOMONTH(BF64,0)</f>
        <v>45838</v>
      </c>
      <c r="BI64" s="597">
        <f t="shared" ref="BI64:BI68" si="235">BH64</f>
        <v>45838</v>
      </c>
      <c r="BJ64" s="735">
        <f>AG64*AD64</f>
        <v>6549794.9999999981</v>
      </c>
      <c r="BK64" s="735">
        <f>AK64*AD64</f>
        <v>0</v>
      </c>
      <c r="BL64" s="735">
        <f>(AW64-AK64-AL64)*AD64</f>
        <v>221734.4109589041</v>
      </c>
      <c r="BM64" s="735">
        <f>AL64*AD64</f>
        <v>0</v>
      </c>
      <c r="BN64" s="735"/>
      <c r="BO64" s="735"/>
      <c r="BP64" s="736">
        <f>BE64-31</f>
        <v>45782</v>
      </c>
      <c r="BQ64" s="769">
        <f t="shared" si="41"/>
        <v>45782</v>
      </c>
      <c r="BU64"/>
      <c r="BV64"/>
    </row>
    <row r="65" spans="2:74" ht="6.75" hidden="1" customHeight="1" thickBot="1" x14ac:dyDescent="0.4">
      <c r="B65"/>
      <c r="C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Y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L65" s="2">
        <f>(AW65-AK65-AL65)*AD65</f>
        <v>0</v>
      </c>
      <c r="BM65" s="2">
        <f>AL65*AD65</f>
        <v>0</v>
      </c>
      <c r="BQ65" s="769">
        <f t="shared" si="41"/>
        <v>0</v>
      </c>
      <c r="BU65"/>
      <c r="BV65"/>
    </row>
    <row r="66" spans="2:74" ht="16" hidden="1" thickBot="1" x14ac:dyDescent="0.4">
      <c r="B66"/>
      <c r="C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Y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 s="1017" t="s">
        <v>222</v>
      </c>
      <c r="AZ66" s="1018"/>
      <c r="BA66" s="643">
        <f>BA68-BA67</f>
        <v>-1.4796689442270057</v>
      </c>
      <c r="BD66" s="640"/>
      <c r="BE66" s="530"/>
      <c r="BF66" s="530"/>
      <c r="BG66" s="530"/>
      <c r="BH66" s="597"/>
      <c r="BI66" s="597"/>
      <c r="BJ66" s="735"/>
      <c r="BK66" s="735"/>
      <c r="BL66" s="735"/>
      <c r="BM66" s="735"/>
      <c r="BN66" s="735"/>
      <c r="BO66" s="735"/>
      <c r="BQ66" s="769">
        <f t="shared" si="41"/>
        <v>0</v>
      </c>
      <c r="BU66"/>
      <c r="BV66"/>
    </row>
    <row r="67" spans="2:74" ht="16" hidden="1" thickBot="1" x14ac:dyDescent="0.4">
      <c r="B67" s="598">
        <f t="shared" si="228"/>
        <v>45795</v>
      </c>
      <c r="C67" s="599">
        <f t="shared" ref="C67:C68" si="236">IF(ISBLANK(B67),"",B67+2)</f>
        <v>45797</v>
      </c>
      <c r="D67" s="600"/>
      <c r="E67" s="600"/>
      <c r="F67" s="601">
        <f>IF(AN67=0,0,VLOOKUP(AA67,Control!$G$41:$J$44,4,FALSE))</f>
        <v>0</v>
      </c>
      <c r="G67" s="602">
        <f t="shared" ref="G67:G68" si="237">AVERAGE(B67:C67)+F67</f>
        <v>45796</v>
      </c>
      <c r="H67" s="600"/>
      <c r="I67" s="600"/>
      <c r="J67" s="600"/>
      <c r="K67" s="600"/>
      <c r="L67" s="600"/>
      <c r="M67" s="600"/>
      <c r="N67" s="600"/>
      <c r="O67" s="600"/>
      <c r="P67" s="600"/>
      <c r="Q67" s="600"/>
      <c r="R67" s="600"/>
      <c r="S67" s="600"/>
      <c r="T67" s="600"/>
      <c r="U67" s="600"/>
      <c r="V67" s="603">
        <f>$V$49</f>
        <v>21.51</v>
      </c>
      <c r="W67" s="604">
        <f>INDEX(Control!$E$17:$J$21,MATCH(AA67,Control!$E$17:$E$21,0),MATCH(X67,Control!$E$17:$J$17,0))</f>
        <v>0</v>
      </c>
      <c r="X67" s="604" t="s">
        <v>45</v>
      </c>
      <c r="Y67" s="605">
        <f>INDEX(Vessel_Minimum_MT,MATCH(AA67,Control!$E$11:$E$15,0),MATCH(X67,Control!$E$11:$J$11,0))</f>
        <v>70000</v>
      </c>
      <c r="Z67" s="603">
        <f>AD67/Control!$D$84</f>
        <v>90096.96796338672</v>
      </c>
      <c r="AA67" s="606" t="s">
        <v>23</v>
      </c>
      <c r="AB67" s="607" t="s">
        <v>119</v>
      </c>
      <c r="AC67" s="607" t="str">
        <f>AC50</f>
        <v>USGC/Nsea</v>
      </c>
      <c r="AD67" s="608">
        <v>700000</v>
      </c>
      <c r="AE67" s="609">
        <v>70</v>
      </c>
      <c r="AF67" s="610">
        <v>145</v>
      </c>
      <c r="AG67" s="611">
        <f>IF(AE67&gt;1000,IF(AF67=0,AE67,AF67)/AD67,((Y67*V67*(IF(AF67=0,AE67,AF67)/100))+IF(Z67&lt;Y67,0,(Z67-Y67)*V67*IF(AF67=0,AE67,AF67)/100*W67))/AD67)</f>
        <v>3.1189499999999999</v>
      </c>
      <c r="AH67" s="612">
        <v>0</v>
      </c>
      <c r="AI67" s="595">
        <f>INDEX(Control!$AS$36:$AY$118,MATCH(Report!$AB67,Control!$AS$36:$AS$118,0),MATCH(Report!AI$23,Control!$AS$36:$AY$36,0))</f>
        <v>-10</v>
      </c>
      <c r="AJ67" s="782">
        <f>INDEX(Control!$AS$36:$AY$118,MATCH(Report!$AB67,Control!$AS$36:$AS$118,0),MATCH(Report!AJ$23,Control!$AS$36:$AY$36,0))</f>
        <v>14</v>
      </c>
      <c r="AK67" s="613">
        <f>AH67*VLOOKUP($AA67,Control!$F$75:$H$87,3,FALSE)/$AD67</f>
        <v>0</v>
      </c>
      <c r="AL67" s="612">
        <f>IF($AM$3=1,$AI67*Control!$D$77,0)</f>
        <v>0</v>
      </c>
      <c r="AM67" s="612">
        <f>IF($AM$4=1,$AJ67*Control!$D$77,0)</f>
        <v>0.18250630136986304</v>
      </c>
      <c r="AN67" s="613">
        <f>IF(((AD67-VLOOKUP(AA67,Control!$J$76:$K$80,2,FALSE))/Control!$D$85)&lt;=0,0,ROUNDUP(((AD67-VLOOKUP(AA67,Control!$J$76:$K$80,2,FALSE))/Control!$D$85),0)*Control!$H$90/AD67)</f>
        <v>0</v>
      </c>
      <c r="AO67" s="613">
        <f>IF(K67="Corpus Christi",Control!$D$76,0)</f>
        <v>0</v>
      </c>
      <c r="AP67" s="613">
        <v>0</v>
      </c>
      <c r="AQ67" s="613">
        <f>Control!$D$78</f>
        <v>0</v>
      </c>
      <c r="AR67" s="613"/>
      <c r="AS67" s="613"/>
      <c r="AT67" s="613"/>
      <c r="AU67" s="29">
        <f>$AU$49</f>
        <v>0.13425714285714285</v>
      </c>
      <c r="AV67" s="613">
        <f>IF(AND(N67="Chiriqui Grande",X67="Puerto Armuelles"),Control!$G$93,0)</f>
        <v>0</v>
      </c>
      <c r="AW67" s="611">
        <f>SUM(AK67:AV67)</f>
        <v>0.31676344422700586</v>
      </c>
      <c r="AX67" s="611">
        <f>+T67+AG67+AW67</f>
        <v>3.4357134442270056</v>
      </c>
      <c r="AY67" s="50">
        <f>IF((MONTH(B67)=MONTH(BI67)),0,IF(((MONTH(BI67))-MONTH(B67))+12*YEAR(BH67)-YEAR(B67)&gt;1,SUMIFS($BE$4:$BH$4,$BE$3:$BH$3,"&lt;="&amp;EOMONTH(BH67,-1),$BE$3:$BH$3,"&gt;="&amp;EOMONTH(B67,0)),VLOOKUP("Spreads",$BD$3:$BH$4,MATCH(EOMONTH(B67,0),$BD$3:$BH$3,0))))</f>
        <v>0</v>
      </c>
      <c r="AZ67" s="614">
        <f>-IF((MONTH(BE3)=MONTH(BI67)),0,IF(((MONTH(BI67))-MONTH(BE3))+12*YEAR(BH67)-YEAR(BE3)&gt;1,SUMIFS($BE$4:$BI$4,$BE$3:$BI$3,"&lt;="&amp;EOMONTH(BH67,-1),$BE$3:$BI$3,"&gt;="&amp;EOMONTH(BE3,0)),VLOOKUP("Spreads",$BD$3:$BI$4,MATCH(EOMONTH(BE3,0),$BE$3:$BI$3,0))))</f>
        <v>0</v>
      </c>
      <c r="BA67" s="642">
        <f>$AA$4+AX67+AY67+AZ67</f>
        <v>2.5357134442270057</v>
      </c>
      <c r="BB67" s="615"/>
      <c r="BC67" s="615"/>
      <c r="BD67" s="601">
        <f>$BD$49</f>
        <v>17</v>
      </c>
      <c r="BE67" s="599">
        <f>IF(ISBLANK(G67),"",G67+$BD67+F67)</f>
        <v>45813</v>
      </c>
      <c r="BF67" s="599">
        <f t="shared" ref="BF67:BF68" si="238">BE67+2</f>
        <v>45815</v>
      </c>
      <c r="BG67" s="599" t="s">
        <v>157</v>
      </c>
      <c r="BH67" s="636">
        <f t="shared" si="234"/>
        <v>45838</v>
      </c>
      <c r="BI67" s="637">
        <f t="shared" si="235"/>
        <v>45838</v>
      </c>
      <c r="BJ67" s="735">
        <f>AG67*AD67</f>
        <v>2183265</v>
      </c>
      <c r="BK67" s="735">
        <f>AK67*AD67</f>
        <v>0</v>
      </c>
      <c r="BL67" s="735">
        <f>(AW67-AK67-AL67)*AD67</f>
        <v>221734.4109589041</v>
      </c>
      <c r="BM67" s="735">
        <f>AL67*AD67</f>
        <v>0</v>
      </c>
      <c r="BN67" s="735"/>
      <c r="BO67" s="735"/>
      <c r="BP67" s="735">
        <f>(AX67-AL67)*AD67</f>
        <v>2404999.4109589038</v>
      </c>
      <c r="BQ67" s="769">
        <f t="shared" si="41"/>
        <v>2404999.4109589038</v>
      </c>
      <c r="BU67"/>
      <c r="BV67"/>
    </row>
    <row r="68" spans="2:74" hidden="1" x14ac:dyDescent="0.35">
      <c r="B68" s="616">
        <f t="shared" si="228"/>
        <v>45795</v>
      </c>
      <c r="C68" s="617">
        <f t="shared" si="236"/>
        <v>45797</v>
      </c>
      <c r="D68" s="618"/>
      <c r="E68" s="618"/>
      <c r="F68" s="619">
        <f>IF(AN68=0,0,VLOOKUP(AA68,Control!$G$41:$J$44,4,FALSE))</f>
        <v>0</v>
      </c>
      <c r="G68" s="620">
        <f t="shared" si="237"/>
        <v>45796</v>
      </c>
      <c r="H68" s="618"/>
      <c r="I68" s="618"/>
      <c r="J68" s="618"/>
      <c r="K68" s="618"/>
      <c r="L68" s="618"/>
      <c r="M68" s="618"/>
      <c r="N68" s="618"/>
      <c r="O68" s="618"/>
      <c r="P68" s="618"/>
      <c r="Q68" s="618"/>
      <c r="R68" s="618"/>
      <c r="S68" s="618"/>
      <c r="T68" s="618"/>
      <c r="U68" s="618"/>
      <c r="V68" s="621">
        <v>6.89</v>
      </c>
      <c r="W68" s="622">
        <f>INDEX(Control!$E$17:$J$21,MATCH(AA68,Control!$E$17:$E$21,0),MATCH(X68,Control!$E$17:$J$17,0))</f>
        <v>0</v>
      </c>
      <c r="X68" s="622" t="s">
        <v>45</v>
      </c>
      <c r="Y68" s="623">
        <v>86700</v>
      </c>
      <c r="Z68" s="621">
        <f>AD68/Control!$D$84</f>
        <v>90096.96796338672</v>
      </c>
      <c r="AA68" s="624" t="s">
        <v>23</v>
      </c>
      <c r="AB68" s="625" t="s">
        <v>119</v>
      </c>
      <c r="AC68" s="625" t="str">
        <f>AC51</f>
        <v>USGC/Nsea</v>
      </c>
      <c r="AD68" s="626">
        <v>700000</v>
      </c>
      <c r="AE68" s="627">
        <v>70</v>
      </c>
      <c r="AF68" s="628">
        <v>105</v>
      </c>
      <c r="AG68" s="629">
        <f>IF(AE68&gt;1000,IF(AF68=0,AE68,AF68)/AD68,((Y68*V68*(IF(AF68=0,AE68,AF68)/100))+IF(Z68&lt;Y68,0,(Z68-Y68)*V68*IF(AF68=0,AE68,AF68)/100*W68))/AD68)</f>
        <v>0.89604450000000002</v>
      </c>
      <c r="AH68" s="630">
        <v>0</v>
      </c>
      <c r="AI68" s="631">
        <v>0</v>
      </c>
      <c r="AJ68" s="631"/>
      <c r="AK68" s="632">
        <f>AH68*VLOOKUP($AA68,Control!$F$75:$H$87,3,FALSE)/$AD68</f>
        <v>0</v>
      </c>
      <c r="AL68" s="630">
        <f>$AI68*Control!$D$77</f>
        <v>0</v>
      </c>
      <c r="AM68" s="630"/>
      <c r="AN68" s="632">
        <f>IF(((AD68-VLOOKUP(AA68,Control!$J$76:$K$80,2,FALSE))/Control!$D$85)&lt;=0,0,ROUNDUP(((AD68-VLOOKUP(AA68,Control!$J$76:$K$80,2,FALSE))/Control!$D$85),0)*Control!$H$90/AD68)</f>
        <v>0</v>
      </c>
      <c r="AO68" s="632">
        <f>IF(K68="Corpus Christi",Control!$D$76,0)</f>
        <v>0</v>
      </c>
      <c r="AP68" s="632">
        <v>0</v>
      </c>
      <c r="AQ68" s="632">
        <f>Control!$D$78</f>
        <v>0</v>
      </c>
      <c r="AR68" s="632"/>
      <c r="AS68" s="632"/>
      <c r="AT68" s="632"/>
      <c r="AU68" s="632">
        <v>0.13</v>
      </c>
      <c r="AV68" s="632">
        <f>IF(AND(N68="Chiriqui Grande",X68="Puerto Armuelles"),Control!$G$93,0)</f>
        <v>0</v>
      </c>
      <c r="AW68" s="629">
        <f>SUM(AK68:AV68)</f>
        <v>0.13</v>
      </c>
      <c r="AX68" s="629">
        <f>+T68+AG68+AW68</f>
        <v>1.0260445</v>
      </c>
      <c r="AY68" s="629"/>
      <c r="AZ68" s="633"/>
      <c r="BA68" s="634">
        <f>$AA$5+AX68+AY68+AZ68</f>
        <v>1.0560445000000001</v>
      </c>
      <c r="BB68" s="635"/>
      <c r="BC68" s="635"/>
      <c r="BD68" s="619">
        <f>$BD$49</f>
        <v>17</v>
      </c>
      <c r="BE68" s="617">
        <f>IF(ISBLANK(G68),"",G68+$BD68+F68)</f>
        <v>45813</v>
      </c>
      <c r="BF68" s="617">
        <f t="shared" si="238"/>
        <v>45815</v>
      </c>
      <c r="BG68" s="617" t="s">
        <v>157</v>
      </c>
      <c r="BH68" s="636">
        <f t="shared" si="234"/>
        <v>45838</v>
      </c>
      <c r="BI68" s="637">
        <f t="shared" si="235"/>
        <v>45838</v>
      </c>
      <c r="BJ68" s="735">
        <f>AG68*AD68</f>
        <v>627231.15</v>
      </c>
      <c r="BK68" s="735">
        <f>AK68*AD68</f>
        <v>0</v>
      </c>
      <c r="BL68" s="735">
        <f>(AW68-AK68-AL68)*AD68</f>
        <v>91000</v>
      </c>
      <c r="BM68" s="735">
        <f>AL68*AD68</f>
        <v>0</v>
      </c>
      <c r="BN68" s="735"/>
      <c r="BO68" s="735"/>
      <c r="BP68" s="735">
        <f>(AX68-AL68)*AD68</f>
        <v>718231.15</v>
      </c>
      <c r="BQ68" s="769">
        <f t="shared" si="41"/>
        <v>718231.15</v>
      </c>
      <c r="BU68"/>
      <c r="BV68"/>
    </row>
    <row r="69" spans="2:74" ht="19" hidden="1" thickBot="1" x14ac:dyDescent="0.5">
      <c r="B69" s="82"/>
      <c r="C69" s="82"/>
      <c r="F69" s="77"/>
      <c r="G69" s="520"/>
      <c r="H69"/>
      <c r="I69"/>
      <c r="J69"/>
      <c r="K69"/>
      <c r="L69"/>
      <c r="M69"/>
      <c r="N69"/>
      <c r="O69"/>
      <c r="P69"/>
      <c r="Q69"/>
      <c r="R69"/>
      <c r="S69"/>
      <c r="V69" s="410"/>
      <c r="W69" s="410"/>
      <c r="X69" s="410"/>
      <c r="Y69" s="410"/>
      <c r="Z69" s="410"/>
      <c r="AA69" s="1008" t="s">
        <v>223</v>
      </c>
      <c r="AB69" s="1009"/>
      <c r="AC69" s="1009"/>
      <c r="AD69" s="1009"/>
      <c r="AE69" s="1009"/>
      <c r="AF69" s="1009"/>
      <c r="AG69" s="1009"/>
      <c r="AH69" s="1009"/>
      <c r="AI69" s="1009"/>
      <c r="AJ69" s="1009"/>
      <c r="AK69" s="1009"/>
      <c r="AL69" s="1009"/>
      <c r="AM69" s="1009"/>
      <c r="AN69" s="1009"/>
      <c r="AO69" s="1009"/>
      <c r="AP69" s="1009"/>
      <c r="AQ69" s="1009"/>
      <c r="AR69" s="1009"/>
      <c r="AS69" s="1009"/>
      <c r="AT69" s="1009"/>
      <c r="AU69" s="1009"/>
      <c r="AV69" s="1009"/>
      <c r="AW69" s="1009"/>
      <c r="AX69" s="1009"/>
      <c r="AY69" s="1009"/>
      <c r="AZ69" s="1009"/>
      <c r="BA69" s="1010"/>
      <c r="BD69" s="77"/>
      <c r="BE69"/>
      <c r="BF69"/>
      <c r="BG69"/>
      <c r="BH69"/>
      <c r="BI69"/>
      <c r="BJ69" s="735">
        <f t="shared" ref="BJ69:BM69" si="239">BJ67-BJ68</f>
        <v>1556033.85</v>
      </c>
      <c r="BK69" s="735">
        <f t="shared" si="239"/>
        <v>0</v>
      </c>
      <c r="BL69" s="735">
        <f t="shared" si="239"/>
        <v>130734.4109589041</v>
      </c>
      <c r="BM69" s="735">
        <f t="shared" si="239"/>
        <v>0</v>
      </c>
      <c r="BN69" s="735"/>
      <c r="BO69" s="735"/>
      <c r="BP69" s="735">
        <f>BP67-BP68</f>
        <v>1686768.2609589039</v>
      </c>
      <c r="BQ69" s="769">
        <f t="shared" si="41"/>
        <v>1686768.2609589039</v>
      </c>
      <c r="BU69"/>
      <c r="BV69"/>
    </row>
    <row r="70" spans="2:74" ht="23.25" hidden="1" customHeight="1" thickBot="1" x14ac:dyDescent="0.4">
      <c r="B70" s="309">
        <v>45795</v>
      </c>
      <c r="C70" s="310">
        <f>B70+2</f>
        <v>45797</v>
      </c>
      <c r="F70" s="229">
        <f>IF(AN70=0,0,VLOOKUP(AA70,Control!$G$41:$J$44,4,FALSE))</f>
        <v>3</v>
      </c>
      <c r="G70" s="519">
        <f t="shared" ref="G70" si="240">AVERAGE(B70:C70)+F70</f>
        <v>45799</v>
      </c>
      <c r="H70"/>
      <c r="I70"/>
      <c r="J70"/>
      <c r="K70"/>
      <c r="L70"/>
      <c r="M70"/>
      <c r="N70"/>
      <c r="O70"/>
      <c r="P70"/>
      <c r="Q70"/>
      <c r="R70"/>
      <c r="S70"/>
      <c r="V70" s="220">
        <v>0</v>
      </c>
      <c r="W70" s="220">
        <v>0</v>
      </c>
      <c r="X70" s="220" t="s">
        <v>45</v>
      </c>
      <c r="Y70" s="213" t="e">
        <f>INDEX(Vessel_Minimum_MT,MATCH(AA70,Control!$E$11:$E$15,0),MATCH(X70,Control!$E$11:$J$11,0))</f>
        <v>#N/A</v>
      </c>
      <c r="Z70" s="222">
        <f>AD70/Control!$D$84</f>
        <v>269647.3541189931</v>
      </c>
      <c r="AA70" s="215" t="s">
        <v>26</v>
      </c>
      <c r="AB70" s="212" t="s">
        <v>42</v>
      </c>
      <c r="AC70" s="212" t="str">
        <f>IF(AB70=X70,"",CONCATENATE(CONCATENATE(VLOOKUP(X70,Zones,2,FALSE),"/",VLOOKUP(AB70,Zones,2,FALSE))))</f>
        <v>USGC/Nsea</v>
      </c>
      <c r="AD70" s="214">
        <v>2095000</v>
      </c>
      <c r="AE70" s="214"/>
      <c r="AF70" s="377">
        <f>AF61</f>
        <v>35150000</v>
      </c>
      <c r="AG70" s="225">
        <f>AF70/AD70</f>
        <v>16.778042959427207</v>
      </c>
      <c r="AH70" s="306">
        <v>7</v>
      </c>
      <c r="AI70" s="214">
        <f>IF(AND($BD$47=1,VLOOKUP(AB70,Control!$AS$37:$AV$68,4,FALSE)&lt;0),0,VLOOKUP(AB70,Control!$AS$37:$AV$68,4,FALSE))</f>
        <v>-8</v>
      </c>
      <c r="AJ70" s="214"/>
      <c r="AK70" s="227">
        <f>AH70*VLOOKUP($AA70,Control!$F$75:$H$87,3,FALSE)/$AD70</f>
        <v>1.503579952267303</v>
      </c>
      <c r="AL70" s="226">
        <f>$AI70*Control!$D$77</f>
        <v>-0.10428931506849316</v>
      </c>
      <c r="AM70" s="226"/>
      <c r="AN70" s="227">
        <f>IF(((AD70-VLOOKUP(AA70,Control!$J$76:$K$80,2,FALSE))/Control!$D$85)&lt;=0,0,ROUNDUP(((AD70-VLOOKUP(AA70,Control!$J$76:$K$80,2,FALSE))/Control!$D$85),0)*Control!$H$90/AD70)</f>
        <v>0.883054892601432</v>
      </c>
      <c r="AO70" s="227">
        <f>IF(K70="Corpus Christi",Control!$D$76,0)</f>
        <v>0</v>
      </c>
      <c r="AP70" s="227">
        <v>0</v>
      </c>
      <c r="AQ70" s="227">
        <f>Control!$D$78</f>
        <v>0</v>
      </c>
      <c r="AR70" s="227">
        <f>Control!$D$79</f>
        <v>6.7299999999999999E-2</v>
      </c>
      <c r="AS70" s="227">
        <f>IF(INDEX(Control!$Q$3:$S$62,MATCH($AB70,Control!$Q$3:$Q$62,0),MATCH(AS$8,Control!$Q$3:$S$3,0))=1,Control!$D$81*Control!$E$81,0)</f>
        <v>0</v>
      </c>
      <c r="AT70" s="227">
        <f>IF(INDEX(Control!$Q$3:$S$62,MATCH($AB70,Control!$Q$3:$Q$62,0),MATCH(AT$8,Control!$Q$3:$S$3,0))=1,INDEX(Control!$AK$3:$AO$69,MATCH(Report!AB70,Control!$AK$3:$AK$29,0),MATCH(Report!AA70,Control!$AK$3:$AO$3,0))/AD70*1000,0)</f>
        <v>0</v>
      </c>
      <c r="AU70" s="143">
        <f>116490/AD70</f>
        <v>5.5603818615751789E-2</v>
      </c>
      <c r="AV70" s="227"/>
      <c r="AW70" s="225">
        <f>SUM(AK70:AV70)</f>
        <v>2.4052493484159934</v>
      </c>
      <c r="AX70" s="225">
        <f>+T70+AG70+AW70</f>
        <v>19.1832923078432</v>
      </c>
      <c r="AY70" s="225">
        <f>IF((MONTH(B70)=MONTH(BI70)),0,IF(((MONTH(BI70))-MONTH(B70))+12*YEAR(BH70)-YEAR(B70)&gt;1,SUMIFS($BE$4:$BI$4,$BE$3:$BI$3,"&lt;="&amp;EOMONTH(BH70,-1),$BE$3:$BI$3,"&gt;="&amp;EOMONTH(B70,0)),VLOOKUP("Spreads",$BD$3:$BI$4,MATCH(EOMONTH(B70,0),$BD$3:$BI$3,0))))</f>
        <v>0</v>
      </c>
      <c r="AZ70" s="225" t="e">
        <f>-HLOOKUP(EOMONTH(BH70,0),$BE$3:$BH$6,3,FALSE)</f>
        <v>#N/A</v>
      </c>
      <c r="BA70" s="656" t="e">
        <f>$AA$3+AX70+AY70+AZ70</f>
        <v>#N/A</v>
      </c>
      <c r="BC70" s="220"/>
      <c r="BD70" s="229">
        <f>+INDEX('[1]Transit Time'!$A:$DZ,MATCH(X70,'[1]Transit Time'!$A:$A,0),MATCH(AB70,'[1]Transit Time'!$A$1:$DZ$1,0))</f>
        <v>17</v>
      </c>
      <c r="BE70" s="230">
        <f t="shared" ref="BE70" si="241">IF(ISBLANK(B70),"",B70+$BD70+F70)</f>
        <v>45815</v>
      </c>
      <c r="BF70" s="230">
        <f t="shared" ref="BF70" si="242">BE70+2</f>
        <v>45817</v>
      </c>
      <c r="BG70" s="230" t="s">
        <v>157</v>
      </c>
      <c r="BH70" s="489">
        <f t="shared" ref="BH70" si="243">EOMONTH(BF70,0)</f>
        <v>45838</v>
      </c>
      <c r="BI70" s="489">
        <f t="shared" ref="BI70" si="244">BH70</f>
        <v>45838</v>
      </c>
      <c r="BJ70"/>
      <c r="BU70"/>
      <c r="BV70"/>
    </row>
    <row r="71" spans="2:74" ht="17.25" hidden="1" customHeight="1" thickBot="1" x14ac:dyDescent="0.4">
      <c r="B71"/>
      <c r="C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Y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Q71"/>
      <c r="BR71"/>
      <c r="BS71"/>
      <c r="BT71"/>
      <c r="BU71"/>
      <c r="BV71"/>
    </row>
    <row r="72" spans="2:74" ht="17.25" hidden="1" customHeight="1" thickBot="1" x14ac:dyDescent="0.4">
      <c r="B72" s="163">
        <f>BE70+1</f>
        <v>45816</v>
      </c>
      <c r="C72" s="163">
        <f>B72+2</f>
        <v>45818</v>
      </c>
      <c r="F72" s="153">
        <f>IF(AN72=0,0,VLOOKUP(AA72,Control!$G$41:$J$44,4,FALSE))</f>
        <v>0</v>
      </c>
      <c r="G72" s="518">
        <f t="shared" ref="G72:G80" si="245">AVERAGE(B72:C72)+F72</f>
        <v>45817</v>
      </c>
      <c r="H72"/>
      <c r="I72"/>
      <c r="J72"/>
      <c r="K72"/>
      <c r="L72"/>
      <c r="M72"/>
      <c r="N72"/>
      <c r="O72"/>
      <c r="P72"/>
      <c r="Q72"/>
      <c r="R72"/>
      <c r="S72"/>
      <c r="V72" s="140">
        <v>0</v>
      </c>
      <c r="W72" s="138">
        <v>0</v>
      </c>
      <c r="X72" s="138" t="s">
        <v>64</v>
      </c>
      <c r="Y72" s="116">
        <f>INDEX(Vessel_Minimum_MT,MATCH(AA72,Control!$E$11:$E$15,0),MATCH(X72,Control!$E$11:$O$11,0))</f>
        <v>80000</v>
      </c>
      <c r="Z72" s="140">
        <f>AD72/Control!$D$84</f>
        <v>89882.451372997719</v>
      </c>
      <c r="AA72" s="48" t="s">
        <v>23</v>
      </c>
      <c r="AB72" s="639" t="s">
        <v>42</v>
      </c>
      <c r="AC72" s="142" t="str">
        <f t="shared" ref="AC72:AC77" si="246">IF(AB72=X72,"",CONCATENATE(CONCATENATE(VLOOKUP(X72,Zones,2,FALSE),"/",VLOOKUP(AB72,Zones,2,FALSE))))</f>
        <v>Nsea/Nsea</v>
      </c>
      <c r="AD72" s="379">
        <f>AD70/3</f>
        <v>698333.33333333337</v>
      </c>
      <c r="AE72" s="141">
        <v>70</v>
      </c>
      <c r="AF72" s="654">
        <v>125</v>
      </c>
      <c r="AG72" s="149">
        <f>IF(AE72&gt;1000,IF(AF72=0,AE72,AF72)/AD72,((Y72*V72*(IF(AF72=0,AE72,AF72)/100))+IF(Z72&lt;Y72,0,(Z72-Y72)*V72*IF(AF72=0,AE72,AF72)/100*W72))/AD72)</f>
        <v>0</v>
      </c>
      <c r="AH72" s="144"/>
      <c r="AI72" s="155">
        <f>IF(AND($BD$47=1,VLOOKUP(AB72,Control!$AS$37:$AV$68,4,FALSE)&lt;0),0,VLOOKUP(AB72,Control!$AS$37:$AV$68,4,FALSE))-$AI$70+2</f>
        <v>2</v>
      </c>
      <c r="AJ72" s="155"/>
      <c r="AK72" s="143">
        <f>AH72*VLOOKUP($AA72,Control!$F$75:$H$87,3,FALSE)/$AD72</f>
        <v>0</v>
      </c>
      <c r="AL72" s="144">
        <f>$AI72*Control!$D$77</f>
        <v>2.6072328767123291E-2</v>
      </c>
      <c r="AM72" s="144"/>
      <c r="AN72" s="143">
        <f>Control!$I$90/Report!AD72</f>
        <v>0.10739856801909307</v>
      </c>
      <c r="AO72" s="143">
        <f>IF(K72="Corpus Christi",Control!$D$76,0)</f>
        <v>0</v>
      </c>
      <c r="AP72" s="143">
        <v>0</v>
      </c>
      <c r="AQ72" s="143">
        <f>Control!$D$78</f>
        <v>0</v>
      </c>
      <c r="AR72" s="143">
        <f>Control!$D$79</f>
        <v>6.7299999999999999E-2</v>
      </c>
      <c r="AS72" s="143">
        <f>IF(INDEX(Control!$Q$3:$S$62,MATCH($AB72,Control!$Q$3:$Q$62,0),MATCH(AS$8,Control!$Q$3:$S$3,0))=1,Control!$D$81*Control!$E$81,0)</f>
        <v>0</v>
      </c>
      <c r="AT72" s="143">
        <f>IF(INDEX(Control!$Q$3:$S$62,MATCH($AB72,Control!$Q$3:$Q$62,0),MATCH(AT$8,Control!$Q$3:$S$3,0))=1,INDEX(Control!$AK$3:$AO$69,MATCH(Report!AB72,Control!$AK$3:$AK$29,0),MATCH(Report!AA72,Control!$AK$3:$AO$3,0))/AD72*1000,0)</f>
        <v>0</v>
      </c>
      <c r="AU72" s="143">
        <f>93980/AD72</f>
        <v>0.13457756563245823</v>
      </c>
      <c r="AV72" s="143"/>
      <c r="AW72" s="149">
        <f t="shared" ref="AW72:AW73" si="247">SUM(AK72:AV72)</f>
        <v>0.33534846241867461</v>
      </c>
      <c r="AX72" s="149">
        <f t="shared" ref="AX72:AX80" si="248">+T72+AG72+AW72</f>
        <v>0.33534846241867461</v>
      </c>
      <c r="AY72" s="98">
        <f t="shared" ref="AY72:AY80" si="249">IF((MONTH(B72)=MONTH(BI72)),0,IF(((MONTH(BI72))-MONTH(B72))+12*YEAR(BH72)-YEAR(B72)&gt;1,SUMIFS($BE$4:$BI$4,$BE$3:$BI$3,"&lt;="&amp;EOMONTH(BH72,-1),$BE$3:$BI$3,"&gt;="&amp;EOMONTH(B72,0)),VLOOKUP("Spreads",$BD$3:$BI$4,MATCH(EOMONTH(B72,0),$BD$3:$BI$3,0))))</f>
        <v>0</v>
      </c>
      <c r="AZ72" s="149">
        <v>0</v>
      </c>
      <c r="BA72" s="638" t="e">
        <f t="shared" ref="BA72:BA80" si="250">$BA$70+AX72+AY72+AZ72</f>
        <v>#N/A</v>
      </c>
      <c r="BD72" s="153">
        <v>4</v>
      </c>
      <c r="BE72" s="163">
        <f>IF(ISBLANK(G72),"",G72+$BD72+F72)</f>
        <v>45821</v>
      </c>
      <c r="BF72" s="163">
        <f t="shared" ref="BF72:BF80" si="251">BE72+2</f>
        <v>45823</v>
      </c>
      <c r="BG72" s="163" t="s">
        <v>157</v>
      </c>
      <c r="BH72" s="490">
        <f t="shared" ref="BH72:BH80" si="252">EOMONTH(BF72,0)</f>
        <v>45838</v>
      </c>
      <c r="BI72" s="490">
        <f t="shared" ref="BI72:BI80" si="253">BH72</f>
        <v>45838</v>
      </c>
      <c r="BJ72"/>
      <c r="BU72"/>
      <c r="BV72"/>
    </row>
    <row r="73" spans="2:74" ht="17.25" hidden="1" customHeight="1" x14ac:dyDescent="0.35">
      <c r="B73" s="230">
        <f>B72</f>
        <v>45816</v>
      </c>
      <c r="C73" s="230">
        <f>C72</f>
        <v>45818</v>
      </c>
      <c r="F73" s="229">
        <f>IF(AN73=0,0,VLOOKUP(AA73,Control!$G$41:$J$44,4,FALSE))</f>
        <v>0</v>
      </c>
      <c r="G73" s="519">
        <f t="shared" si="245"/>
        <v>45817</v>
      </c>
      <c r="H73"/>
      <c r="I73"/>
      <c r="J73"/>
      <c r="K73"/>
      <c r="L73"/>
      <c r="M73"/>
      <c r="N73"/>
      <c r="O73"/>
      <c r="P73"/>
      <c r="Q73"/>
      <c r="R73"/>
      <c r="S73"/>
      <c r="V73" s="478">
        <f>INDEX('[2]Flat Rates 2025'!$A:$DZ,MATCH(X73,'[2]Flat Rates 2025'!$A:$A,0),MATCH(AB73,'[2]Flat Rates 2025'!$A$1:$DZ$1,0))</f>
        <v>7.32</v>
      </c>
      <c r="W73" s="220">
        <v>0</v>
      </c>
      <c r="X73" s="220" t="s">
        <v>64</v>
      </c>
      <c r="Y73" s="213">
        <f>INDEX(Vessel_Minimum_MT,MATCH(AA73,Control!$E$11:$E$15,0),MATCH(X73,Control!$E$11:$O$11,0))</f>
        <v>80000</v>
      </c>
      <c r="Z73" s="222">
        <f>AD73/Control!$D$84</f>
        <v>89882.451372997719</v>
      </c>
      <c r="AA73" s="215" t="s">
        <v>23</v>
      </c>
      <c r="AB73" s="212" t="s">
        <v>47</v>
      </c>
      <c r="AC73" s="212" t="str">
        <f t="shared" si="246"/>
        <v>Nsea/Nsea</v>
      </c>
      <c r="AD73" s="312">
        <f>AD72</f>
        <v>698333.33333333337</v>
      </c>
      <c r="AE73" s="214">
        <v>70</v>
      </c>
      <c r="AF73" s="262">
        <f t="shared" ref="AF73:AF80" si="254">$AF$68</f>
        <v>105</v>
      </c>
      <c r="AG73" s="225">
        <f t="shared" ref="AG73" si="255">IF(AE73&gt;1000,IF(AF73=0,AE73,AF73)/AD73,((Y73*V73*(IF(AF73=0,AE73,AF73)/100))+IF(Z73&lt;Y73,0,(Z73-Y73)*V73*IF(AF73=0,AE73,AF73)/100*W73))/AD73)</f>
        <v>0.88049642004773265</v>
      </c>
      <c r="AH73" s="226">
        <f t="shared" ref="AH73:AH80" si="256">$AH$49</f>
        <v>0</v>
      </c>
      <c r="AI73" s="214">
        <f>IF(AND($BD$47=1,VLOOKUP(AB73,Control!$AS$37:$AV$68,4,FALSE)&lt;0),0,VLOOKUP(AB73,Control!$AS$37:$AV$68,4,FALSE))-$AI$70+2</f>
        <v>2</v>
      </c>
      <c r="AJ73" s="214"/>
      <c r="AK73" s="227">
        <f>AH73*VLOOKUP($AA73,Control!$F$75:$H$87,3,FALSE)/$AD73</f>
        <v>0</v>
      </c>
      <c r="AL73" s="226">
        <f>$AI73*Control!$D$77</f>
        <v>2.6072328767123291E-2</v>
      </c>
      <c r="AM73" s="226"/>
      <c r="AN73" s="227">
        <f>Control!$I$90/Report!AD73</f>
        <v>0.10739856801909307</v>
      </c>
      <c r="AO73" s="227">
        <f>IF(K73="Corpus Christi",Control!$D$76,0)</f>
        <v>0</v>
      </c>
      <c r="AP73" s="227">
        <v>0</v>
      </c>
      <c r="AQ73" s="227">
        <f>Control!$D$78</f>
        <v>0</v>
      </c>
      <c r="AR73" s="227">
        <f>Control!$D$79</f>
        <v>6.7299999999999999E-2</v>
      </c>
      <c r="AS73" s="227">
        <f>IF(INDEX(Control!$Q$3:$S$62,MATCH($AB73,Control!$Q$3:$Q$62,0),MATCH(AS$8,Control!$Q$3:$S$3,0))=1,Control!$D$81*Control!$E$81,0)</f>
        <v>0</v>
      </c>
      <c r="AT73" s="227">
        <f>IF(INDEX(Control!$Q$3:$S$62,MATCH($AB73,Control!$Q$3:$Q$62,0),MATCH(AT$8,Control!$Q$3:$S$3,0))=1,INDEX(Control!$AK$3:$AO$69,MATCH(Report!AB73,Control!$AK$3:$AK$29,0),MATCH(Report!AA73,Control!$AK$3:$AO$3,0))/AD73*1000,0)</f>
        <v>0</v>
      </c>
      <c r="AU73" s="227" t="str">
        <f t="shared" ref="AU73:AU79" si="257">IF(AB73="Rotterdam",0.114,"")</f>
        <v/>
      </c>
      <c r="AV73" s="227"/>
      <c r="AW73" s="225">
        <f t="shared" si="247"/>
        <v>0.20077089678621637</v>
      </c>
      <c r="AX73" s="225">
        <f t="shared" si="248"/>
        <v>1.0812673168339491</v>
      </c>
      <c r="AY73" s="225">
        <f t="shared" si="249"/>
        <v>0</v>
      </c>
      <c r="AZ73" s="225">
        <v>0</v>
      </c>
      <c r="BA73" s="498" t="e">
        <f t="shared" si="250"/>
        <v>#N/A</v>
      </c>
      <c r="BC73" s="220"/>
      <c r="BD73" s="229">
        <v>4</v>
      </c>
      <c r="BE73" s="230">
        <f t="shared" ref="BE73:BE79" si="258">IF(ISBLANK(G73),"",G73+$BD73+F73)</f>
        <v>45821</v>
      </c>
      <c r="BF73" s="230">
        <f t="shared" si="251"/>
        <v>45823</v>
      </c>
      <c r="BG73" s="230" t="s">
        <v>157</v>
      </c>
      <c r="BH73" s="489">
        <f t="shared" si="252"/>
        <v>45838</v>
      </c>
      <c r="BI73" s="489">
        <f t="shared" si="253"/>
        <v>45838</v>
      </c>
    </row>
    <row r="74" spans="2:74" ht="17.25" hidden="1" customHeight="1" x14ac:dyDescent="0.35">
      <c r="B74" s="163">
        <f t="shared" ref="B74:C80" si="259">B73</f>
        <v>45816</v>
      </c>
      <c r="C74" s="163">
        <f t="shared" si="259"/>
        <v>45818</v>
      </c>
      <c r="F74" s="153">
        <f>IF(AN74=0,0,VLOOKUP(AA74,Control!$G$41:$J$44,4,FALSE))</f>
        <v>0</v>
      </c>
      <c r="G74" s="518">
        <f t="shared" si="245"/>
        <v>45817</v>
      </c>
      <c r="H74"/>
      <c r="I74"/>
      <c r="J74"/>
      <c r="K74"/>
      <c r="L74"/>
      <c r="M74"/>
      <c r="N74"/>
      <c r="O74"/>
      <c r="P74"/>
      <c r="Q74"/>
      <c r="R74"/>
      <c r="S74"/>
      <c r="V74" s="191">
        <f>INDEX('[2]Flat Rates 2025'!$A:$DZ,MATCH(X74,'[2]Flat Rates 2025'!$A:$A,0),MATCH(AB74,'[2]Flat Rates 2025'!$A$1:$DZ$1,0))</f>
        <v>6.06</v>
      </c>
      <c r="W74" s="138">
        <v>0</v>
      </c>
      <c r="X74" s="138" t="s">
        <v>64</v>
      </c>
      <c r="Y74" s="116">
        <f>INDEX(Vessel_Minimum_MT,MATCH(AA74,Control!$E$11:$E$15,0),MATCH(X74,Control!$E$11:$O$11,0))</f>
        <v>80000</v>
      </c>
      <c r="Z74" s="140">
        <f>AD74/Control!$D$84</f>
        <v>89882.451372997719</v>
      </c>
      <c r="AA74" s="566" t="s">
        <v>23</v>
      </c>
      <c r="AB74" s="142" t="s">
        <v>39</v>
      </c>
      <c r="AC74" s="142" t="str">
        <f t="shared" si="246"/>
        <v>Nsea/Nsea</v>
      </c>
      <c r="AD74" s="141">
        <f t="shared" ref="AD74:AD78" si="260">AD73</f>
        <v>698333.33333333337</v>
      </c>
      <c r="AE74" s="567">
        <v>70</v>
      </c>
      <c r="AF74" s="568">
        <f t="shared" si="254"/>
        <v>105</v>
      </c>
      <c r="AG74" s="149">
        <f>IF(AE74&gt;1000,IF(AF74=0,AE74,AF74)/AD74,((Y74*V74*(IF(AF74=0,AE74,AF74)/100))+IF(Z74&lt;Y74,0,(Z74-Y74)*V74*IF(AF74=0,AE74,AF74)/100*W74))/AD74)</f>
        <v>0.72893556085918843</v>
      </c>
      <c r="AH74" s="144">
        <f t="shared" si="256"/>
        <v>0</v>
      </c>
      <c r="AI74" s="155">
        <f>IF(AND($BD$47=1,VLOOKUP(AB74,Control!$AS$37:$AV$68,4,FALSE)&lt;0),0,VLOOKUP(AB74,Control!$AS$37:$AV$68,4,FALSE))-$AI$70+2</f>
        <v>2</v>
      </c>
      <c r="AJ74" s="155"/>
      <c r="AK74" s="143">
        <f>AH74*VLOOKUP($AA74,Control!$F$75:$H$87,3,FALSE)/$AD74</f>
        <v>0</v>
      </c>
      <c r="AL74" s="144">
        <f>$AI74*Control!$D$77</f>
        <v>2.6072328767123291E-2</v>
      </c>
      <c r="AM74" s="144"/>
      <c r="AN74" s="143">
        <f>Control!$I$90/Report!AD74</f>
        <v>0.10739856801909307</v>
      </c>
      <c r="AO74" s="143">
        <f>IF(K74="Corpus Christi",Control!$D$76,0)</f>
        <v>0</v>
      </c>
      <c r="AP74" s="143">
        <v>0</v>
      </c>
      <c r="AQ74" s="143">
        <f>Control!$D$78</f>
        <v>0</v>
      </c>
      <c r="AR74" s="143">
        <f>Control!$D$79</f>
        <v>6.7299999999999999E-2</v>
      </c>
      <c r="AS74" s="143">
        <f>IF(INDEX(Control!$Q$3:$S$62,MATCH($AB74,Control!$Q$3:$Q$62,0),MATCH(AS$8,Control!$Q$3:$S$3,0))=1,Control!$D$81*Control!$E$81,0)</f>
        <v>0</v>
      </c>
      <c r="AT74" s="143">
        <f>IF(INDEX(Control!$Q$3:$S$62,MATCH($AB74,Control!$Q$3:$Q$62,0),MATCH(AT$8,Control!$Q$3:$S$3,0))=1,INDEX(Control!$AK$3:$AO$69,MATCH(Report!AB74,Control!$AK$3:$AK$29,0),MATCH(Report!AA74,Control!$AK$3:$AO$3,0))/AD74*1000,0)</f>
        <v>0</v>
      </c>
      <c r="AU74" s="143" t="str">
        <f t="shared" si="257"/>
        <v/>
      </c>
      <c r="AV74" s="143"/>
      <c r="AW74" s="149">
        <f t="shared" ref="AW74" si="261">SUM(AK74:AV74)</f>
        <v>0.20077089678621637</v>
      </c>
      <c r="AX74" s="149">
        <f t="shared" si="248"/>
        <v>0.92970645764540483</v>
      </c>
      <c r="AY74" s="149">
        <f t="shared" si="249"/>
        <v>0</v>
      </c>
      <c r="AZ74" s="149">
        <v>0</v>
      </c>
      <c r="BA74" s="501" t="e">
        <f t="shared" si="250"/>
        <v>#N/A</v>
      </c>
      <c r="BD74" s="153">
        <v>4</v>
      </c>
      <c r="BE74" s="163">
        <f t="shared" si="258"/>
        <v>45821</v>
      </c>
      <c r="BF74" s="163">
        <f t="shared" si="251"/>
        <v>45823</v>
      </c>
      <c r="BG74" s="163" t="s">
        <v>157</v>
      </c>
      <c r="BH74" s="490">
        <f t="shared" si="252"/>
        <v>45838</v>
      </c>
      <c r="BI74" s="490">
        <f t="shared" si="253"/>
        <v>45838</v>
      </c>
    </row>
    <row r="75" spans="2:74" ht="17.25" hidden="1" customHeight="1" x14ac:dyDescent="0.35">
      <c r="B75" s="230">
        <f t="shared" si="259"/>
        <v>45816</v>
      </c>
      <c r="C75" s="230">
        <f t="shared" si="259"/>
        <v>45818</v>
      </c>
      <c r="F75" s="229">
        <f>IF(AN75=0,0,VLOOKUP(AA75,Control!$G$41:$J$44,4,FALSE))</f>
        <v>0</v>
      </c>
      <c r="G75" s="519">
        <f t="shared" si="245"/>
        <v>45817</v>
      </c>
      <c r="H75"/>
      <c r="I75"/>
      <c r="J75"/>
      <c r="K75"/>
      <c r="L75"/>
      <c r="M75"/>
      <c r="N75"/>
      <c r="O75"/>
      <c r="P75"/>
      <c r="Q75"/>
      <c r="R75"/>
      <c r="S75"/>
      <c r="V75" s="220">
        <f>INDEX('[2]Flat Rates 2025'!$A:$DZ,MATCH(X75,'[2]Flat Rates 2025'!$A:$A,0),MATCH(AB75,'[2]Flat Rates 2025'!$A$1:$DZ$1,0))</f>
        <v>8.06</v>
      </c>
      <c r="W75" s="220">
        <v>0</v>
      </c>
      <c r="X75" s="220" t="s">
        <v>64</v>
      </c>
      <c r="Y75" s="213">
        <f>INDEX(Vessel_Minimum_MT,MATCH(AA75,Control!$E$11:$E$15,0),MATCH(X75,Control!$E$11:$O$11,0))</f>
        <v>80000</v>
      </c>
      <c r="Z75" s="222">
        <f>AD75/Control!$D$84</f>
        <v>89882.451372997719</v>
      </c>
      <c r="AA75" s="258" t="s">
        <v>23</v>
      </c>
      <c r="AB75" s="212" t="s">
        <v>82</v>
      </c>
      <c r="AC75" s="212" t="str">
        <f t="shared" si="246"/>
        <v>Nsea/Nsea</v>
      </c>
      <c r="AD75" s="214">
        <f t="shared" si="260"/>
        <v>698333.33333333337</v>
      </c>
      <c r="AE75" s="214">
        <v>70</v>
      </c>
      <c r="AF75" s="224">
        <f t="shared" si="254"/>
        <v>105</v>
      </c>
      <c r="AG75" s="225">
        <f t="shared" ref="AG75:AG80" si="262">IF(AE75&gt;1000,IF(AF75=0,AE75,AF75)/AD75,((Y75*V75*(IF(AF75=0,AE75,AF75)/100))+IF(Z75&lt;Y75,0,(Z75-Y75)*V75*IF(AF75=0,AE75,AF75)/100*W75))/AD75)</f>
        <v>0.96950835322195694</v>
      </c>
      <c r="AH75" s="226">
        <f t="shared" si="256"/>
        <v>0</v>
      </c>
      <c r="AI75" s="214">
        <f>IF(AND($BD$47=1,VLOOKUP(AB75,Control!$AS$37:$AV$68,4,FALSE)&lt;0),0,VLOOKUP(AB75,Control!$AS$37:$AV$68,4,FALSE))-$AI$70+2</f>
        <v>2</v>
      </c>
      <c r="AJ75" s="214"/>
      <c r="AK75" s="227">
        <f>AH75*VLOOKUP($AA75,Control!$F$75:$H$87,3,FALSE)/$AD75</f>
        <v>0</v>
      </c>
      <c r="AL75" s="226">
        <f>$AI75*Control!$D$77</f>
        <v>2.6072328767123291E-2</v>
      </c>
      <c r="AM75" s="226"/>
      <c r="AN75" s="227">
        <f>Control!$I$90/Report!AD75</f>
        <v>0.10739856801909307</v>
      </c>
      <c r="AO75" s="227">
        <f>IF(K75="Corpus Christi",Control!$D$76,0)</f>
        <v>0</v>
      </c>
      <c r="AP75" s="227">
        <v>0</v>
      </c>
      <c r="AQ75" s="227">
        <f>Control!$D$78</f>
        <v>0</v>
      </c>
      <c r="AR75" s="227">
        <f>Control!$D$79</f>
        <v>6.7299999999999999E-2</v>
      </c>
      <c r="AS75" s="227">
        <f>IF(INDEX(Control!$Q$3:$S$62,MATCH($AB75,Control!$Q$3:$Q$62,0),MATCH(AS$8,Control!$Q$3:$S$3,0))=1,Control!$D$81*Control!$E$81,0)</f>
        <v>0.2</v>
      </c>
      <c r="AT75" s="227">
        <f>IF(INDEX(Control!$Q$3:$S$62,MATCH($AB75,Control!$Q$3:$Q$62,0),MATCH(AT$8,Control!$Q$3:$S$3,0))=1,INDEX(Control!$AK$3:$AO$69,MATCH(Report!AB75,Control!$AK$3:$AK$29,0),MATCH(Report!AA75,Control!$AK$3:$AO$3,0))/AD75*1000,0)</f>
        <v>0</v>
      </c>
      <c r="AU75" s="227" t="str">
        <f t="shared" si="257"/>
        <v/>
      </c>
      <c r="AV75" s="227"/>
      <c r="AW75" s="225">
        <f t="shared" ref="AW75" si="263">SUM(AK75:AV75)</f>
        <v>0.40077089678621636</v>
      </c>
      <c r="AX75" s="225">
        <f t="shared" si="248"/>
        <v>1.3702792500081733</v>
      </c>
      <c r="AY75" s="225">
        <f t="shared" si="249"/>
        <v>0</v>
      </c>
      <c r="AZ75" s="225">
        <v>0</v>
      </c>
      <c r="BA75" s="498" t="e">
        <f t="shared" si="250"/>
        <v>#N/A</v>
      </c>
      <c r="BC75" s="220"/>
      <c r="BD75" s="229">
        <v>4</v>
      </c>
      <c r="BE75" s="230">
        <f t="shared" si="258"/>
        <v>45821</v>
      </c>
      <c r="BF75" s="230">
        <f t="shared" si="251"/>
        <v>45823</v>
      </c>
      <c r="BG75" s="230" t="s">
        <v>157</v>
      </c>
      <c r="BH75" s="489">
        <f t="shared" si="252"/>
        <v>45838</v>
      </c>
      <c r="BI75" s="489">
        <f t="shared" si="253"/>
        <v>45838</v>
      </c>
    </row>
    <row r="76" spans="2:74" ht="17.25" hidden="1" customHeight="1" x14ac:dyDescent="0.35">
      <c r="B76" s="163">
        <f t="shared" si="259"/>
        <v>45816</v>
      </c>
      <c r="C76" s="163">
        <f t="shared" si="259"/>
        <v>45818</v>
      </c>
      <c r="F76" s="153">
        <f>IF(AN76=0,0,VLOOKUP(AA76,Control!$G$41:$J$44,4,FALSE))</f>
        <v>0</v>
      </c>
      <c r="G76" s="518">
        <f t="shared" si="245"/>
        <v>45817</v>
      </c>
      <c r="H76"/>
      <c r="I76"/>
      <c r="J76"/>
      <c r="K76"/>
      <c r="L76"/>
      <c r="M76"/>
      <c r="N76"/>
      <c r="O76"/>
      <c r="P76"/>
      <c r="Q76"/>
      <c r="R76"/>
      <c r="S76"/>
      <c r="V76" s="191">
        <f>INDEX('[2]Flat Rates 2025'!$A:$DZ,MATCH(X76,'[2]Flat Rates 2025'!$A:$A,0),MATCH(AB76,'[2]Flat Rates 2025'!$A$1:$DZ$1,0))</f>
        <v>11.7</v>
      </c>
      <c r="W76" s="138">
        <v>0</v>
      </c>
      <c r="X76" s="138" t="s">
        <v>64</v>
      </c>
      <c r="Y76" s="116">
        <f>INDEX(Vessel_Minimum_MT,MATCH(AA76,Control!$E$11:$E$15,0),MATCH(X76,Control!$E$11:$O$11,0))</f>
        <v>80000</v>
      </c>
      <c r="Z76" s="140">
        <f>AD76/Control!$D$84</f>
        <v>89882.451372997719</v>
      </c>
      <c r="AA76" s="147" t="s">
        <v>23</v>
      </c>
      <c r="AB76" s="142" t="s">
        <v>78</v>
      </c>
      <c r="AC76" s="142" t="str">
        <f t="shared" si="246"/>
        <v>Nsea/Nsea</v>
      </c>
      <c r="AD76" s="141">
        <f t="shared" si="260"/>
        <v>698333.33333333337</v>
      </c>
      <c r="AE76" s="141">
        <v>70</v>
      </c>
      <c r="AF76" s="49">
        <f t="shared" si="254"/>
        <v>105</v>
      </c>
      <c r="AG76" s="149">
        <f t="shared" si="262"/>
        <v>1.4073508353221957</v>
      </c>
      <c r="AH76" s="28">
        <f t="shared" si="256"/>
        <v>0</v>
      </c>
      <c r="AI76" s="155">
        <f>IF(AND($BD$47=1,VLOOKUP(AB76,Control!$AS$37:$AV$68,4,FALSE)&lt;0),0,VLOOKUP(AB76,Control!$AS$37:$AV$68,4,FALSE))-$AI$70+2</f>
        <v>2</v>
      </c>
      <c r="AJ76" s="155"/>
      <c r="AK76" s="143">
        <f>AH76*VLOOKUP($AA76,Control!$F$75:$H$87,3,FALSE)/$AD76</f>
        <v>0</v>
      </c>
      <c r="AL76" s="144">
        <f>$AI76*Control!$D$77</f>
        <v>2.6072328767123291E-2</v>
      </c>
      <c r="AM76" s="144"/>
      <c r="AN76" s="143">
        <f>Control!$I$90/Report!AD76</f>
        <v>0.10739856801909307</v>
      </c>
      <c r="AO76" s="143">
        <f>IF(K76="Corpus Christi",Control!$D$76,0)</f>
        <v>0</v>
      </c>
      <c r="AP76" s="143">
        <v>0</v>
      </c>
      <c r="AQ76" s="143">
        <f>Control!$D$78</f>
        <v>0</v>
      </c>
      <c r="AR76" s="143">
        <f>Control!$D$79</f>
        <v>6.7299999999999999E-2</v>
      </c>
      <c r="AS76" s="143">
        <f>IF(INDEX(Control!$Q$3:$S$62,MATCH($AB76,Control!$Q$3:$Q$62,0),MATCH(AS$8,Control!$Q$3:$S$3,0))=1,Control!$D$81*Control!$E$81,0)</f>
        <v>0</v>
      </c>
      <c r="AT76" s="143">
        <f>IF(INDEX(Control!$Q$3:$S$62,MATCH($AB76,Control!$Q$3:$Q$62,0),MATCH(AT$8,Control!$Q$3:$S$3,0))=1,INDEX(Control!$AK$3:$AO$69,MATCH(Report!AB76,Control!$AK$3:$AK$29,0),MATCH(Report!AA76,Control!$AK$3:$AO$3,0))/AD76*1000,0)</f>
        <v>0</v>
      </c>
      <c r="AU76" s="143" t="str">
        <f t="shared" si="257"/>
        <v/>
      </c>
      <c r="AV76" s="143"/>
      <c r="AW76" s="149">
        <f t="shared" ref="AW76:AW77" si="264">SUM(AK76:AV76)</f>
        <v>0.20077089678621637</v>
      </c>
      <c r="AX76" s="149">
        <f t="shared" si="248"/>
        <v>1.608121732108412</v>
      </c>
      <c r="AY76" s="149">
        <f t="shared" si="249"/>
        <v>0</v>
      </c>
      <c r="AZ76" s="149">
        <v>0</v>
      </c>
      <c r="BA76" s="501" t="e">
        <f t="shared" si="250"/>
        <v>#N/A</v>
      </c>
      <c r="BD76" s="153">
        <v>4</v>
      </c>
      <c r="BE76" s="163">
        <f t="shared" si="258"/>
        <v>45821</v>
      </c>
      <c r="BF76" s="163">
        <f t="shared" si="251"/>
        <v>45823</v>
      </c>
      <c r="BG76" s="163" t="s">
        <v>157</v>
      </c>
      <c r="BH76" s="490">
        <f t="shared" si="252"/>
        <v>45838</v>
      </c>
      <c r="BI76" s="490">
        <f t="shared" si="253"/>
        <v>45838</v>
      </c>
    </row>
    <row r="77" spans="2:74" ht="17.25" hidden="1" customHeight="1" x14ac:dyDescent="0.35">
      <c r="B77" s="230">
        <f t="shared" si="259"/>
        <v>45816</v>
      </c>
      <c r="C77" s="230">
        <f t="shared" si="259"/>
        <v>45818</v>
      </c>
      <c r="F77" s="229">
        <f>IF(AN77=0,0,VLOOKUP(AA77,Control!$G$41:$J$44,4,FALSE))</f>
        <v>0</v>
      </c>
      <c r="G77" s="519">
        <f t="shared" si="245"/>
        <v>45817</v>
      </c>
      <c r="H77"/>
      <c r="I77"/>
      <c r="J77"/>
      <c r="K77"/>
      <c r="L77"/>
      <c r="M77"/>
      <c r="N77"/>
      <c r="O77"/>
      <c r="P77"/>
      <c r="Q77"/>
      <c r="R77"/>
      <c r="S77"/>
      <c r="V77" s="220">
        <f>INDEX('[2]Flat Rates 2025'!$A:$DZ,MATCH(X77,'[2]Flat Rates 2025'!$A:$A,0),MATCH(AB77,'[2]Flat Rates 2025'!$A$1:$DZ$1,0))</f>
        <v>11.82</v>
      </c>
      <c r="W77" s="220">
        <v>0</v>
      </c>
      <c r="X77" s="220" t="s">
        <v>64</v>
      </c>
      <c r="Y77" s="213">
        <f>INDEX(Vessel_Minimum_MT,MATCH(AA77,Control!$E$11:$E$15,0),MATCH(X77,Control!$E$11:$O$11,0))</f>
        <v>80000</v>
      </c>
      <c r="Z77" s="222">
        <f>AD77/Control!$D$84</f>
        <v>89882.451372997719</v>
      </c>
      <c r="AA77" s="215" t="s">
        <v>23</v>
      </c>
      <c r="AB77" s="212" t="s">
        <v>29</v>
      </c>
      <c r="AC77" s="212" t="str">
        <f t="shared" si="246"/>
        <v>Nsea/Med</v>
      </c>
      <c r="AD77" s="214">
        <f t="shared" si="260"/>
        <v>698333.33333333337</v>
      </c>
      <c r="AE77" s="214"/>
      <c r="AF77" s="224">
        <f t="shared" si="254"/>
        <v>105</v>
      </c>
      <c r="AG77" s="225">
        <f t="shared" si="262"/>
        <v>1.4217852028639617</v>
      </c>
      <c r="AH77" s="306">
        <f t="shared" si="256"/>
        <v>0</v>
      </c>
      <c r="AI77" s="214">
        <f>IF(AND($BD$47=1,VLOOKUP(AB77,Control!$AS$37:$AV$68,4,FALSE)&lt;0),0,VLOOKUP(AB77,Control!$AS$37:$AV$68,4,FALSE))-$AI$70+2</f>
        <v>2</v>
      </c>
      <c r="AJ77" s="214"/>
      <c r="AK77" s="227">
        <f>AH77*VLOOKUP($AA77,Control!$F$75:$H$87,3,FALSE)/$AD77</f>
        <v>0</v>
      </c>
      <c r="AL77" s="226">
        <f>$AI77*Control!$D$77</f>
        <v>2.6072328767123291E-2</v>
      </c>
      <c r="AM77" s="226"/>
      <c r="AN77" s="227">
        <f>Control!$I$90/Report!AD77</f>
        <v>0.10739856801909307</v>
      </c>
      <c r="AO77" s="227">
        <f>IF(K77="Corpus Christi",Control!$D$76,0)</f>
        <v>0</v>
      </c>
      <c r="AP77" s="227">
        <v>0</v>
      </c>
      <c r="AQ77" s="227">
        <f>Control!$D$78</f>
        <v>0</v>
      </c>
      <c r="AR77" s="227">
        <f>Control!$D$79</f>
        <v>6.7299999999999999E-2</v>
      </c>
      <c r="AS77" s="227">
        <f>IF(INDEX(Control!$Q$3:$S$62,MATCH($AB77,Control!$Q$3:$Q$62,0),MATCH(AS$8,Control!$Q$3:$S$3,0))=1,Control!$D$81*Control!$E$81,0)</f>
        <v>0</v>
      </c>
      <c r="AT77" s="227">
        <f>IF(INDEX(Control!$Q$3:$S$62,MATCH($AB77,Control!$Q$3:$Q$62,0),MATCH(AT$8,Control!$Q$3:$S$3,0))=1,INDEX(Control!$AK$3:$AO$69,MATCH(Report!AB77,Control!$AK$3:$AK$29,0),MATCH(Report!AA77,Control!$AK$3:$AO$3,0))/AD77*1000,0)</f>
        <v>0</v>
      </c>
      <c r="AU77" s="227" t="str">
        <f t="shared" si="257"/>
        <v/>
      </c>
      <c r="AV77" s="227"/>
      <c r="AW77" s="225">
        <f t="shared" si="264"/>
        <v>0.20077089678621637</v>
      </c>
      <c r="AX77" s="225">
        <f t="shared" si="248"/>
        <v>1.622556099650178</v>
      </c>
      <c r="AY77" s="225">
        <f t="shared" si="249"/>
        <v>0</v>
      </c>
      <c r="AZ77" s="225">
        <v>0</v>
      </c>
      <c r="BA77" s="498" t="e">
        <f t="shared" si="250"/>
        <v>#N/A</v>
      </c>
      <c r="BC77" s="220"/>
      <c r="BD77" s="229">
        <v>4</v>
      </c>
      <c r="BE77" s="230">
        <f t="shared" si="258"/>
        <v>45821</v>
      </c>
      <c r="BF77" s="230">
        <f t="shared" si="251"/>
        <v>45823</v>
      </c>
      <c r="BG77" s="230" t="s">
        <v>157</v>
      </c>
      <c r="BH77" s="489">
        <f t="shared" si="252"/>
        <v>45838</v>
      </c>
      <c r="BI77" s="489">
        <f t="shared" si="253"/>
        <v>45838</v>
      </c>
    </row>
    <row r="78" spans="2:74" s="2" customFormat="1" ht="17.25" hidden="1" customHeight="1" x14ac:dyDescent="0.35">
      <c r="B78" s="163">
        <f t="shared" si="259"/>
        <v>45816</v>
      </c>
      <c r="C78" s="163">
        <f t="shared" si="259"/>
        <v>45818</v>
      </c>
      <c r="D78"/>
      <c r="E78"/>
      <c r="F78" s="153">
        <f>IF(AN78=0,0,VLOOKUP(AA78,Control!$G$41:$J$44,4,FALSE))</f>
        <v>0</v>
      </c>
      <c r="G78" s="518">
        <f t="shared" si="245"/>
        <v>45817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 s="191">
        <f>INDEX('[2]Flat Rates 2025'!$A:$DZ,MATCH(X78,'[2]Flat Rates 2025'!$A:$A,0),MATCH(AB78,'[2]Flat Rates 2025'!$A$1:$DZ$1,0))</f>
        <v>7.32</v>
      </c>
      <c r="W78" s="138">
        <v>0</v>
      </c>
      <c r="X78" s="138" t="s">
        <v>64</v>
      </c>
      <c r="Y78" s="116">
        <f>INDEX(Vessel_Minimum_MT,MATCH(AA78,Control!$E$11:$E$15,0),MATCH(X78,Control!$E$11:$O$11,0))</f>
        <v>80000</v>
      </c>
      <c r="Z78" s="140">
        <f>AD78/Control!$D$84</f>
        <v>89882.451372997719</v>
      </c>
      <c r="AA78" s="147" t="s">
        <v>23</v>
      </c>
      <c r="AB78" s="142" t="s">
        <v>47</v>
      </c>
      <c r="AC78" s="142" t="e">
        <f>#REF!</f>
        <v>#REF!</v>
      </c>
      <c r="AD78" s="141">
        <f t="shared" si="260"/>
        <v>698333.33333333337</v>
      </c>
      <c r="AE78" s="141">
        <v>70</v>
      </c>
      <c r="AF78" s="49">
        <f t="shared" si="254"/>
        <v>105</v>
      </c>
      <c r="AG78" s="149">
        <f t="shared" si="262"/>
        <v>0.88049642004773265</v>
      </c>
      <c r="AH78" s="28">
        <f t="shared" si="256"/>
        <v>0</v>
      </c>
      <c r="AI78" s="155">
        <f>IF(AND($BD$47=1,VLOOKUP(AB78,Control!$AS$37:$AV$68,4,FALSE)&lt;0),0,VLOOKUP(AB78,Control!$AS$37:$AV$68,4,FALSE))-$AI$70+2</f>
        <v>2</v>
      </c>
      <c r="AJ78" s="155"/>
      <c r="AK78" s="143">
        <f>AH78*VLOOKUP($AA78,Control!$F$75:$H$87,3,FALSE)/$AD78</f>
        <v>0</v>
      </c>
      <c r="AL78" s="144">
        <f>$AI78*Control!$D$77</f>
        <v>2.6072328767123291E-2</v>
      </c>
      <c r="AM78" s="144"/>
      <c r="AN78" s="143">
        <f>Control!$I$90/Report!AD78</f>
        <v>0.10739856801909307</v>
      </c>
      <c r="AO78" s="143">
        <f>IF(K78="Corpus Christi",Control!$D$76,0)</f>
        <v>0</v>
      </c>
      <c r="AP78" s="143">
        <v>0</v>
      </c>
      <c r="AQ78" s="143">
        <f>Control!$D$78</f>
        <v>0</v>
      </c>
      <c r="AR78" s="143">
        <f>Control!$D$79</f>
        <v>6.7299999999999999E-2</v>
      </c>
      <c r="AS78" s="143">
        <f>IF(INDEX(Control!$Q$3:$S$62,MATCH($AB78,Control!$Q$3:$Q$62,0),MATCH(AS$8,Control!$Q$3:$S$3,0))=1,Control!$D$81*Control!$E$81,0)</f>
        <v>0</v>
      </c>
      <c r="AT78" s="143">
        <v>0</v>
      </c>
      <c r="AU78" s="143" t="str">
        <f t="shared" si="257"/>
        <v/>
      </c>
      <c r="AV78" s="143"/>
      <c r="AW78" s="149">
        <f t="shared" ref="AW78:AW79" si="265">SUM(AK78:AV78)</f>
        <v>0.20077089678621637</v>
      </c>
      <c r="AX78" s="149">
        <f t="shared" si="248"/>
        <v>1.0812673168339491</v>
      </c>
      <c r="AY78" s="149">
        <f t="shared" si="249"/>
        <v>0</v>
      </c>
      <c r="AZ78" s="149">
        <v>0</v>
      </c>
      <c r="BA78" s="590" t="e">
        <f t="shared" si="250"/>
        <v>#N/A</v>
      </c>
      <c r="BD78" s="153">
        <v>4</v>
      </c>
      <c r="BE78" s="163">
        <f t="shared" si="258"/>
        <v>45821</v>
      </c>
      <c r="BF78" s="163">
        <f t="shared" si="251"/>
        <v>45823</v>
      </c>
      <c r="BG78" s="163" t="s">
        <v>157</v>
      </c>
      <c r="BH78" s="490">
        <f t="shared" si="252"/>
        <v>45838</v>
      </c>
      <c r="BI78" s="490">
        <f t="shared" si="253"/>
        <v>45838</v>
      </c>
      <c r="BP78" s="735"/>
    </row>
    <row r="79" spans="2:74" s="2" customFormat="1" ht="17.25" hidden="1" customHeight="1" x14ac:dyDescent="0.35">
      <c r="B79" s="230">
        <f t="shared" si="259"/>
        <v>45816</v>
      </c>
      <c r="C79" s="230">
        <f t="shared" si="259"/>
        <v>45818</v>
      </c>
      <c r="D79"/>
      <c r="E79"/>
      <c r="F79" s="229">
        <f>IF(AN79=0,0,VLOOKUP(AA79,Control!$G$41:$J$44,4,FALSE))</f>
        <v>0</v>
      </c>
      <c r="G79" s="519">
        <f t="shared" si="245"/>
        <v>45817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 s="220">
        <f>INDEX('[2]Flat Rates 2025'!$A:$DZ,MATCH(X79,'[2]Flat Rates 2025'!$A:$A,0),MATCH(AB79,'[2]Flat Rates 2025'!$A$1:$DZ$1,0))</f>
        <v>6.9</v>
      </c>
      <c r="W79" s="220">
        <v>0</v>
      </c>
      <c r="X79" s="220" t="s">
        <v>64</v>
      </c>
      <c r="Y79" s="213">
        <f>INDEX(Vessel_Minimum_MT,MATCH(AA79,Control!$E$11:$E$15,0),MATCH(X79,Control!$E$11:$O$11,0))</f>
        <v>80000</v>
      </c>
      <c r="Z79" s="222">
        <f>AD79/Control!$D$84</f>
        <v>89882.451372997719</v>
      </c>
      <c r="AA79" s="215" t="s">
        <v>23</v>
      </c>
      <c r="AB79" s="212" t="s">
        <v>96</v>
      </c>
      <c r="AC79" s="212" t="str">
        <f t="shared" ref="AC79:AC80" si="266">IF(AB79=X79,"",CONCATENATE(CONCATENATE(VLOOKUP(X79,Zones,2,FALSE),"/",VLOOKUP(AB79,Zones,2,FALSE))))</f>
        <v>Nsea/Nsea</v>
      </c>
      <c r="AD79" s="214">
        <f>AD72</f>
        <v>698333.33333333337</v>
      </c>
      <c r="AE79" s="214"/>
      <c r="AF79" s="264">
        <f t="shared" si="254"/>
        <v>105</v>
      </c>
      <c r="AG79" s="225">
        <f t="shared" si="262"/>
        <v>0.82997613365155132</v>
      </c>
      <c r="AH79" s="306">
        <v>0</v>
      </c>
      <c r="AI79" s="214">
        <f>IF(AND($BD$47=1,VLOOKUP(AB79,Control!$AS$37:$AV$68,4,FALSE)&lt;0),0,VLOOKUP(AB79,Control!$AS$37:$AV$68,4,FALSE))-$AI$70+2</f>
        <v>2</v>
      </c>
      <c r="AJ79" s="214"/>
      <c r="AK79" s="227">
        <f>AH79*VLOOKUP($AA79,Control!$F$75:$H$87,3,FALSE)/$AD79</f>
        <v>0</v>
      </c>
      <c r="AL79" s="226">
        <f>$AI79*Control!$D$77</f>
        <v>2.6072328767123291E-2</v>
      </c>
      <c r="AM79" s="226"/>
      <c r="AN79" s="227">
        <f>Control!$I$90/Report!AD79</f>
        <v>0.10739856801909307</v>
      </c>
      <c r="AO79" s="227">
        <f>IF(K79="Corpus Christi",Control!$D$76,0)</f>
        <v>0</v>
      </c>
      <c r="AP79" s="227">
        <v>0</v>
      </c>
      <c r="AQ79" s="227">
        <f>Control!$D$78</f>
        <v>0</v>
      </c>
      <c r="AR79" s="227">
        <f>Control!$D$79</f>
        <v>6.7299999999999999E-2</v>
      </c>
      <c r="AS79" s="227">
        <f>IF(INDEX(Control!$Q$3:$S$62,MATCH($AB79,Control!$Q$3:$Q$62,0),MATCH(AS$8,Control!$Q$3:$S$3,0))=1,Control!$D$81*Control!$E$81,0)</f>
        <v>0</v>
      </c>
      <c r="AT79" s="227">
        <v>0</v>
      </c>
      <c r="AU79" s="227" t="str">
        <f t="shared" si="257"/>
        <v/>
      </c>
      <c r="AV79" s="227"/>
      <c r="AW79" s="225">
        <f t="shared" si="265"/>
        <v>0.20077089678621637</v>
      </c>
      <c r="AX79" s="225">
        <f t="shared" si="248"/>
        <v>1.0307470304377677</v>
      </c>
      <c r="AY79" s="225">
        <f t="shared" si="249"/>
        <v>0</v>
      </c>
      <c r="AZ79" s="225">
        <v>0</v>
      </c>
      <c r="BA79" s="497" t="e">
        <f t="shared" si="250"/>
        <v>#N/A</v>
      </c>
      <c r="BC79" s="220"/>
      <c r="BD79" s="229">
        <v>4</v>
      </c>
      <c r="BE79" s="230">
        <f t="shared" si="258"/>
        <v>45821</v>
      </c>
      <c r="BF79" s="230">
        <f t="shared" si="251"/>
        <v>45823</v>
      </c>
      <c r="BG79" s="230" t="s">
        <v>157</v>
      </c>
      <c r="BH79" s="489">
        <f t="shared" si="252"/>
        <v>45838</v>
      </c>
      <c r="BI79" s="489">
        <f t="shared" si="253"/>
        <v>45838</v>
      </c>
      <c r="BP79" s="735"/>
    </row>
    <row r="80" spans="2:74" s="2" customFormat="1" ht="17.25" hidden="1" customHeight="1" x14ac:dyDescent="0.35">
      <c r="B80" s="163">
        <f t="shared" si="259"/>
        <v>45816</v>
      </c>
      <c r="C80" s="163">
        <f t="shared" si="259"/>
        <v>45818</v>
      </c>
      <c r="D80"/>
      <c r="E80"/>
      <c r="F80" s="153">
        <f>IF(AN80=0,0,VLOOKUP(AA80,Control!$G$41:$J$44,4,FALSE))</f>
        <v>3</v>
      </c>
      <c r="G80" s="518">
        <f t="shared" si="245"/>
        <v>45820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 s="191">
        <f>INDEX('[2]Flat Rates 2025'!$A:$DZ,MATCH(X80,'[2]Flat Rates 2025'!$A:$A,0),MATCH(AB80,'[2]Flat Rates 2025'!$A$1:$DZ$1,0))</f>
        <v>6.9</v>
      </c>
      <c r="W80" s="138">
        <v>0</v>
      </c>
      <c r="X80" s="138" t="s">
        <v>64</v>
      </c>
      <c r="Y80" s="641">
        <f>INDEX(Vessel_Minimum_MT,MATCH(AA80,Control!$E$11:$E$15,0),MATCH(X80,Control!$E$11:$O$11,0))</f>
        <v>145000</v>
      </c>
      <c r="Z80" s="140">
        <f>AD80/Control!$D$84</f>
        <v>109403.46109839817</v>
      </c>
      <c r="AA80" s="147" t="s">
        <v>24</v>
      </c>
      <c r="AB80" s="142" t="s">
        <v>96</v>
      </c>
      <c r="AC80" s="142" t="str">
        <f t="shared" si="266"/>
        <v>Nsea/Nsea</v>
      </c>
      <c r="AD80" s="141">
        <v>850000</v>
      </c>
      <c r="AE80" s="141">
        <v>70</v>
      </c>
      <c r="AF80" s="49">
        <f t="shared" si="254"/>
        <v>105</v>
      </c>
      <c r="AG80" s="149">
        <f t="shared" si="262"/>
        <v>1.2359117647058824</v>
      </c>
      <c r="AH80" s="28">
        <f t="shared" si="256"/>
        <v>0</v>
      </c>
      <c r="AI80" s="155">
        <f>IF(AND($BD$47=1,VLOOKUP(AB80,Control!$AS$37:$AV$68,4,FALSE)&lt;0),0,VLOOKUP(AB80,Control!$AS$37:$AV$68,4,FALSE))-$AI$70+2</f>
        <v>2</v>
      </c>
      <c r="AJ80" s="155"/>
      <c r="AK80" s="143">
        <f>AH80*VLOOKUP($AA80,Control!$F$75:$H$87,3,FALSE)/$AD80</f>
        <v>0</v>
      </c>
      <c r="AL80" s="144">
        <f>$AI80*Control!$D$77</f>
        <v>2.6072328767123291E-2</v>
      </c>
      <c r="AM80" s="144"/>
      <c r="AN80" s="143">
        <f>Control!$I$90/Report!AD80</f>
        <v>8.8235294117647065E-2</v>
      </c>
      <c r="AO80" s="143">
        <f>IF(K80="Corpus Christi",Control!$D$76,0)</f>
        <v>0</v>
      </c>
      <c r="AP80" s="143">
        <f>IF(AND(Control!$D$85-ROUNDUP(((AD80-VLOOKUP(AA80,Control!$J$76:$K$82,2,FALSE))),0)&gt;0,Control!$D$85-ROUNDUP(((AD80-VLOOKUP(AA80,Control!$J$76:$K$82,2,FALSE))),0)&lt;Control!$D$86-ROUNDUP(((AD80-VLOOKUP(AA80,Control!$J$76:$K$82,2,FALSE))),0)),Control!$D$85,Control!$D$86)</f>
        <v>750000</v>
      </c>
      <c r="AQ80" s="143">
        <f>Control!$D$78</f>
        <v>0</v>
      </c>
      <c r="AR80" s="143">
        <f>Control!$D$79</f>
        <v>6.7299999999999999E-2</v>
      </c>
      <c r="AS80" s="143">
        <f>IF(INDEX(Control!$Q$3:$S$62,MATCH($AB80,Control!$Q$3:$Q$62,0),MATCH(AS$8,Control!$Q$3:$S$3,0))=1,Control!$D$81*Control!$E$81,0)</f>
        <v>0</v>
      </c>
      <c r="AT80" s="143">
        <f>AT73</f>
        <v>0</v>
      </c>
      <c r="AU80" s="143">
        <f>116490/AD80</f>
        <v>0.13704705882352941</v>
      </c>
      <c r="AV80" s="143"/>
      <c r="AW80" s="149">
        <f t="shared" ref="AW80" si="267">SUM(AK80:AO80,AQ80:AV80)</f>
        <v>0.31865468170829975</v>
      </c>
      <c r="AX80" s="149">
        <f t="shared" si="248"/>
        <v>1.5545664464141822</v>
      </c>
      <c r="AY80" s="149">
        <f t="shared" si="249"/>
        <v>0</v>
      </c>
      <c r="AZ80" s="149">
        <v>0</v>
      </c>
      <c r="BA80" s="501" t="e">
        <f t="shared" si="250"/>
        <v>#N/A</v>
      </c>
      <c r="BD80" s="153">
        <v>4</v>
      </c>
      <c r="BE80" s="163">
        <f t="shared" ref="BE80" si="268">IF(ISBLANK(B80),"",B80+$BD80+F80)</f>
        <v>45823</v>
      </c>
      <c r="BF80" s="163">
        <f t="shared" si="251"/>
        <v>45825</v>
      </c>
      <c r="BG80" s="163" t="s">
        <v>157</v>
      </c>
      <c r="BH80" s="490">
        <f t="shared" si="252"/>
        <v>45838</v>
      </c>
      <c r="BI80" s="490">
        <f t="shared" si="253"/>
        <v>45838</v>
      </c>
      <c r="BP80" s="735"/>
    </row>
    <row r="81" spans="1:74" s="2" customFormat="1" ht="17.25" hidden="1" customHeight="1" thickBot="1" x14ac:dyDescent="0.4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P81" s="735"/>
    </row>
    <row r="82" spans="1:74" s="2" customFormat="1" ht="17.25" hidden="1" customHeight="1" thickBot="1" x14ac:dyDescent="0.4">
      <c r="B82" s="309">
        <v>45792</v>
      </c>
      <c r="C82" s="310">
        <f>B82+2</f>
        <v>45794</v>
      </c>
      <c r="D82"/>
      <c r="E82"/>
      <c r="F82" s="229">
        <v>6</v>
      </c>
      <c r="G82" s="519">
        <f t="shared" ref="G82" si="269">AVERAGE(B82:C82)+F82</f>
        <v>45799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 s="220">
        <v>0</v>
      </c>
      <c r="W82" s="220">
        <f>INDEX(Control!$E$17:$J$21,MATCH(AA82,Control!$E$17:$E$21,0),MATCH(X82,Control!$E$17:$J$17,0))</f>
        <v>0.5</v>
      </c>
      <c r="X82" s="220" t="s">
        <v>45</v>
      </c>
      <c r="Y82" s="213">
        <f>INDEX(Vessel_Minimum_MT,MATCH(AA82,Control!$E$11:$E$15,0),MATCH(X82,Control!$E$11:$J$11,0))</f>
        <v>270000</v>
      </c>
      <c r="Z82" s="222">
        <f>AD82/Control!$D$84</f>
        <v>269647.3541189931</v>
      </c>
      <c r="AA82" s="215" t="s">
        <v>25</v>
      </c>
      <c r="AB82" s="212" t="s">
        <v>42</v>
      </c>
      <c r="AC82" s="212" t="str">
        <f t="shared" ref="AC82" si="270">IF(AB82=X82,"",CONCATENATE(CONCATENATE(VLOOKUP(X82,Zones,2,FALSE),"/",VLOOKUP(AB82,Zones,2,FALSE))))</f>
        <v>USGC/Nsea</v>
      </c>
      <c r="AD82" s="214">
        <v>2095000</v>
      </c>
      <c r="AE82" s="214"/>
      <c r="AF82" s="377">
        <v>7700000</v>
      </c>
      <c r="AG82" s="225">
        <f>AF82/AD82</f>
        <v>3.675417661097852</v>
      </c>
      <c r="AH82" s="306">
        <v>9</v>
      </c>
      <c r="AI82" s="214">
        <f>BE82+10-(B82+30)-(F82/3)</f>
        <v>31</v>
      </c>
      <c r="AJ82" s="214"/>
      <c r="AK82" s="227">
        <f>AH82*VLOOKUP($AA82,Control!$F$75:$H$87,3,FALSE)/$AD82</f>
        <v>1.9331742243436754</v>
      </c>
      <c r="AL82" s="226">
        <f>$AI82*Control!$D$77</f>
        <v>0.40412109589041101</v>
      </c>
      <c r="AM82" s="226"/>
      <c r="AN82" s="227">
        <v>0</v>
      </c>
      <c r="AO82" s="227">
        <f>IF(K82="Corpus Christi",Control!$D$76,0)</f>
        <v>0</v>
      </c>
      <c r="AP82" s="227">
        <v>0</v>
      </c>
      <c r="AQ82" s="227">
        <f>Control!$D$78</f>
        <v>0</v>
      </c>
      <c r="AR82" s="227">
        <f>Control!$D$79</f>
        <v>6.7299999999999999E-2</v>
      </c>
      <c r="AS82" s="227">
        <f>IF(INDEX(Control!$Q$3:$S$62,MATCH($AB82,Control!$Q$3:$Q$62,0),MATCH(AS$8,Control!$Q$3:$S$3,0))=1,Control!$D$81*Control!$E$81,0)</f>
        <v>0</v>
      </c>
      <c r="AT82" s="227">
        <f>IF(INDEX(Control!$Q$3:$S$62,MATCH($AB82,Control!$Q$3:$Q$62,0),MATCH(AT$8,Control!$Q$3:$S$3,0))=1,INDEX(Control!$AK$3:$AO$69,MATCH(Report!AB82,Control!$AK$3:$AK$29,0),MATCH(Report!AA82,Control!$AK$3:$AO$3,0))/AD82*1000,0)</f>
        <v>0</v>
      </c>
      <c r="AU82" s="227"/>
      <c r="AV82" s="227"/>
      <c r="AW82" s="225">
        <f>SUM(AK82:AV82)+0.5</f>
        <v>2.9045953202340864</v>
      </c>
      <c r="AX82" s="225">
        <f t="shared" ref="AX82" si="271">+T82+AG82+AW82</f>
        <v>6.5800129813319383</v>
      </c>
      <c r="AY82" s="225">
        <f>IF((MONTH(B82)=MONTH(BI82)),0,IF(((MONTH(BI82))-MONTH(B82))+12*YEAR(BH82)-YEAR(B82)&gt;1,SUMIFS($BE$4:$BI$4,$BE$3:$BI$3,"&lt;="&amp;EOMONTH(BH82,-1),$BE$3:$BI$3,"&gt;="&amp;EOMONTH(B82,0)),VLOOKUP("Spreads",$BD$3:$BI$4,MATCH(EOMONTH(B82,0),$BD$3:$BI$3,0))))</f>
        <v>0</v>
      </c>
      <c r="AZ82" s="479"/>
      <c r="BA82" s="498">
        <f>$B$83+AX82+AY82+AZ82</f>
        <v>7.5800129813319383</v>
      </c>
      <c r="BC82" s="220"/>
      <c r="BD82" s="229">
        <v>47</v>
      </c>
      <c r="BE82" s="230">
        <f t="shared" ref="BE82" si="272">IF(ISBLANK(B82),"",B82+$BD82+F82)</f>
        <v>45845</v>
      </c>
      <c r="BF82" s="230">
        <f t="shared" ref="BF82" si="273">BE82+2</f>
        <v>45847</v>
      </c>
      <c r="BG82" s="380" t="s">
        <v>157</v>
      </c>
      <c r="BH82" s="592">
        <f t="shared" ref="BH82" si="274">IF($BD$7=0,IF(BG82="ICE Brent",EOMONTH(BF82,2),EOMONTH(BF82,0)),IF(BG82="ICE Brent",EOMONTH(BF82,1),EOMONTH(BF82,-1)))</f>
        <v>45838</v>
      </c>
      <c r="BI82" s="489">
        <f t="shared" ref="BI82" si="275">IF($BD$7=1,EOMONTH(BF82,-1),EOMONTH(BF82,0))</f>
        <v>45838</v>
      </c>
      <c r="BP82" s="735"/>
    </row>
    <row r="83" spans="1:74" s="2" customFormat="1" ht="16" hidden="1" thickBot="1" x14ac:dyDescent="0.4">
      <c r="B83" s="570">
        <v>1</v>
      </c>
      <c r="C83"/>
      <c r="D83"/>
      <c r="E83"/>
      <c r="F83"/>
      <c r="G83"/>
      <c r="H83" s="132"/>
      <c r="M83" s="124"/>
      <c r="P83" s="362"/>
      <c r="Q83"/>
      <c r="R83"/>
      <c r="S83"/>
      <c r="T83"/>
      <c r="U83"/>
      <c r="V83"/>
      <c r="W83"/>
      <c r="X83"/>
      <c r="Y83"/>
      <c r="Z83"/>
      <c r="AA83"/>
      <c r="AB83"/>
      <c r="AC83"/>
      <c r="AD83" s="485"/>
      <c r="AE83" s="77"/>
      <c r="AF83"/>
      <c r="AG83" s="485"/>
      <c r="AH83"/>
      <c r="AI83" s="485"/>
      <c r="AJ83" s="485"/>
      <c r="AK83" s="308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 s="194"/>
      <c r="BA83" s="503"/>
      <c r="BB83"/>
      <c r="BC83"/>
      <c r="BD83"/>
      <c r="BE83"/>
      <c r="BF83"/>
      <c r="BG83"/>
      <c r="BH83"/>
      <c r="BI83"/>
      <c r="BP83" s="735"/>
    </row>
    <row r="84" spans="1:74" ht="18" customHeight="1" x14ac:dyDescent="0.35">
      <c r="A84">
        <f>A61</f>
        <v>3</v>
      </c>
      <c r="B84" s="671">
        <f t="shared" ref="B84" si="276">B61</f>
        <v>46191</v>
      </c>
      <c r="C84" s="551">
        <f t="shared" ref="C84:C89" si="277">IF(ISBLANK(B84),"",B84+2)</f>
        <v>46193</v>
      </c>
      <c r="D84" s="552"/>
      <c r="E84" s="986" t="e">
        <f>VLOOKUP(EOMONTH(B84,0),[3]FWD!$E$4:$J$11,6,FALSE)+A84</f>
        <v>#N/A</v>
      </c>
      <c r="F84" s="553">
        <v>9</v>
      </c>
      <c r="G84" s="554">
        <f t="shared" ref="G84:G89" si="278">AVERAGE(B84:C84)+F84</f>
        <v>46201</v>
      </c>
      <c r="H84"/>
      <c r="I84"/>
      <c r="J84"/>
      <c r="K84"/>
      <c r="L84"/>
      <c r="M84"/>
      <c r="N84"/>
      <c r="O84"/>
      <c r="P84"/>
      <c r="Q84"/>
      <c r="R84"/>
      <c r="S84"/>
      <c r="V84" s="556">
        <v>0</v>
      </c>
      <c r="W84" s="556">
        <f>INDEX(Control!$E$17:$J$21,MATCH(AA84,Control!$E$17:$E$21,0),MATCH(X84,Control!$E$17:$J$17,0))</f>
        <v>0.5</v>
      </c>
      <c r="X84" s="556" t="s">
        <v>38</v>
      </c>
      <c r="Y84" s="557">
        <v>270000</v>
      </c>
      <c r="Z84" s="558">
        <f>AD84/Control!$D$84</f>
        <v>265786.05549199082</v>
      </c>
      <c r="AA84" s="559" t="s">
        <v>25</v>
      </c>
      <c r="AB84" s="572" t="s">
        <v>106</v>
      </c>
      <c r="AC84" s="556">
        <f t="shared" ref="AC84:AC89" si="279">AC103</f>
        <v>0</v>
      </c>
      <c r="AD84" s="304">
        <v>2065000</v>
      </c>
      <c r="AE84" s="557">
        <v>1001</v>
      </c>
      <c r="AF84" s="734">
        <f>AF28</f>
        <v>55000000</v>
      </c>
      <c r="AG84" s="561">
        <f t="shared" ref="AG84:AG89" si="280">IF(AE84&gt;1000,IF(AF84=0,AE84,AF84)/AD84,((Y84*V84*(IF(AF84=0,AE84,AF84)/100))+IF(Z84&lt;Y84,0,(Z84-Y84)*V84*IF(AF84=0,AE84,AF84)/100*W84))/AD84)</f>
        <v>26.634382566585955</v>
      </c>
      <c r="AH84" s="763">
        <v>5</v>
      </c>
      <c r="AI84" s="795">
        <f t="shared" ref="AI84:AI89" si="281">AI103</f>
        <v>0</v>
      </c>
      <c r="AJ84" s="796">
        <f>INDEX(Control!$AS$36:$AY$118,MATCH(Report!$AB84,Control!$AS$36:$AS$118,0),MATCH(Report!AJ$23,Control!$AS$36:$AY$36,0))</f>
        <v>38.5</v>
      </c>
      <c r="AK84" s="811">
        <f>AH84*VLOOKUP($AA84,Control!$F$75:$H$87,3,FALSE)/$AD84</f>
        <v>1.089588377723971</v>
      </c>
      <c r="AL84" s="787">
        <f>IF($AM$3=1,$AI84*Control!$D$77,0)</f>
        <v>0</v>
      </c>
      <c r="AM84" s="788">
        <f>IF($AM$4=1,$AJ84*Control!$D$77,0)</f>
        <v>0.50189232876712331</v>
      </c>
      <c r="AN84" s="562">
        <f>AN28</f>
        <v>2.6746987951807228</v>
      </c>
      <c r="AO84" s="557">
        <f>IF(K84="Corpus Christi",Control!$D$76,0)</f>
        <v>0</v>
      </c>
      <c r="AP84" s="557">
        <f>IF(AND(Control!$D$85-ROUNDUP(((AD84-VLOOKUP(AA84,Control!$J$76:$K$82,2,FALSE))),0)&gt;0,Control!$D$85-ROUNDUP(((AD84-VLOOKUP(AA84,Control!$J$76:$K$82,2,FALSE))),0)&lt;Control!$D$86-ROUNDUP(((AD84-VLOOKUP(AA84,Control!$J$76:$K$82,2,FALSE))),0)),Control!$D$85,Control!$D$86)</f>
        <v>850000</v>
      </c>
      <c r="AQ84" s="562">
        <f>Control!$D$78</f>
        <v>0</v>
      </c>
      <c r="AR84" s="562">
        <f>Control!$D$79</f>
        <v>6.7299999999999999E-2</v>
      </c>
      <c r="AS84" s="562">
        <f>IF(INDEX(Control!$Q$3:$S$62,MATCH($AB84,Control!$Q$3:$Q$62,0),MATCH(AS$8,Control!$Q$3:$S$3,0))=1,Control!$D$81*Control!$E$81,0)</f>
        <v>0.2</v>
      </c>
      <c r="AT84" s="562"/>
      <c r="AU84" s="562">
        <f>Control!$D$83/AD84</f>
        <v>0.14527845036319612</v>
      </c>
      <c r="AV84" s="562"/>
      <c r="AW84" s="561">
        <f t="shared" ref="AW84" si="282">AK84+AM84+AN84+AR84+AS84+AU84+AV84</f>
        <v>4.6787579520350135</v>
      </c>
      <c r="AX84" s="561">
        <f t="shared" ref="AX84:AX89" si="283">+T84+AG84+AW84</f>
        <v>31.313140518620969</v>
      </c>
      <c r="AY84" s="561">
        <f t="shared" ref="AY84:AY89" si="284">IF((MONTH(B84)=MONTH(BI84)),0,IF(((MONTH(BI84))-MONTH(B84))+12*YEAR(BH84)-YEAR(B84)&gt;1,SUMIFS($BE$4:$BI$4,$BE$3:$BI$3,"&lt;="&amp;EOMONTH(BH84,-1),$BE$3:$BI$3,"&gt;="&amp;EOMONTH(B84,0)),VLOOKUP("Spreads",$BD$3:$BI$4,MATCH(EOMONTH(B84,0),$BD$3:$BI$3,0))))</f>
        <v>0</v>
      </c>
      <c r="AZ84" s="588" t="e">
        <f t="shared" ref="AZ84:AZ87" si="285">+IF($BD$3=1,HLOOKUP(EOMONTH(BH84,0),$BE$3:$BI$6,4,FALSE),IF($BD$3=2,-HLOOKUP(EOMONTH(BH84,0),$BD$3:$BI$6,3,FALSE),0))</f>
        <v>#N/A</v>
      </c>
      <c r="BA84" s="563" t="e">
        <f>$E84+AX84+AY84+AZ84</f>
        <v>#N/A</v>
      </c>
      <c r="BB84" s="555"/>
      <c r="BC84" s="556"/>
      <c r="BD84" s="553">
        <f>BD28</f>
        <v>54</v>
      </c>
      <c r="BE84" s="551">
        <f t="shared" ref="BE84:BE89" si="286">IF(ISBLANK(B84),"",B84+$BD84+F84)</f>
        <v>46254</v>
      </c>
      <c r="BF84" s="551">
        <f t="shared" ref="BF84:BF89" si="287">BE84+2</f>
        <v>46256</v>
      </c>
      <c r="BG84" s="649" t="str">
        <f t="shared" ref="BG84:BG87" si="288">HLOOKUP($BD$3,$AX$4:$AZ$5,2,FALSE)</f>
        <v>Dubai</v>
      </c>
      <c r="BH84" s="564">
        <f t="shared" ref="BH84" si="289">IF($BD$7=0,IF(BG84="ICE Brent",EOMONTH(BF84,2),EOMONTH(BF84,0)),IF(BG84="ICE Brent",EOMONTH(BF84,1),EOMONTH(BF84,-1)))</f>
        <v>46234</v>
      </c>
      <c r="BI84" s="672">
        <f t="shared" ref="BI84" si="290">IF($BD$7=1,EOMONTH(BF84,-1),EOMONTH(BF84,0))</f>
        <v>46234</v>
      </c>
      <c r="BJ84" s="735">
        <f>AG84*AD84</f>
        <v>55000000</v>
      </c>
      <c r="BK84" s="735">
        <f>AK84*AD84</f>
        <v>2250000</v>
      </c>
      <c r="BL84" s="735">
        <f t="shared" ref="BL84:BL87" si="291">AN84*AD84</f>
        <v>5523253.0120481923</v>
      </c>
      <c r="BM84" s="735">
        <f t="shared" ref="BM84:BM87" si="292">AL84*AD84</f>
        <v>0</v>
      </c>
      <c r="BN84" s="735">
        <f t="shared" ref="BN84:BN87" si="293">AM84*AD84</f>
        <v>1036407.6589041096</v>
      </c>
      <c r="BO84" s="735">
        <f t="shared" ref="BO84:BO87" si="294">(AW84-AN84-AM84-AL84-AK84)*AD84</f>
        <v>851974.50000000058</v>
      </c>
      <c r="BP84" s="777">
        <f t="shared" ref="BP84:BP87" si="295">SUM(BJ84:BM84)</f>
        <v>62773253.012048192</v>
      </c>
      <c r="BQ84" s="777">
        <f t="shared" ref="BQ84:BQ87" si="296">BP84-BM84</f>
        <v>62773253.012048192</v>
      </c>
      <c r="BR84" s="2">
        <f>+BQ84/2100000</f>
        <v>29.892025243832471</v>
      </c>
    </row>
    <row r="85" spans="1:74" ht="18" customHeight="1" x14ac:dyDescent="0.35">
      <c r="A85">
        <f>A84</f>
        <v>3</v>
      </c>
      <c r="B85" s="673">
        <f>B84</f>
        <v>46191</v>
      </c>
      <c r="C85" s="530">
        <f t="shared" si="277"/>
        <v>46193</v>
      </c>
      <c r="E85" s="195" t="e">
        <f>VLOOKUP(EOMONTH(B85,0),[3]FWD!$E$4:$J$11,6,FALSE)+A85</f>
        <v>#N/A</v>
      </c>
      <c r="F85" s="531">
        <v>3</v>
      </c>
      <c r="G85" s="532">
        <f t="shared" si="278"/>
        <v>46195</v>
      </c>
      <c r="H85"/>
      <c r="I85"/>
      <c r="J85"/>
      <c r="K85"/>
      <c r="L85"/>
      <c r="M85"/>
      <c r="N85"/>
      <c r="O85"/>
      <c r="P85"/>
      <c r="Q85"/>
      <c r="R85"/>
      <c r="S85"/>
      <c r="V85" s="138">
        <v>0</v>
      </c>
      <c r="W85" s="138" t="e">
        <f>INDEX(Control!$E$17:$J$21,MATCH(AA85,Control!$E$17:$E$21,0),MATCH(X85,Control!$E$17:$J$17,0))</f>
        <v>#N/A</v>
      </c>
      <c r="X85" s="138" t="s">
        <v>38</v>
      </c>
      <c r="Y85" s="526">
        <v>270000</v>
      </c>
      <c r="Z85" s="527">
        <f>AD85/Control!$D$84</f>
        <v>265786.05549199082</v>
      </c>
      <c r="AA85" s="559" t="s">
        <v>26</v>
      </c>
      <c r="AB85" s="572" t="s">
        <v>106</v>
      </c>
      <c r="AC85" s="556">
        <f t="shared" si="279"/>
        <v>0</v>
      </c>
      <c r="AD85" s="304">
        <f t="shared" ref="AD85:AD89" si="297">AD84</f>
        <v>2065000</v>
      </c>
      <c r="AE85" s="557">
        <v>1001</v>
      </c>
      <c r="AF85" s="734">
        <f t="shared" ref="AF85:AF87" si="298">AF84</f>
        <v>55000000</v>
      </c>
      <c r="AG85" s="561">
        <f t="shared" si="280"/>
        <v>26.634382566585955</v>
      </c>
      <c r="AH85" s="763">
        <v>0</v>
      </c>
      <c r="AI85" s="795">
        <f t="shared" si="281"/>
        <v>0</v>
      </c>
      <c r="AJ85" s="796">
        <f>INDEX(Control!$AS$36:$AY$118,MATCH(Report!$AB85,Control!$AS$36:$AS$118,0),MATCH(Report!AJ$23,Control!$AS$36:$AY$36,0))-6</f>
        <v>32.5</v>
      </c>
      <c r="AK85" s="811">
        <f>AH85*VLOOKUP($AA85,Control!$F$75:$H$87,3,FALSE)/$AD85</f>
        <v>0</v>
      </c>
      <c r="AL85" s="787">
        <f>IF($AM$3=1,$AI85*Control!$D$77,0)</f>
        <v>0</v>
      </c>
      <c r="AM85" s="788">
        <f>IF($AM$4=1,$AJ85*Control!$D$77,0)</f>
        <v>0.4236753424657535</v>
      </c>
      <c r="AN85" s="562">
        <f>IF(((AD85-VLOOKUP(AA85,Control!$J$76:$K$82,2,FALSE))/AP85)&lt;=0,0,ROUNDUP(((AD85-VLOOKUP(AA85,Control!$J$76:$K$82,2,FALSE))/Control!$D$86),0)*IF(AP85=Control!$D$86,Control!$H$91,Control!$H$90)/AD85)</f>
        <v>0.89588377723970947</v>
      </c>
      <c r="AO85" s="557">
        <f>IF(K85="Corpus Christi",Control!$D$76,0)</f>
        <v>0</v>
      </c>
      <c r="AP85" s="557">
        <f>IF(AND(Control!$D$85-ROUNDUP(((AD85-VLOOKUP(AA85,Control!$J$76:$K$82,2,FALSE))),0)&gt;0,Control!$D$85-ROUNDUP(((AD85-VLOOKUP(AA85,Control!$J$76:$K$82,2,FALSE))),0)&lt;Control!$D$86-ROUNDUP(((AD85-VLOOKUP(AA85,Control!$J$76:$K$82,2,FALSE))),0)),Control!$D$85,Control!$D$86)</f>
        <v>750000</v>
      </c>
      <c r="AQ85" s="562">
        <f>Control!$D$78</f>
        <v>0</v>
      </c>
      <c r="AR85" s="562">
        <f>Control!$D$79</f>
        <v>6.7299999999999999E-2</v>
      </c>
      <c r="AS85" s="562">
        <f>IF(INDEX(Control!$Q$3:$S$62,MATCH($AB85,Control!$Q$3:$Q$62,0),MATCH(AS$8,Control!$Q$3:$S$3,0))=1,Control!$D$81*Control!$E$81,0)</f>
        <v>0.2</v>
      </c>
      <c r="AT85" s="562"/>
      <c r="AU85" s="562">
        <f>Control!$D$83/AD85</f>
        <v>0.14527845036319612</v>
      </c>
      <c r="AV85" s="562"/>
      <c r="AW85" s="561">
        <f>AK85+AM85+AN85+AR85+AS85+AU85+AV85</f>
        <v>1.732137570068659</v>
      </c>
      <c r="AX85" s="561">
        <f t="shared" si="283"/>
        <v>28.366520136654614</v>
      </c>
      <c r="AY85" s="561">
        <f t="shared" si="284"/>
        <v>0</v>
      </c>
      <c r="AZ85" s="588" t="e">
        <f t="shared" si="285"/>
        <v>#N/A</v>
      </c>
      <c r="BA85" s="563" t="e">
        <f t="shared" ref="BA85:BA89" si="299">$E85+AX85+AY85+AZ85</f>
        <v>#N/A</v>
      </c>
      <c r="BD85" s="531">
        <f t="shared" ref="BD85" si="300">$BD$28</f>
        <v>54</v>
      </c>
      <c r="BE85" s="530">
        <f t="shared" si="286"/>
        <v>46248</v>
      </c>
      <c r="BF85" s="530">
        <f t="shared" si="287"/>
        <v>46250</v>
      </c>
      <c r="BG85" s="650" t="str">
        <f t="shared" si="288"/>
        <v>Dubai</v>
      </c>
      <c r="BH85" s="675">
        <f>BH84</f>
        <v>46234</v>
      </c>
      <c r="BI85" s="676">
        <f t="shared" ref="BI85" si="301">BH85</f>
        <v>46234</v>
      </c>
      <c r="BJ85" s="735">
        <f>AG85*AD85</f>
        <v>55000000</v>
      </c>
      <c r="BK85" s="735">
        <f>AK85*AD85</f>
        <v>0</v>
      </c>
      <c r="BL85" s="735">
        <f t="shared" si="291"/>
        <v>1850000</v>
      </c>
      <c r="BM85" s="735">
        <f t="shared" si="292"/>
        <v>0</v>
      </c>
      <c r="BN85" s="735">
        <f t="shared" si="293"/>
        <v>874889.58219178102</v>
      </c>
      <c r="BO85" s="735">
        <f t="shared" si="294"/>
        <v>851974.49999999977</v>
      </c>
      <c r="BP85" s="778">
        <f t="shared" si="295"/>
        <v>56850000</v>
      </c>
      <c r="BQ85" s="778">
        <f t="shared" si="296"/>
        <v>56850000</v>
      </c>
    </row>
    <row r="86" spans="1:74" ht="18" customHeight="1" x14ac:dyDescent="0.35">
      <c r="A86">
        <f t="shared" ref="A86:A89" si="302">A85</f>
        <v>3</v>
      </c>
      <c r="B86" s="673">
        <f t="shared" ref="B86:B89" si="303">B85</f>
        <v>46191</v>
      </c>
      <c r="C86" s="551">
        <f t="shared" si="277"/>
        <v>46193</v>
      </c>
      <c r="D86" s="552"/>
      <c r="E86" s="552" t="e">
        <f>VLOOKUP(EOMONTH(B86,0),[3]FWD!$E$4:$J$11,6,FALSE)+A86</f>
        <v>#N/A</v>
      </c>
      <c r="F86" s="553">
        <v>9</v>
      </c>
      <c r="G86" s="554">
        <f t="shared" si="278"/>
        <v>46201</v>
      </c>
      <c r="H86"/>
      <c r="I86"/>
      <c r="J86"/>
      <c r="K86"/>
      <c r="L86"/>
      <c r="M86"/>
      <c r="N86"/>
      <c r="O86"/>
      <c r="P86"/>
      <c r="Q86"/>
      <c r="R86"/>
      <c r="S86"/>
      <c r="V86" s="556">
        <v>0</v>
      </c>
      <c r="W86" s="556">
        <f>INDEX(Control!$E$17:$J$21,MATCH(AA86,Control!$E$17:$E$21,0),MATCH(X86,Control!$E$17:$J$17,0))</f>
        <v>0.5</v>
      </c>
      <c r="X86" s="556" t="s">
        <v>38</v>
      </c>
      <c r="Y86" s="557">
        <v>270000</v>
      </c>
      <c r="Z86" s="558">
        <f>AD86/Control!$D$84</f>
        <v>265786.05549199082</v>
      </c>
      <c r="AA86" s="559" t="s">
        <v>25</v>
      </c>
      <c r="AB86" s="572" t="s">
        <v>114</v>
      </c>
      <c r="AC86" s="556">
        <f t="shared" si="279"/>
        <v>0</v>
      </c>
      <c r="AD86" s="304">
        <f t="shared" si="297"/>
        <v>2065000</v>
      </c>
      <c r="AE86" s="557">
        <v>1001</v>
      </c>
      <c r="AF86" s="734">
        <f>AF85-1000000</f>
        <v>54000000</v>
      </c>
      <c r="AG86" s="561">
        <f t="shared" si="280"/>
        <v>26.150121065375302</v>
      </c>
      <c r="AH86" s="763">
        <v>5</v>
      </c>
      <c r="AI86" s="795">
        <f t="shared" si="281"/>
        <v>0</v>
      </c>
      <c r="AJ86" s="796">
        <f>INDEX(Control!$AS$36:$AY$118,MATCH(Report!$AB86,Control!$AS$36:$AS$118,0),MATCH(Report!AJ$23,Control!$AS$36:$AY$36,0))</f>
        <v>28.5</v>
      </c>
      <c r="AK86" s="811">
        <f>AH86*VLOOKUP($AA86,Control!$F$75:$H$87,3,FALSE)/$AD86</f>
        <v>1.089588377723971</v>
      </c>
      <c r="AL86" s="787">
        <f>IF($AM$3=1,$AI86*Control!$D$77,0)</f>
        <v>0</v>
      </c>
      <c r="AM86" s="788">
        <f>IF($AM$4=1,$AJ86*Control!$D$77,0)</f>
        <v>0.37153068493150687</v>
      </c>
      <c r="AN86" s="562">
        <f>AN84</f>
        <v>2.6746987951807228</v>
      </c>
      <c r="AO86" s="557">
        <f>IF(K86="Corpus Christi",Control!$D$76,0)</f>
        <v>0</v>
      </c>
      <c r="AP86" s="557">
        <f>IF(AND(Control!$D$85-ROUNDUP(((AD86-VLOOKUP(AA86,Control!$J$76:$K$82,2,FALSE))),0)&gt;0,Control!$D$85-ROUNDUP(((AD86-VLOOKUP(AA86,Control!$J$76:$K$82,2,FALSE))),0)&lt;Control!$D$86-ROUNDUP(((AD86-VLOOKUP(AA86,Control!$J$76:$K$82,2,FALSE))),0)),Control!$D$85,Control!$D$86)</f>
        <v>850000</v>
      </c>
      <c r="AQ86" s="562">
        <f>Control!$D$78</f>
        <v>0</v>
      </c>
      <c r="AR86" s="562">
        <f>Control!$D$79</f>
        <v>6.7299999999999999E-2</v>
      </c>
      <c r="AS86" s="562">
        <f>IF(INDEX(Control!$Q$3:$S$62,MATCH($AB86,Control!$Q$3:$Q$62,0),MATCH(AS$8,Control!$Q$3:$S$3,0))=1,Control!$D$81*Control!$E$81,0)</f>
        <v>0.2</v>
      </c>
      <c r="AT86" s="562"/>
      <c r="AU86" s="562">
        <f>Control!$D$83/AD86</f>
        <v>0.14527845036319612</v>
      </c>
      <c r="AV86" s="562"/>
      <c r="AW86" s="561">
        <f t="shared" ref="AW86:AW89" si="304">AK86+AM86+AN86+AR86+AS86+AU86+AV86</f>
        <v>4.548396308199397</v>
      </c>
      <c r="AX86" s="561">
        <f t="shared" si="283"/>
        <v>30.698517373574699</v>
      </c>
      <c r="AY86" s="561">
        <f t="shared" si="284"/>
        <v>0</v>
      </c>
      <c r="AZ86" s="588" t="e">
        <f t="shared" si="285"/>
        <v>#N/A</v>
      </c>
      <c r="BA86" s="563" t="e">
        <f t="shared" si="299"/>
        <v>#N/A</v>
      </c>
      <c r="BB86" s="555"/>
      <c r="BC86" s="556"/>
      <c r="BD86" s="553">
        <f>WTI!BC35</f>
        <v>44</v>
      </c>
      <c r="BE86" s="551">
        <f t="shared" si="286"/>
        <v>46244</v>
      </c>
      <c r="BF86" s="551">
        <f t="shared" si="287"/>
        <v>46246</v>
      </c>
      <c r="BG86" s="651" t="str">
        <f t="shared" si="288"/>
        <v>Dubai</v>
      </c>
      <c r="BH86" s="564">
        <f>BH87</f>
        <v>46234</v>
      </c>
      <c r="BI86" s="672">
        <f t="shared" ref="BI86:BI88" si="305">IF($BD$7=1,EOMONTH(BF86,-1),EOMONTH(BF86,0))</f>
        <v>46234</v>
      </c>
      <c r="BJ86" s="735">
        <f>AG86*AD86</f>
        <v>54000000</v>
      </c>
      <c r="BK86" s="735">
        <f>AK86*AD86</f>
        <v>2250000</v>
      </c>
      <c r="BL86" s="735">
        <f t="shared" si="291"/>
        <v>5523253.0120481923</v>
      </c>
      <c r="BM86" s="735">
        <f t="shared" si="292"/>
        <v>0</v>
      </c>
      <c r="BN86" s="735">
        <f t="shared" si="293"/>
        <v>767210.86438356165</v>
      </c>
      <c r="BO86" s="735">
        <f t="shared" si="294"/>
        <v>851974.50000000012</v>
      </c>
      <c r="BP86" s="779">
        <f t="shared" si="295"/>
        <v>61773253.012048192</v>
      </c>
      <c r="BQ86" s="779">
        <f t="shared" si="296"/>
        <v>61773253.012048192</v>
      </c>
    </row>
    <row r="87" spans="1:74" ht="18" customHeight="1" x14ac:dyDescent="0.35">
      <c r="A87">
        <f t="shared" si="302"/>
        <v>3</v>
      </c>
      <c r="B87" s="673">
        <f t="shared" si="303"/>
        <v>46191</v>
      </c>
      <c r="C87" s="678">
        <f t="shared" si="277"/>
        <v>46193</v>
      </c>
      <c r="D87" s="275"/>
      <c r="E87" s="275" t="e">
        <f>VLOOKUP(EOMONTH(B87,0),[3]FWD!$E$4:$J$11,6,FALSE)+A87</f>
        <v>#N/A</v>
      </c>
      <c r="F87" s="679">
        <v>3</v>
      </c>
      <c r="G87" s="680">
        <f t="shared" si="278"/>
        <v>46195</v>
      </c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351">
        <v>0</v>
      </c>
      <c r="W87" s="351" t="e">
        <f>INDEX(Control!$E$17:$J$21,MATCH(AA87,Control!$E$17:$E$21,0),MATCH(X87,Control!$E$17:$J$17,0))</f>
        <v>#N/A</v>
      </c>
      <c r="X87" s="351" t="s">
        <v>38</v>
      </c>
      <c r="Y87" s="344">
        <v>270000</v>
      </c>
      <c r="Z87" s="352">
        <f>AD87/Control!$D$84</f>
        <v>265786.05549199082</v>
      </c>
      <c r="AA87" s="559" t="s">
        <v>26</v>
      </c>
      <c r="AB87" s="572" t="s">
        <v>114</v>
      </c>
      <c r="AC87" s="556">
        <f t="shared" si="279"/>
        <v>0</v>
      </c>
      <c r="AD87" s="304">
        <f t="shared" si="297"/>
        <v>2065000</v>
      </c>
      <c r="AE87" s="557">
        <v>1001</v>
      </c>
      <c r="AF87" s="734">
        <f t="shared" si="298"/>
        <v>54000000</v>
      </c>
      <c r="AG87" s="561">
        <f t="shared" si="280"/>
        <v>26.150121065375302</v>
      </c>
      <c r="AH87" s="763">
        <v>0</v>
      </c>
      <c r="AI87" s="795">
        <f t="shared" si="281"/>
        <v>0</v>
      </c>
      <c r="AJ87" s="796">
        <f>INDEX(Control!$AS$36:$AY$118,MATCH(Report!$AB87,Control!$AS$36:$AS$118,0),MATCH(Report!AJ$23,Control!$AS$36:$AY$36,0))-6</f>
        <v>22.5</v>
      </c>
      <c r="AK87" s="811">
        <f>AH87*VLOOKUP($AA87,Control!$F$75:$H$87,3,FALSE)/$AD87</f>
        <v>0</v>
      </c>
      <c r="AL87" s="787">
        <f>IF($AM$3=1,$AI87*Control!$D$77,0)</f>
        <v>0</v>
      </c>
      <c r="AM87" s="788">
        <f>IF($AM$4=1,$AJ87*Control!$D$77,0)</f>
        <v>0.29331369863013701</v>
      </c>
      <c r="AN87" s="562">
        <f>IF(((AD87-VLOOKUP(AA87,Control!$J$76:$K$82,2,FALSE))/AP87)&lt;=0,0,ROUNDUP(((AD87-VLOOKUP(AA87,Control!$J$76:$K$82,2,FALSE))/Control!$D$86),0)*IF(AP87=Control!$D$86,Control!$H$91,Control!$H$90)/AD87)</f>
        <v>0.89588377723970947</v>
      </c>
      <c r="AO87" s="557">
        <f>IF(K87="Corpus Christi",Control!$D$76,0)</f>
        <v>0</v>
      </c>
      <c r="AP87" s="557">
        <f>IF(AND(Control!$D$85-ROUNDUP(((AD87-VLOOKUP(AA87,Control!$J$76:$K$82,2,FALSE))),0)&gt;0,Control!$D$85-ROUNDUP(((AD87-VLOOKUP(AA87,Control!$J$76:$K$82,2,FALSE))),0)&lt;Control!$D$86-ROUNDUP(((AD87-VLOOKUP(AA87,Control!$J$76:$K$82,2,FALSE))),0)),Control!$D$85,Control!$D$86)</f>
        <v>750000</v>
      </c>
      <c r="AQ87" s="562">
        <f>Control!$D$78</f>
        <v>0</v>
      </c>
      <c r="AR87" s="562">
        <f>Control!$D$79</f>
        <v>6.7299999999999999E-2</v>
      </c>
      <c r="AS87" s="562">
        <f>IF(INDEX(Control!$Q$3:$S$62,MATCH($AB87,Control!$Q$3:$Q$62,0),MATCH(AS$8,Control!$Q$3:$S$3,0))=1,Control!$D$81*Control!$E$81,0)</f>
        <v>0.2</v>
      </c>
      <c r="AT87" s="562"/>
      <c r="AU87" s="562">
        <f>Control!$D$83/AD87</f>
        <v>0.14527845036319612</v>
      </c>
      <c r="AV87" s="562"/>
      <c r="AW87" s="561">
        <f t="shared" si="304"/>
        <v>1.6017759262330424</v>
      </c>
      <c r="AX87" s="561">
        <f t="shared" si="283"/>
        <v>27.751896991608344</v>
      </c>
      <c r="AY87" s="561">
        <f t="shared" si="284"/>
        <v>0</v>
      </c>
      <c r="AZ87" s="588" t="e">
        <f t="shared" si="285"/>
        <v>#N/A</v>
      </c>
      <c r="BA87" s="563" t="e">
        <f t="shared" si="299"/>
        <v>#N/A</v>
      </c>
      <c r="BB87" s="350"/>
      <c r="BC87" s="350"/>
      <c r="BD87" s="679">
        <f>BD86</f>
        <v>44</v>
      </c>
      <c r="BE87" s="678">
        <f t="shared" si="286"/>
        <v>46238</v>
      </c>
      <c r="BF87" s="678">
        <f t="shared" si="287"/>
        <v>46240</v>
      </c>
      <c r="BG87" s="756" t="str">
        <f t="shared" si="288"/>
        <v>Dubai</v>
      </c>
      <c r="BH87" s="757">
        <f t="shared" ref="BH87" si="306">IF($BD$7=0,IF(BG87="ICE Brent",EOMONTH(BF87,2),EOMONTH(BF87,0)),IF(BG87="ICE Brent",EOMONTH(BF87,1),EOMONTH(BF87,-1)))</f>
        <v>46234</v>
      </c>
      <c r="BI87" s="690">
        <f t="shared" si="305"/>
        <v>46234</v>
      </c>
      <c r="BJ87" s="735">
        <f>AG87*AD87</f>
        <v>54000000</v>
      </c>
      <c r="BK87" s="735">
        <f>AK87*AD87</f>
        <v>0</v>
      </c>
      <c r="BL87" s="735">
        <f t="shared" si="291"/>
        <v>1850000</v>
      </c>
      <c r="BM87" s="735">
        <f t="shared" si="292"/>
        <v>0</v>
      </c>
      <c r="BN87" s="735">
        <f t="shared" si="293"/>
        <v>605692.78767123295</v>
      </c>
      <c r="BO87" s="735">
        <f t="shared" si="294"/>
        <v>851974.49999999965</v>
      </c>
      <c r="BP87" s="780">
        <f t="shared" si="295"/>
        <v>55850000</v>
      </c>
      <c r="BQ87" s="780">
        <f t="shared" si="296"/>
        <v>55850000</v>
      </c>
    </row>
    <row r="88" spans="1:74" ht="18" customHeight="1" x14ac:dyDescent="0.35">
      <c r="A88">
        <f t="shared" si="302"/>
        <v>3</v>
      </c>
      <c r="B88" s="673">
        <f t="shared" si="303"/>
        <v>46191</v>
      </c>
      <c r="C88" s="551">
        <f t="shared" si="277"/>
        <v>46193</v>
      </c>
      <c r="D88" s="552"/>
      <c r="E88" s="552" t="e">
        <f>VLOOKUP(EOMONTH(B88,0),[3]FWD!$E$4:$J$11,6,FALSE)+A88</f>
        <v>#N/A</v>
      </c>
      <c r="F88" s="553">
        <v>9</v>
      </c>
      <c r="G88" s="554">
        <f t="shared" si="278"/>
        <v>46201</v>
      </c>
      <c r="H88"/>
      <c r="I88"/>
      <c r="J88"/>
      <c r="K88"/>
      <c r="L88"/>
      <c r="M88"/>
      <c r="N88"/>
      <c r="O88"/>
      <c r="P88"/>
      <c r="Q88"/>
      <c r="R88"/>
      <c r="S88"/>
      <c r="V88" s="556">
        <v>0</v>
      </c>
      <c r="W88" s="556">
        <f>INDEX(Control!$E$17:$J$21,MATCH(AA88,Control!$E$17:$E$21,0),MATCH(X88,Control!$E$17:$J$17,0))</f>
        <v>0.5</v>
      </c>
      <c r="X88" s="556" t="s">
        <v>38</v>
      </c>
      <c r="Y88" s="557">
        <v>270000</v>
      </c>
      <c r="Z88" s="558">
        <f>AD88/Control!$D$84</f>
        <v>265786.05549199082</v>
      </c>
      <c r="AA88" s="559" t="s">
        <v>25</v>
      </c>
      <c r="AB88" s="572" t="s">
        <v>86</v>
      </c>
      <c r="AC88" s="556">
        <f t="shared" si="279"/>
        <v>0</v>
      </c>
      <c r="AD88" s="304">
        <f t="shared" si="297"/>
        <v>2065000</v>
      </c>
      <c r="AE88" s="557">
        <v>1001</v>
      </c>
      <c r="AF88" s="734">
        <f>AF84-1000000</f>
        <v>54000000</v>
      </c>
      <c r="AG88" s="561">
        <f t="shared" si="280"/>
        <v>26.150121065375302</v>
      </c>
      <c r="AH88" s="763">
        <v>5</v>
      </c>
      <c r="AI88" s="795">
        <f t="shared" si="281"/>
        <v>0</v>
      </c>
      <c r="AJ88" s="796">
        <f>INDEX(Control!$AS$36:$AY$118,MATCH(Report!$AB88,Control!$AS$36:$AS$118,0),MATCH(Report!AJ$23,Control!$AS$36:$AY$36,0))</f>
        <v>25.5</v>
      </c>
      <c r="AK88" s="811">
        <f>AH88*VLOOKUP($AA88,Control!$F$75:$H$87,3,FALSE)/$AD88</f>
        <v>1.089588377723971</v>
      </c>
      <c r="AL88" s="787">
        <f>IF($AM$3=1,$AI88*Control!$D$77,0)</f>
        <v>0</v>
      </c>
      <c r="AM88" s="788">
        <f>IF($AM$4=1,$AJ88*Control!$D$77,0)</f>
        <v>0.33242219178082194</v>
      </c>
      <c r="AN88" s="562">
        <f>AN86</f>
        <v>2.6746987951807228</v>
      </c>
      <c r="AO88" s="557">
        <f>IF(K88="Corpus Christi",Control!$D$76,0)</f>
        <v>0</v>
      </c>
      <c r="AP88" s="557">
        <f>IF(AND(Control!$D$85-ROUNDUP(((AD88-VLOOKUP(AA88,Control!$J$76:$K$82,2,FALSE))),0)&gt;0,Control!$D$85-ROUNDUP(((AD88-VLOOKUP(AA88,Control!$J$76:$K$82,2,FALSE))),0)&lt;Control!$D$86-ROUNDUP(((AD88-VLOOKUP(AA88,Control!$J$76:$K$82,2,FALSE))),0)),Control!$D$85,Control!$D$86)</f>
        <v>850000</v>
      </c>
      <c r="AQ88" s="562">
        <f>Control!$D$78</f>
        <v>0</v>
      </c>
      <c r="AR88" s="562">
        <f>Control!$D$79</f>
        <v>6.7299999999999999E-2</v>
      </c>
      <c r="AS88" s="562">
        <f>IF(INDEX(Control!$Q$3:$S$62,MATCH($AB88,Control!$Q$3:$Q$62,0),MATCH(AS$8,Control!$Q$3:$S$3,0))=1,Control!$D$81*Control!$E$81,0)</f>
        <v>0.2</v>
      </c>
      <c r="AT88" s="562"/>
      <c r="AU88" s="562">
        <f>Control!$D$83/AD88</f>
        <v>0.14527845036319612</v>
      </c>
      <c r="AV88" s="562"/>
      <c r="AW88" s="561">
        <f t="shared" si="304"/>
        <v>4.5092878150487126</v>
      </c>
      <c r="AX88" s="561">
        <f t="shared" si="283"/>
        <v>30.659408880424014</v>
      </c>
      <c r="AY88" s="561">
        <f t="shared" si="284"/>
        <v>0</v>
      </c>
      <c r="AZ88" s="588" t="e">
        <f t="shared" ref="AZ88:AZ89" si="307">-HLOOKUP(EOMONTH(BH88,0),$BE$3:$BH$6,3,FALSE)</f>
        <v>#N/A</v>
      </c>
      <c r="BA88" s="563" t="e">
        <f t="shared" si="299"/>
        <v>#N/A</v>
      </c>
      <c r="BB88" s="555"/>
      <c r="BC88" s="556"/>
      <c r="BD88" s="553">
        <f>WTI!BC36</f>
        <v>43</v>
      </c>
      <c r="BE88" s="551">
        <f t="shared" si="286"/>
        <v>46243</v>
      </c>
      <c r="BF88" s="551">
        <f t="shared" si="287"/>
        <v>46245</v>
      </c>
      <c r="BG88" s="649" t="s">
        <v>157</v>
      </c>
      <c r="BH88" s="564">
        <f>BH89</f>
        <v>46234</v>
      </c>
      <c r="BI88" s="672">
        <f t="shared" si="305"/>
        <v>46234</v>
      </c>
      <c r="BJ88" s="735"/>
      <c r="BK88" s="735"/>
      <c r="BL88" s="735"/>
      <c r="BM88" s="735"/>
      <c r="BN88" s="735"/>
      <c r="BO88" s="735"/>
      <c r="BP88" s="920"/>
      <c r="BQ88" s="920"/>
    </row>
    <row r="89" spans="1:74" ht="18" customHeight="1" x14ac:dyDescent="0.35">
      <c r="A89">
        <f t="shared" si="302"/>
        <v>3</v>
      </c>
      <c r="B89" s="673">
        <f t="shared" si="303"/>
        <v>46191</v>
      </c>
      <c r="C89" s="530">
        <f t="shared" si="277"/>
        <v>46193</v>
      </c>
      <c r="E89" t="e">
        <f>VLOOKUP(EOMONTH(B89,0),[3]FWD!$E$4:$J$11,6,FALSE)+A89</f>
        <v>#N/A</v>
      </c>
      <c r="F89" s="531">
        <v>3</v>
      </c>
      <c r="G89" s="532">
        <f t="shared" si="278"/>
        <v>46195</v>
      </c>
      <c r="H89"/>
      <c r="I89"/>
      <c r="J89"/>
      <c r="K89"/>
      <c r="L89"/>
      <c r="M89"/>
      <c r="N89"/>
      <c r="O89"/>
      <c r="P89"/>
      <c r="Q89"/>
      <c r="R89"/>
      <c r="S89"/>
      <c r="V89" s="138">
        <v>0</v>
      </c>
      <c r="W89" s="138" t="e">
        <f>INDEX(Control!$E$17:$J$21,MATCH(AA89,Control!$E$17:$E$21,0),MATCH(X89,Control!$E$17:$J$17,0))</f>
        <v>#N/A</v>
      </c>
      <c r="X89" s="138" t="s">
        <v>38</v>
      </c>
      <c r="Y89" s="526">
        <v>270000</v>
      </c>
      <c r="Z89" s="527">
        <f>AD89/Control!$D$84</f>
        <v>265786.05549199082</v>
      </c>
      <c r="AA89" s="559" t="s">
        <v>26</v>
      </c>
      <c r="AB89" s="572" t="s">
        <v>86</v>
      </c>
      <c r="AC89" s="556">
        <f t="shared" si="279"/>
        <v>0</v>
      </c>
      <c r="AD89" s="304">
        <f t="shared" si="297"/>
        <v>2065000</v>
      </c>
      <c r="AE89" s="557">
        <v>1001</v>
      </c>
      <c r="AF89" s="734">
        <f t="shared" ref="AF89" si="308">AF88</f>
        <v>54000000</v>
      </c>
      <c r="AG89" s="561">
        <f t="shared" si="280"/>
        <v>26.150121065375302</v>
      </c>
      <c r="AH89" s="763">
        <v>0</v>
      </c>
      <c r="AI89" s="795">
        <f t="shared" si="281"/>
        <v>0</v>
      </c>
      <c r="AJ89" s="796">
        <f>INDEX(Control!$AS$36:$AY$118,MATCH(Report!$AB89,Control!$AS$36:$AS$118,0),MATCH(Report!AJ$23,Control!$AS$36:$AY$36,0))-6</f>
        <v>19.5</v>
      </c>
      <c r="AK89" s="811">
        <f>AH89*VLOOKUP($AA89,Control!$F$75:$H$87,3,FALSE)/$AD89</f>
        <v>0</v>
      </c>
      <c r="AL89" s="787">
        <f>IF($AM$3=1,$AI89*Control!$D$77,0)</f>
        <v>0</v>
      </c>
      <c r="AM89" s="788">
        <f>IF($AM$4=1,$AJ89*Control!$D$77,0)</f>
        <v>0.25420520547945208</v>
      </c>
      <c r="AN89" s="562">
        <f>IF(((AD89-VLOOKUP(AA89,Control!$J$76:$K$82,2,FALSE))/AP89)&lt;=0,0,ROUNDUP(((AD89-VLOOKUP(AA89,Control!$J$76:$K$82,2,FALSE))/Control!$D$86),0)*IF(AP89=Control!$D$86,Control!$H$91,Control!$H$90)/AD89)</f>
        <v>0.89588377723970947</v>
      </c>
      <c r="AO89" s="557">
        <f>IF(K89="Corpus Christi",Control!$D$76,0)</f>
        <v>0</v>
      </c>
      <c r="AP89" s="557">
        <f>IF(AND(Control!$D$85-ROUNDUP(((AD89-VLOOKUP(AA89,Control!$J$76:$K$82,2,FALSE))),0)&gt;0,Control!$D$85-ROUNDUP(((AD89-VLOOKUP(AA89,Control!$J$76:$K$82,2,FALSE))),0)&lt;Control!$D$86-ROUNDUP(((AD89-VLOOKUP(AA89,Control!$J$76:$K$82,2,FALSE))),0)),Control!$D$85,Control!$D$86)</f>
        <v>750000</v>
      </c>
      <c r="AQ89" s="562">
        <f>Control!$D$78</f>
        <v>0</v>
      </c>
      <c r="AR89" s="562">
        <f>Control!$D$79</f>
        <v>6.7299999999999999E-2</v>
      </c>
      <c r="AS89" s="562">
        <f>IF(INDEX(Control!$Q$3:$S$62,MATCH($AB89,Control!$Q$3:$Q$62,0),MATCH(AS$8,Control!$Q$3:$S$3,0))=1,Control!$D$81*Control!$E$81,0)</f>
        <v>0.2</v>
      </c>
      <c r="AT89" s="562"/>
      <c r="AU89" s="562">
        <f>Control!$D$83/AD89</f>
        <v>0.14527845036319612</v>
      </c>
      <c r="AV89" s="562"/>
      <c r="AW89" s="561">
        <f t="shared" si="304"/>
        <v>1.5626674330823576</v>
      </c>
      <c r="AX89" s="561">
        <f t="shared" si="283"/>
        <v>27.712788498457659</v>
      </c>
      <c r="AY89" s="561">
        <f t="shared" si="284"/>
        <v>0</v>
      </c>
      <c r="AZ89" s="588" t="e">
        <f t="shared" si="307"/>
        <v>#N/A</v>
      </c>
      <c r="BA89" s="563" t="e">
        <f t="shared" si="299"/>
        <v>#N/A</v>
      </c>
      <c r="BD89" s="531">
        <f t="shared" ref="BD89" si="309">$BD$32</f>
        <v>43</v>
      </c>
      <c r="BE89" s="530">
        <f t="shared" si="286"/>
        <v>46237</v>
      </c>
      <c r="BF89" s="530">
        <f t="shared" si="287"/>
        <v>46239</v>
      </c>
      <c r="BG89" s="650" t="s">
        <v>157</v>
      </c>
      <c r="BH89" s="675">
        <f>IF($BI$7=0,IF(BG89="ICE Brent",EOMONTH(BF89,2),EOMONTH(BF89,0)),IF(BG89="ICE Brent",EOMONTH(BF89,1),EOMONTH(BF89,-1)))</f>
        <v>46234</v>
      </c>
      <c r="BI89" s="676">
        <f t="shared" ref="BI89" si="310">BH89</f>
        <v>46234</v>
      </c>
      <c r="BJ89" s="735"/>
      <c r="BK89" s="735"/>
      <c r="BL89" s="735"/>
      <c r="BM89" s="735"/>
      <c r="BN89" s="735"/>
      <c r="BO89" s="735"/>
      <c r="BP89" s="920"/>
      <c r="BQ89" s="920"/>
    </row>
    <row r="90" spans="1:74" ht="18" customHeight="1" x14ac:dyDescent="0.35">
      <c r="B90"/>
      <c r="C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Y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</row>
    <row r="91" spans="1:74" ht="18" customHeight="1" x14ac:dyDescent="0.35">
      <c r="A91" s="921">
        <v>2.75</v>
      </c>
      <c r="B91" s="230">
        <v>46202</v>
      </c>
      <c r="C91" s="230">
        <f t="shared" ref="C91:C100" si="311">IF(ISBLANK(B91),"",B91+2)</f>
        <v>46204</v>
      </c>
      <c r="E91" s="854" t="e">
        <f>VLOOKUP(EOMONTH(B91,0),[3]FWD!$E$4:$J$11,6,FALSE)+A91</f>
        <v>#N/A</v>
      </c>
      <c r="F91" s="229">
        <f>IF(AN91=0,0,VLOOKUP(AA91,Control!$G$41:$J$44,4,FALSE))</f>
        <v>9</v>
      </c>
      <c r="G91" s="519">
        <f t="shared" ref="G91:G100" si="312">AVERAGE(B91:C91)+F91</f>
        <v>46212</v>
      </c>
      <c r="H91"/>
      <c r="I91"/>
      <c r="J91"/>
      <c r="K91"/>
      <c r="L91"/>
      <c r="M91"/>
      <c r="N91"/>
      <c r="O91"/>
      <c r="P91"/>
      <c r="Q91"/>
      <c r="R91"/>
      <c r="S91"/>
      <c r="V91" s="220">
        <f>INDEX('[2]Flat Rates 2025'!$A:$DZ,MATCH(X91,'[2]Flat Rates 2025'!$A:$A,0),MATCH(AB91,'[2]Flat Rates 2025'!$A$1:$DZ$1,0))*1.04</f>
        <v>21.860800000000001</v>
      </c>
      <c r="W91" s="220">
        <f>INDEX(Control!$E$17:$J$21,MATCH(AA91,Control!$E$17:$E$21,0),MATCH(X91,Control!$E$17:$J$17,0))</f>
        <v>0.5</v>
      </c>
      <c r="X91" s="220" t="s">
        <v>45</v>
      </c>
      <c r="Y91" s="213">
        <f>INDEX(Vessel_Minimum_MT,MATCH(AA91,Control!$E$11:$E$15,0),MATCH(X91,Control!$E$11:$J$11,0))</f>
        <v>270000</v>
      </c>
      <c r="Z91" s="222">
        <f>AD91/Control!$D$84</f>
        <v>265786.05549199082</v>
      </c>
      <c r="AA91" s="215" t="s">
        <v>25</v>
      </c>
      <c r="AB91" s="591" t="s">
        <v>42</v>
      </c>
      <c r="AC91" s="212" t="str">
        <f t="shared" ref="AC91:AC94" si="313">IF(AB91=X91,"",CONCATENATE(CONCATENATE(VLOOKUP(X91,Zones,2,FALSE),"/",VLOOKUP(AB91,Zones,2,FALSE))))</f>
        <v>USGC/Nsea</v>
      </c>
      <c r="AD91" s="214">
        <f>AD89</f>
        <v>2065000</v>
      </c>
      <c r="AE91" s="214"/>
      <c r="AF91" s="262">
        <f>AF58</f>
        <v>35000000</v>
      </c>
      <c r="AG91" s="225">
        <f>AF91/AD91</f>
        <v>16.949152542372882</v>
      </c>
      <c r="AH91" s="214">
        <v>0</v>
      </c>
      <c r="AI91" s="214">
        <f>INDEX(Control!$AS$36:$AY$118,MATCH(Report!$AB91,Control!$AS$36:$AS$118,0),MATCH(Report!AI$23,Control!$AS$36:$AY$36,0))</f>
        <v>-10</v>
      </c>
      <c r="AJ91" s="214">
        <f>INDEX(Control!$AS$36:$AY$118,MATCH(Report!$AB91,Control!$AS$36:$AS$118,0),MATCH(Report!AJ$23,Control!$AS$36:$AY$36,0))</f>
        <v>0</v>
      </c>
      <c r="AK91" s="227">
        <f>AH91*VLOOKUP($AA91,Control!$F$75:$H$87,3,FALSE)/$AD91</f>
        <v>0</v>
      </c>
      <c r="AL91" s="226">
        <f>IF($AM$3=1,$AI91*Control!$D$77,0)</f>
        <v>0</v>
      </c>
      <c r="AM91" s="226">
        <f>IF($AM$4=1,$AJ91*Control!$D$77,0)</f>
        <v>0</v>
      </c>
      <c r="AN91" s="227">
        <f>IF(((AD91-VLOOKUP(AA91,Control!$J$76:$K$80,2,FALSE))/Control!$D$85)&lt;=0,0,ROUNDUP(((AD91-VLOOKUP(AA91,Control!$J$76:$K$80,2,FALSE))/Control!$D$85),0)*Control!$H$90/AD91)</f>
        <v>2.6876513317191284</v>
      </c>
      <c r="AO91" s="227">
        <f>IF(K91="Corpus Christi",Control!$D$76,0)</f>
        <v>0</v>
      </c>
      <c r="AP91" s="227">
        <v>0</v>
      </c>
      <c r="AQ91" s="227">
        <f>Control!$D$78</f>
        <v>0</v>
      </c>
      <c r="AR91" s="227">
        <f>Control!$D$79</f>
        <v>6.7299999999999999E-2</v>
      </c>
      <c r="AS91" s="227">
        <f>IF(INDEX(Control!$Q$3:$S$62,MATCH($AB91,Control!$Q$3:$Q$62,0),MATCH(AS$8,Control!$Q$3:$S$3,0))=1,Control!$D$81*Control!$E$81,0)</f>
        <v>0</v>
      </c>
      <c r="AT91" s="227">
        <v>0</v>
      </c>
      <c r="AU91" s="227">
        <f>116490/AD91+(Control!$D$83/AD91)</f>
        <v>0.20169007263922517</v>
      </c>
      <c r="AV91" s="227"/>
      <c r="AW91" s="225">
        <f t="shared" ref="AW91:AW94" si="314">SUM(AK91:AV91)</f>
        <v>2.9566414043583533</v>
      </c>
      <c r="AX91" s="225">
        <f t="shared" ref="AX91:AX100" si="315">+T91+AG91+AW91</f>
        <v>19.905793946731237</v>
      </c>
      <c r="AY91" s="225">
        <f t="shared" ref="AY91:AY100" si="316">IF((MONTH(B91)=MONTH(BI91)),0,IF(((MONTH(BI91))-MONTH(B91))+12*YEAR(BH91)-YEAR(B91)&gt;1,SUMIFS($BE$4:$BI$4,$BE$3:$BI$3,"&lt;="&amp;EOMONTH(BH91,-1),$BE$3:$BI$3,"&gt;="&amp;EOMONTH(B91,0)),VLOOKUP("Spreads",$BD$3:$BI$4,MATCH(EOMONTH(B91,0),$BD$3:$BI$3,0))))</f>
        <v>0</v>
      </c>
      <c r="AZ91" s="225" t="e">
        <f t="shared" ref="AZ91:AZ94" si="317">-HLOOKUP(EOMONTH(BH91,0),$BE$3:$BH$6,3,FALSE)</f>
        <v>#N/A</v>
      </c>
      <c r="BA91" s="856" t="e">
        <f t="shared" ref="BA91:BA94" si="318">$E91+AX91+AY91+AZ91</f>
        <v>#N/A</v>
      </c>
      <c r="BC91" s="220"/>
      <c r="BD91" s="229">
        <f>+INDEX('[1]Transit Time'!$A:$DZ,MATCH(X91,'[1]Transit Time'!$A:$A,0),MATCH(AB91,'[1]Transit Time'!$A$1:$DZ$1,0))</f>
        <v>17</v>
      </c>
      <c r="BE91" s="230">
        <f t="shared" ref="BE91" si="319">IF(ISBLANK(G91),"",G91+$BD91+F91)</f>
        <v>46238</v>
      </c>
      <c r="BF91" s="230">
        <f t="shared" ref="BF91:BF100" si="320">BE91+2</f>
        <v>46240</v>
      </c>
      <c r="BG91" s="230" t="s">
        <v>157</v>
      </c>
      <c r="BH91" s="489">
        <f t="shared" ref="BH91:BI91" si="321">BH92</f>
        <v>46234</v>
      </c>
      <c r="BI91" s="489">
        <f t="shared" si="321"/>
        <v>46234</v>
      </c>
      <c r="BJ91" s="735">
        <f t="shared" ref="BJ91:BJ94" si="322">AG91*AD91</f>
        <v>35000000</v>
      </c>
      <c r="BK91" s="735">
        <f t="shared" ref="BK91:BK94" si="323">AK91*AD91</f>
        <v>0</v>
      </c>
      <c r="BL91" s="735">
        <f t="shared" ref="BL91:BL94" si="324">(AW91-AK91-AL91)*AD91</f>
        <v>6105464.5</v>
      </c>
      <c r="BM91" s="735">
        <f t="shared" ref="BM91:BM98" si="325">AL91*AD91</f>
        <v>0</v>
      </c>
      <c r="BN91" s="735"/>
      <c r="BO91" s="735"/>
      <c r="BP91" s="735">
        <f t="shared" ref="BP91:BP94" si="326">(AX91-AL91)*AD91</f>
        <v>41105464.5</v>
      </c>
      <c r="BQ91" s="769">
        <f t="shared" ref="BQ91:BQ98" si="327">BP91-BM91</f>
        <v>41105464.5</v>
      </c>
      <c r="BU91"/>
      <c r="BV91"/>
    </row>
    <row r="92" spans="1:74" ht="18" customHeight="1" x14ac:dyDescent="0.35">
      <c r="A92">
        <f>A91</f>
        <v>2.75</v>
      </c>
      <c r="B92" s="163">
        <f>B91</f>
        <v>46202</v>
      </c>
      <c r="C92" s="163">
        <f t="shared" si="311"/>
        <v>46204</v>
      </c>
      <c r="E92" s="854" t="e">
        <f>VLOOKUP(EOMONTH(B92,0),[3]FWD!$E$4:$J$11,6,FALSE)+A92</f>
        <v>#N/A</v>
      </c>
      <c r="F92" s="153">
        <f>IF(AN92=0,0,VLOOKUP(AA92,Control!$G$41:$J$44,4,FALSE))</f>
        <v>3</v>
      </c>
      <c r="G92" s="518">
        <f t="shared" si="312"/>
        <v>46206</v>
      </c>
      <c r="H92"/>
      <c r="I92"/>
      <c r="J92"/>
      <c r="K92"/>
      <c r="L92"/>
      <c r="M92"/>
      <c r="N92"/>
      <c r="O92"/>
      <c r="P92"/>
      <c r="Q92"/>
      <c r="R92"/>
      <c r="S92"/>
      <c r="V92" s="191">
        <f>INDEX('[2]Flat Rates 2025'!$A:$DZ,MATCH(X92,'[2]Flat Rates 2025'!$A:$A,0),MATCH(AB92,'[2]Flat Rates 2025'!$A$1:$DZ$1,0))*1.04</f>
        <v>21.860800000000001</v>
      </c>
      <c r="W92" s="138">
        <v>0</v>
      </c>
      <c r="X92" s="138" t="s">
        <v>45</v>
      </c>
      <c r="Y92" s="641">
        <v>145000</v>
      </c>
      <c r="Z92" s="140">
        <f>AD92/Control!$D$84</f>
        <v>265786.05549199082</v>
      </c>
      <c r="AA92" s="147" t="s">
        <v>26</v>
      </c>
      <c r="AB92" s="142" t="s">
        <v>42</v>
      </c>
      <c r="AC92" s="142" t="str">
        <f t="shared" si="313"/>
        <v>USGC/Nsea</v>
      </c>
      <c r="AD92" s="141">
        <f t="shared" ref="AD92:AD100" si="328">AD91</f>
        <v>2065000</v>
      </c>
      <c r="AE92" s="141">
        <v>70</v>
      </c>
      <c r="AF92" s="568">
        <f>AF91</f>
        <v>35000000</v>
      </c>
      <c r="AG92" s="149">
        <f>AF92/AD92</f>
        <v>16.949152542372882</v>
      </c>
      <c r="AH92" s="15">
        <v>0</v>
      </c>
      <c r="AI92" s="155">
        <f>INDEX(Control!$AS$36:$AY$118,MATCH(Report!$AB92,Control!$AS$36:$AS$118,0),MATCH(Report!AI$23,Control!$AS$36:$AY$36,0))</f>
        <v>-10</v>
      </c>
      <c r="AJ92" s="155">
        <f>INDEX(Control!$AS$36:$AY$118,MATCH(Report!$AB92,Control!$AS$36:$AS$118,0),MATCH(Report!AJ$23,Control!$AS$36:$AY$36,0))</f>
        <v>0</v>
      </c>
      <c r="AK92" s="143">
        <f>AH92*VLOOKUP($AA92,Control!$F$75:$H$87,3,FALSE)/$AD92</f>
        <v>0</v>
      </c>
      <c r="AL92" s="144">
        <f>IF($AM$3=1,$AI92*Control!$D$77,0)</f>
        <v>0</v>
      </c>
      <c r="AM92" s="144">
        <f>IF($AM$4=1,$AJ92*Control!$D$77,0)</f>
        <v>0</v>
      </c>
      <c r="AN92" s="143">
        <f>IF(((AD92-VLOOKUP(AA92,Control!$J$76:$K$80,2,FALSE))/Control!$D$85)&lt;=0,0,ROUNDUP(((AD92-VLOOKUP(AA92,Control!$J$76:$K$80,2,FALSE))/Control!$D$85),0)*Control!$H$90/AD92)</f>
        <v>0.89588377723970947</v>
      </c>
      <c r="AO92" s="143">
        <f>IF(K92="Corpus Christi",Control!$D$76,0)</f>
        <v>0</v>
      </c>
      <c r="AP92" s="143">
        <v>0</v>
      </c>
      <c r="AQ92" s="143">
        <f>Control!$D$78</f>
        <v>0</v>
      </c>
      <c r="AR92" s="143">
        <f>Control!$D$79</f>
        <v>6.7299999999999999E-2</v>
      </c>
      <c r="AS92" s="143">
        <f>IF(INDEX(Control!$Q$3:$S$62,MATCH($AB92,Control!$Q$3:$Q$62,0),MATCH(AS$8,Control!$Q$3:$S$3,0))=1,Control!$D$81*Control!$E$81,0)</f>
        <v>0</v>
      </c>
      <c r="AT92" s="143">
        <v>0</v>
      </c>
      <c r="AU92" s="143">
        <f>116490/AD92+(Control!$D$83/AD92)</f>
        <v>0.20169007263922517</v>
      </c>
      <c r="AV92" s="143"/>
      <c r="AW92" s="149">
        <f t="shared" si="314"/>
        <v>1.1648738498789346</v>
      </c>
      <c r="AX92" s="149">
        <f t="shared" si="315"/>
        <v>18.114026392251816</v>
      </c>
      <c r="AY92" s="149">
        <f t="shared" si="316"/>
        <v>0</v>
      </c>
      <c r="AZ92" s="149" t="e">
        <f t="shared" si="317"/>
        <v>#N/A</v>
      </c>
      <c r="BA92" s="857" t="e">
        <f t="shared" si="318"/>
        <v>#N/A</v>
      </c>
      <c r="BD92" s="153">
        <f>+INDEX('[1]Transit Time'!$A:$DZ,MATCH(X92,'[1]Transit Time'!$A:$A,0),MATCH(AB92,'[1]Transit Time'!$A$1:$DZ$1,0))</f>
        <v>17</v>
      </c>
      <c r="BE92" s="163">
        <f t="shared" ref="BE92:BE100" si="329">IF(ISBLANK(B92),"",B92+$BD92+F92)</f>
        <v>46222</v>
      </c>
      <c r="BF92" s="163">
        <f t="shared" si="320"/>
        <v>46224</v>
      </c>
      <c r="BG92" s="163" t="s">
        <v>157</v>
      </c>
      <c r="BH92" s="490">
        <f t="shared" ref="BH92" si="330">EOMONTH(BF92,0)</f>
        <v>46234</v>
      </c>
      <c r="BI92" s="490">
        <f t="shared" ref="BI92:BI94" si="331">BH92</f>
        <v>46234</v>
      </c>
      <c r="BJ92" s="735">
        <f t="shared" si="322"/>
        <v>35000000</v>
      </c>
      <c r="BK92" s="735">
        <f t="shared" si="323"/>
        <v>0</v>
      </c>
      <c r="BL92" s="735">
        <f t="shared" si="324"/>
        <v>2405464.5</v>
      </c>
      <c r="BM92" s="735">
        <f t="shared" si="325"/>
        <v>0</v>
      </c>
      <c r="BN92" s="735"/>
      <c r="BO92" s="735"/>
      <c r="BP92" s="735">
        <f t="shared" si="326"/>
        <v>37405464.5</v>
      </c>
      <c r="BQ92" s="769">
        <f t="shared" si="327"/>
        <v>37405464.5</v>
      </c>
      <c r="BU92"/>
      <c r="BV92"/>
    </row>
    <row r="93" spans="1:74" ht="18" customHeight="1" x14ac:dyDescent="0.35">
      <c r="A93">
        <f>A92</f>
        <v>2.75</v>
      </c>
      <c r="B93" s="230">
        <f>B91</f>
        <v>46202</v>
      </c>
      <c r="C93" s="230">
        <f t="shared" si="311"/>
        <v>46204</v>
      </c>
      <c r="E93" s="854" t="e">
        <f>VLOOKUP(EOMONTH(B93,0),[3]FWD!$E$4:$J$11,6,FALSE)+A93</f>
        <v>#N/A</v>
      </c>
      <c r="F93" s="153">
        <f>IF(AN93=0,0,VLOOKUP(AA93,Control!$G$41:$J$44,4,FALSE))</f>
        <v>9</v>
      </c>
      <c r="G93" s="518">
        <f t="shared" si="312"/>
        <v>46212</v>
      </c>
      <c r="H93"/>
      <c r="I93"/>
      <c r="J93"/>
      <c r="K93"/>
      <c r="L93"/>
      <c r="M93"/>
      <c r="N93"/>
      <c r="O93"/>
      <c r="P93"/>
      <c r="Q93"/>
      <c r="R93"/>
      <c r="S93"/>
      <c r="V93" s="191">
        <f>INDEX('[2]Flat Rates 2025'!$A:$DZ,MATCH(X93,'[2]Flat Rates 2025'!$A:$A,0),MATCH(AB93,'[2]Flat Rates 2025'!$A$1:$DZ$1,0))*1.04</f>
        <v>24.9392</v>
      </c>
      <c r="W93" s="138">
        <v>0</v>
      </c>
      <c r="X93" s="138" t="s">
        <v>45</v>
      </c>
      <c r="Y93" s="641">
        <v>145000</v>
      </c>
      <c r="Z93" s="140">
        <f>AD93/Control!$D$84</f>
        <v>265786.05549199082</v>
      </c>
      <c r="AA93" s="215" t="s">
        <v>25</v>
      </c>
      <c r="AB93" s="591" t="s">
        <v>72</v>
      </c>
      <c r="AC93" s="212" t="str">
        <f t="shared" si="313"/>
        <v>USGC/Nsea</v>
      </c>
      <c r="AD93" s="214">
        <f t="shared" si="328"/>
        <v>2065000</v>
      </c>
      <c r="AE93" s="214"/>
      <c r="AF93" s="224">
        <f>AF60</f>
        <v>35150000</v>
      </c>
      <c r="AG93" s="225">
        <f>AF93/AD93</f>
        <v>17.021791767554479</v>
      </c>
      <c r="AH93" s="304">
        <v>0</v>
      </c>
      <c r="AI93" s="214">
        <f>INDEX(Control!$AS$36:$AY$118,MATCH(Report!$AB93,Control!$AS$36:$AS$118,0),MATCH(Report!AI$23,Control!$AS$36:$AY$36,0))</f>
        <v>-10</v>
      </c>
      <c r="AJ93" s="214">
        <f>INDEX(Control!$AS$36:$AY$118,MATCH(Report!$AB93,Control!$AS$36:$AS$118,0),MATCH(Report!AJ$23,Control!$AS$36:$AY$36,0))</f>
        <v>0</v>
      </c>
      <c r="AK93" s="227">
        <f>AH93*VLOOKUP($AA93,Control!$F$75:$H$87,3,FALSE)/$AD93</f>
        <v>0</v>
      </c>
      <c r="AL93" s="226">
        <f>IF($AM$3=1,$AI93*Control!$D$77,0)</f>
        <v>0</v>
      </c>
      <c r="AM93" s="226">
        <f>IF($AM$4=1,$AJ93*Control!$D$77,0)</f>
        <v>0</v>
      </c>
      <c r="AN93" s="227">
        <f>IF(((AD93-VLOOKUP(AA93,Control!$J$76:$K$80,2,FALSE))/Control!$D$85)&lt;=0,0,ROUNDUP(((AD93-VLOOKUP(AA93,Control!$J$76:$K$80,2,FALSE))/Control!$D$85),0)*Control!$H$90/AD93)</f>
        <v>2.6876513317191284</v>
      </c>
      <c r="AO93" s="227">
        <f>IF(K93="Corpus Christi",Control!$D$76,0)</f>
        <v>0</v>
      </c>
      <c r="AP93" s="227">
        <v>0</v>
      </c>
      <c r="AQ93" s="227">
        <f>Control!$D$78</f>
        <v>0</v>
      </c>
      <c r="AR93" s="227">
        <f>Control!$D$79</f>
        <v>6.7299999999999999E-2</v>
      </c>
      <c r="AS93" s="227">
        <f>IF(INDEX(Control!$Q$3:$S$62,MATCH($AB93,Control!$Q$3:$Q$62,0),MATCH(AS$8,Control!$Q$3:$S$3,0))=1,Control!$D$81*Control!$E$81,0)</f>
        <v>0</v>
      </c>
      <c r="AT93" s="227">
        <v>0</v>
      </c>
      <c r="AU93" s="227">
        <f>116490/AD93+(Control!$D$83/AD93)</f>
        <v>0.20169007263922517</v>
      </c>
      <c r="AV93" s="227">
        <v>0.49</v>
      </c>
      <c r="AW93" s="225">
        <f t="shared" si="314"/>
        <v>3.4466414043583535</v>
      </c>
      <c r="AX93" s="225">
        <f t="shared" si="315"/>
        <v>20.468433171912832</v>
      </c>
      <c r="AY93" s="225">
        <f t="shared" si="316"/>
        <v>0</v>
      </c>
      <c r="AZ93" s="225" t="e">
        <f t="shared" si="317"/>
        <v>#N/A</v>
      </c>
      <c r="BA93" s="856" t="e">
        <f t="shared" si="318"/>
        <v>#N/A</v>
      </c>
      <c r="BD93" s="153">
        <f>BD61</f>
        <v>21</v>
      </c>
      <c r="BE93" s="163">
        <f t="shared" si="329"/>
        <v>46232</v>
      </c>
      <c r="BF93" s="163">
        <f t="shared" si="320"/>
        <v>46234</v>
      </c>
      <c r="BG93" s="163" t="s">
        <v>157</v>
      </c>
      <c r="BH93" s="490">
        <f>BH94</f>
        <v>46234</v>
      </c>
      <c r="BI93" s="490">
        <f t="shared" si="331"/>
        <v>46234</v>
      </c>
      <c r="BJ93" s="735">
        <f t="shared" si="322"/>
        <v>35150000</v>
      </c>
      <c r="BK93" s="735">
        <f t="shared" si="323"/>
        <v>0</v>
      </c>
      <c r="BL93" s="735">
        <f t="shared" si="324"/>
        <v>7117314.5</v>
      </c>
      <c r="BM93" s="735">
        <f t="shared" si="325"/>
        <v>0</v>
      </c>
      <c r="BN93" s="735"/>
      <c r="BO93" s="735"/>
      <c r="BP93" s="735">
        <f t="shared" si="326"/>
        <v>42267314.5</v>
      </c>
      <c r="BQ93" s="769">
        <f t="shared" si="327"/>
        <v>42267314.5</v>
      </c>
      <c r="BU93"/>
      <c r="BV93"/>
    </row>
    <row r="94" spans="1:74" ht="18" customHeight="1" thickBot="1" x14ac:dyDescent="0.4">
      <c r="A94">
        <f>A93</f>
        <v>2.75</v>
      </c>
      <c r="B94" s="163">
        <f>B93</f>
        <v>46202</v>
      </c>
      <c r="C94" s="163">
        <f t="shared" si="311"/>
        <v>46204</v>
      </c>
      <c r="E94" s="855" t="e">
        <f>VLOOKUP(EOMONTH(B94,0),[3]FWD!$E$4:$J$11,6,FALSE)+A94</f>
        <v>#N/A</v>
      </c>
      <c r="F94" s="229">
        <f>IF(AN94=0,0,VLOOKUP(AA94,Control!$G$41:$J$44,4,FALSE))</f>
        <v>3</v>
      </c>
      <c r="G94" s="519">
        <f t="shared" si="312"/>
        <v>46206</v>
      </c>
      <c r="H94"/>
      <c r="I94"/>
      <c r="J94"/>
      <c r="K94"/>
      <c r="L94"/>
      <c r="M94"/>
      <c r="N94"/>
      <c r="O94"/>
      <c r="P94"/>
      <c r="Q94"/>
      <c r="R94"/>
      <c r="S94"/>
      <c r="V94" s="220">
        <f>INDEX('[2]Flat Rates 2025'!$A:$DZ,MATCH(X94,'[2]Flat Rates 2025'!$A:$A,0),MATCH(AB94,'[2]Flat Rates 2025'!$A$1:$DZ$1,0))*1.04</f>
        <v>24.9392</v>
      </c>
      <c r="W94" s="220" t="e">
        <f>INDEX(Control!$E$17:$J$21,MATCH(AA94,Control!$E$17:$E$21,0),MATCH(X94,Control!$E$17:$J$17,0))</f>
        <v>#N/A</v>
      </c>
      <c r="X94" s="220" t="s">
        <v>45</v>
      </c>
      <c r="Y94" s="213" t="e">
        <f>INDEX(Vessel_Minimum_MT,MATCH(AA94,Control!$E$11:$E$15,0),MATCH(X94,Control!$E$11:$J$11,0))</f>
        <v>#N/A</v>
      </c>
      <c r="Z94" s="222">
        <f>AD94/Control!$D$84</f>
        <v>265786.05549199082</v>
      </c>
      <c r="AA94" s="147" t="s">
        <v>26</v>
      </c>
      <c r="AB94" s="858" t="str">
        <f>AB93</f>
        <v>Lagos</v>
      </c>
      <c r="AC94" s="142" t="str">
        <f t="shared" si="313"/>
        <v>USGC/Nsea</v>
      </c>
      <c r="AD94" s="141">
        <f t="shared" si="328"/>
        <v>2065000</v>
      </c>
      <c r="AE94" s="141">
        <v>70</v>
      </c>
      <c r="AF94" s="49">
        <f>AF93</f>
        <v>35150000</v>
      </c>
      <c r="AG94" s="149">
        <f>AF94/AD94</f>
        <v>17.021791767554479</v>
      </c>
      <c r="AH94" s="15">
        <v>0</v>
      </c>
      <c r="AI94" s="155">
        <f>INDEX(Control!$AS$36:$AY$118,MATCH(Report!$AB94,Control!$AS$36:$AS$118,0),MATCH(Report!AI$23,Control!$AS$36:$AY$36,0))</f>
        <v>-10</v>
      </c>
      <c r="AJ94" s="155">
        <f>INDEX(Control!$AS$36:$AY$118,MATCH(Report!$AB94,Control!$AS$36:$AS$118,0),MATCH(Report!AJ$23,Control!$AS$36:$AY$36,0))</f>
        <v>0</v>
      </c>
      <c r="AK94" s="143">
        <f>AH94*VLOOKUP($AA94,Control!$F$75:$H$87,3,FALSE)/$AD94</f>
        <v>0</v>
      </c>
      <c r="AL94" s="144">
        <f>IF($AM$3=1,$AI94*Control!$D$77,0)</f>
        <v>0</v>
      </c>
      <c r="AM94" s="144">
        <f>IF($AM$4=1,$AJ94*Control!$D$77,0)</f>
        <v>0</v>
      </c>
      <c r="AN94" s="143">
        <f>IF(((AD94-VLOOKUP(AA94,Control!$J$76:$K$80,2,FALSE))/Control!$D$85)&lt;=0,0,ROUNDUP(((AD94-VLOOKUP(AA94,Control!$J$76:$K$80,2,FALSE))/Control!$D$85),0)*Control!$H$90/AD94)</f>
        <v>0.89588377723970947</v>
      </c>
      <c r="AO94" s="143">
        <f>IF(K94="Corpus Christi",Control!$D$76,0)</f>
        <v>0</v>
      </c>
      <c r="AP94" s="143">
        <v>0</v>
      </c>
      <c r="AQ94" s="143">
        <f>Control!$D$78</f>
        <v>0</v>
      </c>
      <c r="AR94" s="143">
        <f>Control!$D$79</f>
        <v>6.7299999999999999E-2</v>
      </c>
      <c r="AS94" s="143">
        <f>IF(INDEX(Control!$Q$3:$S$62,MATCH($AB94,Control!$Q$3:$Q$62,0),MATCH(AS$8,Control!$Q$3:$S$3,0))=1,Control!$D$81*Control!$E$81,0)</f>
        <v>0</v>
      </c>
      <c r="AT94" s="143">
        <v>0</v>
      </c>
      <c r="AU94" s="143">
        <f>116490/AD94+(Control!$D$83/AD94)</f>
        <v>0.20169007263922517</v>
      </c>
      <c r="AV94" s="143">
        <v>0.49</v>
      </c>
      <c r="AW94" s="149">
        <f t="shared" si="314"/>
        <v>1.6548738498789346</v>
      </c>
      <c r="AX94" s="149">
        <f t="shared" si="315"/>
        <v>18.676665617433414</v>
      </c>
      <c r="AY94" s="149">
        <f t="shared" si="316"/>
        <v>0</v>
      </c>
      <c r="AZ94" s="149" t="e">
        <f t="shared" si="317"/>
        <v>#N/A</v>
      </c>
      <c r="BA94" s="857" t="e">
        <f t="shared" si="318"/>
        <v>#N/A</v>
      </c>
      <c r="BC94" s="220"/>
      <c r="BD94" s="229">
        <f>BD93</f>
        <v>21</v>
      </c>
      <c r="BE94" s="230">
        <f t="shared" si="329"/>
        <v>46226</v>
      </c>
      <c r="BF94" s="230">
        <f t="shared" si="320"/>
        <v>46228</v>
      </c>
      <c r="BG94" s="230" t="s">
        <v>157</v>
      </c>
      <c r="BH94" s="489">
        <f t="shared" ref="BH94" si="332">EOMONTH(BF94,0)</f>
        <v>46234</v>
      </c>
      <c r="BI94" s="489">
        <f t="shared" si="331"/>
        <v>46234</v>
      </c>
      <c r="BJ94" s="735">
        <f t="shared" si="322"/>
        <v>35150000</v>
      </c>
      <c r="BK94" s="735">
        <f t="shared" si="323"/>
        <v>0</v>
      </c>
      <c r="BL94" s="735">
        <f t="shared" si="324"/>
        <v>3417314.5</v>
      </c>
      <c r="BM94" s="735">
        <f t="shared" si="325"/>
        <v>0</v>
      </c>
      <c r="BN94" s="735"/>
      <c r="BO94" s="735"/>
      <c r="BP94" s="735">
        <f t="shared" si="326"/>
        <v>38567314.5</v>
      </c>
      <c r="BQ94" s="769">
        <f t="shared" si="327"/>
        <v>38567314.5</v>
      </c>
      <c r="BU94"/>
      <c r="BV94"/>
    </row>
    <row r="95" spans="1:74" ht="18" customHeight="1" x14ac:dyDescent="0.35">
      <c r="A95">
        <f t="shared" ref="A95:A100" si="333">A94</f>
        <v>2.75</v>
      </c>
      <c r="B95" s="671">
        <f>B94</f>
        <v>46202</v>
      </c>
      <c r="C95" s="551">
        <f t="shared" si="311"/>
        <v>46204</v>
      </c>
      <c r="D95" s="552"/>
      <c r="E95" s="552" t="e">
        <f>VLOOKUP(EOMONTH(B95,0),[3]FWD!$E$4:$J$11,6,FALSE)+A95</f>
        <v>#N/A</v>
      </c>
      <c r="F95" s="553">
        <v>9</v>
      </c>
      <c r="G95" s="554">
        <f t="shared" si="312"/>
        <v>46212</v>
      </c>
      <c r="H95"/>
      <c r="I95"/>
      <c r="J95"/>
      <c r="K95"/>
      <c r="L95"/>
      <c r="M95"/>
      <c r="N95"/>
      <c r="O95"/>
      <c r="P95"/>
      <c r="Q95"/>
      <c r="R95"/>
      <c r="S95"/>
      <c r="V95" s="556">
        <v>0</v>
      </c>
      <c r="W95" s="556">
        <f>INDEX(Control!$E$17:$J$21,MATCH(AA95,Control!$E$17:$E$21,0),MATCH(X95,Control!$E$17:$J$17,0))</f>
        <v>0.5</v>
      </c>
      <c r="X95" s="556" t="s">
        <v>38</v>
      </c>
      <c r="Y95" s="557">
        <v>270000</v>
      </c>
      <c r="Z95" s="558">
        <f>AD95/Control!$D$84</f>
        <v>265786.05549199082</v>
      </c>
      <c r="AA95" s="559" t="s">
        <v>25</v>
      </c>
      <c r="AB95" s="572" t="s">
        <v>106</v>
      </c>
      <c r="AC95" s="556">
        <f t="shared" ref="AC95:AC100" si="334">AC114</f>
        <v>0</v>
      </c>
      <c r="AD95" s="304">
        <f t="shared" si="328"/>
        <v>2065000</v>
      </c>
      <c r="AE95" s="557">
        <v>1001</v>
      </c>
      <c r="AF95" s="734">
        <f>AF84</f>
        <v>55000000</v>
      </c>
      <c r="AG95" s="561">
        <f t="shared" ref="AG95:AG100" si="335">IF(AE95&gt;1000,IF(AF95=0,AE95,AF95)/AD95,((Y95*V95*(IF(AF95=0,AE95,AF95)/100))+IF(Z95&lt;Y95,0,(Z95-Y95)*V95*IF(AF95=0,AE95,AF95)/100*W95))/AD95)</f>
        <v>26.634382566585955</v>
      </c>
      <c r="AH95" s="763">
        <v>5</v>
      </c>
      <c r="AI95" s="795">
        <f t="shared" ref="AI95:AI100" si="336">AI114</f>
        <v>0</v>
      </c>
      <c r="AJ95" s="796">
        <f>INDEX(Control!$AS$36:$AY$118,MATCH(Report!$AB95,Control!$AS$36:$AS$118,0),MATCH(Report!AJ$23,Control!$AS$36:$AY$36,0))</f>
        <v>38.5</v>
      </c>
      <c r="AK95" s="811">
        <f>AH95*VLOOKUP($AA95,Control!$F$75:$H$87,3,FALSE)/$AD95</f>
        <v>1.089588377723971</v>
      </c>
      <c r="AL95" s="787">
        <f>IF($AM$3=1,$AI95*Control!$D$77,0)</f>
        <v>0</v>
      </c>
      <c r="AM95" s="788">
        <f>IF($AM$4=1,$AJ95*Control!$D$77,0)</f>
        <v>0.50189232876712331</v>
      </c>
      <c r="AN95" s="562">
        <f>AN39</f>
        <v>2.7749999999999999</v>
      </c>
      <c r="AO95" s="557">
        <f>IF(K95="Corpus Christi",Control!$D$76,0)</f>
        <v>0</v>
      </c>
      <c r="AP95" s="557">
        <f>IF(AND(Control!$D$85-ROUNDUP(((AD95-VLOOKUP(AA95,Control!$J$76:$K$82,2,FALSE))),0)&gt;0,Control!$D$85-ROUNDUP(((AD95-VLOOKUP(AA95,Control!$J$76:$K$82,2,FALSE))),0)&lt;Control!$D$86-ROUNDUP(((AD95-VLOOKUP(AA95,Control!$J$76:$K$82,2,FALSE))),0)),Control!$D$85,Control!$D$86)</f>
        <v>850000</v>
      </c>
      <c r="AQ95" s="562">
        <f>Control!$D$78</f>
        <v>0</v>
      </c>
      <c r="AR95" s="562">
        <f>Control!$D$79</f>
        <v>6.7299999999999999E-2</v>
      </c>
      <c r="AS95" s="562">
        <f>IF(INDEX(Control!$Q$3:$S$62,MATCH($AB95,Control!$Q$3:$Q$62,0),MATCH(AS$8,Control!$Q$3:$S$3,0))=1,Control!$D$81*Control!$E$81,0)</f>
        <v>0.2</v>
      </c>
      <c r="AT95" s="562"/>
      <c r="AU95" s="562">
        <f>Control!$D$83/AD95</f>
        <v>0.14527845036319612</v>
      </c>
      <c r="AV95" s="562"/>
      <c r="AW95" s="561">
        <f t="shared" ref="AW95:AW100" si="337">AK95+AM95+AN95+AR95+AS95+AU95+AV95</f>
        <v>4.7790591568542906</v>
      </c>
      <c r="AX95" s="561">
        <f t="shared" si="315"/>
        <v>31.413441723440247</v>
      </c>
      <c r="AY95" s="561">
        <f t="shared" si="316"/>
        <v>0</v>
      </c>
      <c r="AZ95" s="588" t="e">
        <f t="shared" ref="AZ95:AZ98" si="338">+IF($BD$3=1,HLOOKUP(EOMONTH(BH95,0),$BE$3:$BI$6,4,FALSE),IF($BD$3=2,-HLOOKUP(EOMONTH(BH95,0),$BD$3:$BI$6,3,FALSE),0))</f>
        <v>#N/A</v>
      </c>
      <c r="BA95" s="563" t="e">
        <f>$E95+AX95+AY95+AZ95</f>
        <v>#N/A</v>
      </c>
      <c r="BB95" s="555"/>
      <c r="BC95" s="556"/>
      <c r="BD95" s="553">
        <f>BD39</f>
        <v>52</v>
      </c>
      <c r="BE95" s="551">
        <f t="shared" si="329"/>
        <v>46263</v>
      </c>
      <c r="BF95" s="551">
        <f t="shared" si="320"/>
        <v>46265</v>
      </c>
      <c r="BG95" s="649" t="str">
        <f t="shared" ref="BG95:BG98" si="339">HLOOKUP($BD$3,$AX$4:$AZ$5,2,FALSE)</f>
        <v>Dubai</v>
      </c>
      <c r="BH95" s="564">
        <f t="shared" ref="BH95" si="340">IF($BD$7=0,IF(BG95="ICE Brent",EOMONTH(BF95,2),EOMONTH(BF95,0)),IF(BG95="ICE Brent",EOMONTH(BF95,1),EOMONTH(BF95,-1)))</f>
        <v>46234</v>
      </c>
      <c r="BI95" s="672">
        <f t="shared" ref="BI95" si="341">IF($BD$7=1,EOMONTH(BF95,-1),EOMONTH(BF95,0))</f>
        <v>46234</v>
      </c>
      <c r="BJ95" s="735">
        <f>AG95*AD95</f>
        <v>55000000</v>
      </c>
      <c r="BK95" s="735">
        <f>AK95*AD95</f>
        <v>2250000</v>
      </c>
      <c r="BL95" s="735">
        <f t="shared" ref="BL95:BL98" si="342">AN95*AD95</f>
        <v>5730375</v>
      </c>
      <c r="BM95" s="735">
        <f t="shared" si="325"/>
        <v>0</v>
      </c>
      <c r="BN95" s="735">
        <f t="shared" ref="BN95:BN98" si="343">AM95*AD95</f>
        <v>1036407.6589041096</v>
      </c>
      <c r="BO95" s="735">
        <f t="shared" ref="BO95:BO98" si="344">(AW95-AN95-AM95-AL95-AK95)*AD95</f>
        <v>851974.50000000058</v>
      </c>
      <c r="BP95" s="777">
        <f t="shared" ref="BP95:BP98" si="345">SUM(BJ95:BM95)</f>
        <v>62980375</v>
      </c>
      <c r="BQ95" s="777">
        <f t="shared" si="327"/>
        <v>62980375</v>
      </c>
      <c r="BR95" s="2">
        <f>+BQ95/2100000</f>
        <v>29.990654761904761</v>
      </c>
    </row>
    <row r="96" spans="1:74" ht="18" customHeight="1" x14ac:dyDescent="0.35">
      <c r="A96">
        <f t="shared" si="333"/>
        <v>2.75</v>
      </c>
      <c r="B96" s="673">
        <f>B95</f>
        <v>46202</v>
      </c>
      <c r="C96" s="530">
        <f t="shared" si="311"/>
        <v>46204</v>
      </c>
      <c r="E96" t="e">
        <f>VLOOKUP(EOMONTH(B96,0),[3]FWD!$E$4:$J$11,6,FALSE)+A96</f>
        <v>#N/A</v>
      </c>
      <c r="F96" s="531">
        <v>3</v>
      </c>
      <c r="G96" s="532">
        <f t="shared" si="312"/>
        <v>46206</v>
      </c>
      <c r="H96"/>
      <c r="I96"/>
      <c r="J96"/>
      <c r="K96"/>
      <c r="L96"/>
      <c r="M96"/>
      <c r="N96"/>
      <c r="O96"/>
      <c r="P96"/>
      <c r="Q96"/>
      <c r="R96"/>
      <c r="S96"/>
      <c r="V96" s="138">
        <v>0</v>
      </c>
      <c r="W96" s="138" t="e">
        <f>INDEX(Control!$E$17:$J$21,MATCH(AA96,Control!$E$17:$E$21,0),MATCH(X96,Control!$E$17:$J$17,0))</f>
        <v>#N/A</v>
      </c>
      <c r="X96" s="138" t="s">
        <v>38</v>
      </c>
      <c r="Y96" s="526">
        <v>270000</v>
      </c>
      <c r="Z96" s="527">
        <f>AD96/Control!$D$84</f>
        <v>265786.05549199082</v>
      </c>
      <c r="AA96" s="559" t="s">
        <v>26</v>
      </c>
      <c r="AB96" s="572" t="s">
        <v>106</v>
      </c>
      <c r="AC96" s="556">
        <f t="shared" si="334"/>
        <v>0</v>
      </c>
      <c r="AD96" s="304">
        <f t="shared" si="328"/>
        <v>2065000</v>
      </c>
      <c r="AE96" s="557">
        <v>1001</v>
      </c>
      <c r="AF96" s="734">
        <f t="shared" ref="AF96:AF98" si="346">AF95</f>
        <v>55000000</v>
      </c>
      <c r="AG96" s="561">
        <f t="shared" si="335"/>
        <v>26.634382566585955</v>
      </c>
      <c r="AH96" s="763"/>
      <c r="AI96" s="795">
        <f t="shared" si="336"/>
        <v>0</v>
      </c>
      <c r="AJ96" s="796">
        <f>INDEX(Control!$AS$36:$AY$118,MATCH(Report!$AB96,Control!$AS$36:$AS$118,0),MATCH(Report!AJ$23,Control!$AS$36:$AY$36,0))-6</f>
        <v>32.5</v>
      </c>
      <c r="AK96" s="811">
        <f>AH96*VLOOKUP($AA96,Control!$F$75:$H$87,3,FALSE)/$AD96</f>
        <v>0</v>
      </c>
      <c r="AL96" s="787">
        <f>IF($AM$3=1,$AI96*Control!$D$77,0)</f>
        <v>0</v>
      </c>
      <c r="AM96" s="788">
        <f>IF($AM$4=1,$AJ96*Control!$D$77,0)</f>
        <v>0.4236753424657535</v>
      </c>
      <c r="AN96" s="562">
        <f>IF(((AD96-VLOOKUP(AA96,Control!$J$76:$K$82,2,FALSE))/AP96)&lt;=0,0,ROUNDUP(((AD96-VLOOKUP(AA96,Control!$J$76:$K$82,2,FALSE))/Control!$D$86),0)*IF(AP96=Control!$D$86,Control!$H$91,Control!$H$90)/AD96)</f>
        <v>0.89588377723970947</v>
      </c>
      <c r="AO96" s="557">
        <f>IF(K96="Corpus Christi",Control!$D$76,0)</f>
        <v>0</v>
      </c>
      <c r="AP96" s="557">
        <f>IF(AND(Control!$D$85-ROUNDUP(((AD96-VLOOKUP(AA96,Control!$J$76:$K$82,2,FALSE))),0)&gt;0,Control!$D$85-ROUNDUP(((AD96-VLOOKUP(AA96,Control!$J$76:$K$82,2,FALSE))),0)&lt;Control!$D$86-ROUNDUP(((AD96-VLOOKUP(AA96,Control!$J$76:$K$82,2,FALSE))),0)),Control!$D$85,Control!$D$86)</f>
        <v>750000</v>
      </c>
      <c r="AQ96" s="562">
        <f>Control!$D$78</f>
        <v>0</v>
      </c>
      <c r="AR96" s="562">
        <f>Control!$D$79</f>
        <v>6.7299999999999999E-2</v>
      </c>
      <c r="AS96" s="562">
        <f>IF(INDEX(Control!$Q$3:$S$62,MATCH($AB96,Control!$Q$3:$Q$62,0),MATCH(AS$8,Control!$Q$3:$S$3,0))=1,Control!$D$81*Control!$E$81,0)</f>
        <v>0.2</v>
      </c>
      <c r="AT96" s="562"/>
      <c r="AU96" s="562">
        <f>Control!$D$83/AD96</f>
        <v>0.14527845036319612</v>
      </c>
      <c r="AV96" s="562"/>
      <c r="AW96" s="561">
        <f t="shared" si="337"/>
        <v>1.732137570068659</v>
      </c>
      <c r="AX96" s="561">
        <f t="shared" si="315"/>
        <v>28.366520136654614</v>
      </c>
      <c r="AY96" s="561">
        <f t="shared" si="316"/>
        <v>0</v>
      </c>
      <c r="AZ96" s="588" t="e">
        <f t="shared" si="338"/>
        <v>#N/A</v>
      </c>
      <c r="BA96" s="563" t="e">
        <f t="shared" ref="BA96:BA100" si="347">$E96+AX96+AY96+AZ96</f>
        <v>#N/A</v>
      </c>
      <c r="BD96" s="531">
        <f t="shared" ref="BD96" si="348">$BD$28</f>
        <v>54</v>
      </c>
      <c r="BE96" s="530">
        <f t="shared" si="329"/>
        <v>46259</v>
      </c>
      <c r="BF96" s="530">
        <f t="shared" si="320"/>
        <v>46261</v>
      </c>
      <c r="BG96" s="650" t="str">
        <f t="shared" si="339"/>
        <v>Dubai</v>
      </c>
      <c r="BH96" s="675">
        <f>BH95</f>
        <v>46234</v>
      </c>
      <c r="BI96" s="676">
        <f t="shared" ref="BI96" si="349">BH96</f>
        <v>46234</v>
      </c>
      <c r="BJ96" s="735">
        <f>AG96*AD96</f>
        <v>55000000</v>
      </c>
      <c r="BK96" s="735">
        <f>AK96*AD96</f>
        <v>0</v>
      </c>
      <c r="BL96" s="735">
        <f t="shared" si="342"/>
        <v>1850000</v>
      </c>
      <c r="BM96" s="735">
        <f t="shared" si="325"/>
        <v>0</v>
      </c>
      <c r="BN96" s="735">
        <f t="shared" si="343"/>
        <v>874889.58219178102</v>
      </c>
      <c r="BO96" s="735">
        <f t="shared" si="344"/>
        <v>851974.49999999977</v>
      </c>
      <c r="BP96" s="778">
        <f t="shared" si="345"/>
        <v>56850000</v>
      </c>
      <c r="BQ96" s="778">
        <f t="shared" si="327"/>
        <v>56850000</v>
      </c>
    </row>
    <row r="97" spans="1:69" ht="18" customHeight="1" x14ac:dyDescent="0.35">
      <c r="A97">
        <f t="shared" si="333"/>
        <v>2.75</v>
      </c>
      <c r="B97" s="673">
        <f t="shared" ref="B97:B100" si="350">B96</f>
        <v>46202</v>
      </c>
      <c r="C97" s="551">
        <f t="shared" si="311"/>
        <v>46204</v>
      </c>
      <c r="D97" s="552"/>
      <c r="E97" s="552" t="e">
        <f>VLOOKUP(EOMONTH(B97,0),[3]FWD!$E$4:$J$11,6,FALSE)+A97</f>
        <v>#N/A</v>
      </c>
      <c r="F97" s="553">
        <v>9</v>
      </c>
      <c r="G97" s="554">
        <f t="shared" si="312"/>
        <v>46212</v>
      </c>
      <c r="H97"/>
      <c r="I97"/>
      <c r="J97"/>
      <c r="K97"/>
      <c r="L97"/>
      <c r="M97"/>
      <c r="N97"/>
      <c r="O97"/>
      <c r="P97"/>
      <c r="Q97"/>
      <c r="R97"/>
      <c r="S97"/>
      <c r="V97" s="556">
        <v>0</v>
      </c>
      <c r="W97" s="556">
        <f>INDEX(Control!$E$17:$J$21,MATCH(AA97,Control!$E$17:$E$21,0),MATCH(X97,Control!$E$17:$J$17,0))</f>
        <v>0.5</v>
      </c>
      <c r="X97" s="556" t="s">
        <v>38</v>
      </c>
      <c r="Y97" s="557">
        <v>270000</v>
      </c>
      <c r="Z97" s="558">
        <f>AD97/Control!$D$84</f>
        <v>265786.05549199082</v>
      </c>
      <c r="AA97" s="559" t="s">
        <v>25</v>
      </c>
      <c r="AB97" s="572" t="s">
        <v>114</v>
      </c>
      <c r="AC97" s="556">
        <f t="shared" si="334"/>
        <v>0</v>
      </c>
      <c r="AD97" s="304">
        <f t="shared" si="328"/>
        <v>2065000</v>
      </c>
      <c r="AE97" s="557">
        <v>1001</v>
      </c>
      <c r="AF97" s="734">
        <f>AF96-1000000</f>
        <v>54000000</v>
      </c>
      <c r="AG97" s="561">
        <f t="shared" si="335"/>
        <v>26.150121065375302</v>
      </c>
      <c r="AH97" s="763">
        <v>5</v>
      </c>
      <c r="AI97" s="795">
        <f t="shared" si="336"/>
        <v>0</v>
      </c>
      <c r="AJ97" s="796">
        <f>INDEX(Control!$AS$36:$AY$118,MATCH(Report!$AB97,Control!$AS$36:$AS$118,0),MATCH(Report!AJ$23,Control!$AS$36:$AY$36,0))</f>
        <v>28.5</v>
      </c>
      <c r="AK97" s="811">
        <f>AH97*VLOOKUP($AA97,Control!$F$75:$H$87,3,FALSE)/$AD97</f>
        <v>1.089588377723971</v>
      </c>
      <c r="AL97" s="787">
        <f>IF($AM$3=1,$AI97*Control!$D$77,0)</f>
        <v>0</v>
      </c>
      <c r="AM97" s="788">
        <f>IF($AM$4=1,$AJ97*Control!$D$77,0)</f>
        <v>0.37153068493150687</v>
      </c>
      <c r="AN97" s="562">
        <f>AN95</f>
        <v>2.7749999999999999</v>
      </c>
      <c r="AO97" s="557">
        <f>IF(K97="Corpus Christi",Control!$D$76,0)</f>
        <v>0</v>
      </c>
      <c r="AP97" s="557">
        <f>IF(AND(Control!$D$85-ROUNDUP(((AD97-VLOOKUP(AA97,Control!$J$76:$K$82,2,FALSE))),0)&gt;0,Control!$D$85-ROUNDUP(((AD97-VLOOKUP(AA97,Control!$J$76:$K$82,2,FALSE))),0)&lt;Control!$D$86-ROUNDUP(((AD97-VLOOKUP(AA97,Control!$J$76:$K$82,2,FALSE))),0)),Control!$D$85,Control!$D$86)</f>
        <v>850000</v>
      </c>
      <c r="AQ97" s="562">
        <f>Control!$D$78</f>
        <v>0</v>
      </c>
      <c r="AR97" s="562">
        <f>Control!$D$79</f>
        <v>6.7299999999999999E-2</v>
      </c>
      <c r="AS97" s="562">
        <f>IF(INDEX(Control!$Q$3:$S$62,MATCH($AB97,Control!$Q$3:$Q$62,0),MATCH(AS$8,Control!$Q$3:$S$3,0))=1,Control!$D$81*Control!$E$81,0)</f>
        <v>0.2</v>
      </c>
      <c r="AT97" s="562"/>
      <c r="AU97" s="562">
        <f>Control!$D$83/AD97</f>
        <v>0.14527845036319612</v>
      </c>
      <c r="AV97" s="562"/>
      <c r="AW97" s="561">
        <f t="shared" si="337"/>
        <v>4.6486975130186741</v>
      </c>
      <c r="AX97" s="561">
        <f t="shared" si="315"/>
        <v>30.798818578393977</v>
      </c>
      <c r="AY97" s="561">
        <f t="shared" si="316"/>
        <v>0</v>
      </c>
      <c r="AZ97" s="588" t="e">
        <f t="shared" si="338"/>
        <v>#N/A</v>
      </c>
      <c r="BA97" s="563" t="e">
        <f t="shared" si="347"/>
        <v>#N/A</v>
      </c>
      <c r="BB97" s="555"/>
      <c r="BC97" s="556"/>
      <c r="BD97" s="553">
        <f>WTI!BC46</f>
        <v>43</v>
      </c>
      <c r="BE97" s="551">
        <f t="shared" si="329"/>
        <v>46254</v>
      </c>
      <c r="BF97" s="551">
        <f t="shared" si="320"/>
        <v>46256</v>
      </c>
      <c r="BG97" s="651" t="str">
        <f t="shared" si="339"/>
        <v>Dubai</v>
      </c>
      <c r="BH97" s="564">
        <f>BH98</f>
        <v>46234</v>
      </c>
      <c r="BI97" s="672">
        <f t="shared" ref="BI97:BI99" si="351">IF($BD$7=1,EOMONTH(BF97,-1),EOMONTH(BF97,0))</f>
        <v>46234</v>
      </c>
      <c r="BJ97" s="735">
        <f>AG97*AD97</f>
        <v>54000000</v>
      </c>
      <c r="BK97" s="735">
        <f>AK97*AD97</f>
        <v>2250000</v>
      </c>
      <c r="BL97" s="735">
        <f t="shared" si="342"/>
        <v>5730375</v>
      </c>
      <c r="BM97" s="735">
        <f t="shared" si="325"/>
        <v>0</v>
      </c>
      <c r="BN97" s="735">
        <f t="shared" si="343"/>
        <v>767210.86438356165</v>
      </c>
      <c r="BO97" s="735">
        <f t="shared" si="344"/>
        <v>851974.50000000012</v>
      </c>
      <c r="BP97" s="779">
        <f t="shared" si="345"/>
        <v>61980375</v>
      </c>
      <c r="BQ97" s="779">
        <f t="shared" si="327"/>
        <v>61980375</v>
      </c>
    </row>
    <row r="98" spans="1:69" ht="18" customHeight="1" x14ac:dyDescent="0.35">
      <c r="A98">
        <f t="shared" si="333"/>
        <v>2.75</v>
      </c>
      <c r="B98" s="673">
        <f t="shared" si="350"/>
        <v>46202</v>
      </c>
      <c r="C98" s="678">
        <f t="shared" si="311"/>
        <v>46204</v>
      </c>
      <c r="D98" s="275"/>
      <c r="E98" s="275" t="e">
        <f>VLOOKUP(EOMONTH(B98,0),[3]FWD!$E$4:$J$11,6,FALSE)+A98</f>
        <v>#N/A</v>
      </c>
      <c r="F98" s="679">
        <v>3</v>
      </c>
      <c r="G98" s="680">
        <f t="shared" si="312"/>
        <v>46206</v>
      </c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351">
        <v>0</v>
      </c>
      <c r="W98" s="351" t="e">
        <f>INDEX(Control!$E$17:$J$21,MATCH(AA98,Control!$E$17:$E$21,0),MATCH(X98,Control!$E$17:$J$17,0))</f>
        <v>#N/A</v>
      </c>
      <c r="X98" s="351" t="s">
        <v>38</v>
      </c>
      <c r="Y98" s="344">
        <v>270000</v>
      </c>
      <c r="Z98" s="352">
        <f>AD98/Control!$D$84</f>
        <v>265786.05549199082</v>
      </c>
      <c r="AA98" s="559" t="s">
        <v>26</v>
      </c>
      <c r="AB98" s="572" t="s">
        <v>114</v>
      </c>
      <c r="AC98" s="556">
        <f t="shared" si="334"/>
        <v>0</v>
      </c>
      <c r="AD98" s="304">
        <f t="shared" si="328"/>
        <v>2065000</v>
      </c>
      <c r="AE98" s="557">
        <v>1001</v>
      </c>
      <c r="AF98" s="734">
        <f t="shared" si="346"/>
        <v>54000000</v>
      </c>
      <c r="AG98" s="561">
        <f t="shared" si="335"/>
        <v>26.150121065375302</v>
      </c>
      <c r="AH98" s="763"/>
      <c r="AI98" s="795">
        <f t="shared" si="336"/>
        <v>0</v>
      </c>
      <c r="AJ98" s="796">
        <f>INDEX(Control!$AS$36:$AY$118,MATCH(Report!$AB98,Control!$AS$36:$AS$118,0),MATCH(Report!AJ$23,Control!$AS$36:$AY$36,0))-6</f>
        <v>22.5</v>
      </c>
      <c r="AK98" s="811">
        <f>AH98*VLOOKUP($AA98,Control!$F$75:$H$87,3,FALSE)/$AD98</f>
        <v>0</v>
      </c>
      <c r="AL98" s="787">
        <f>IF($AM$3=1,$AI98*Control!$D$77,0)</f>
        <v>0</v>
      </c>
      <c r="AM98" s="788">
        <f>IF($AM$4=1,$AJ98*Control!$D$77,0)</f>
        <v>0.29331369863013701</v>
      </c>
      <c r="AN98" s="562">
        <f>IF(((AD98-VLOOKUP(AA98,Control!$J$76:$K$82,2,FALSE))/AP98)&lt;=0,0,ROUNDUP(((AD98-VLOOKUP(AA98,Control!$J$76:$K$82,2,FALSE))/Control!$D$86),0)*IF(AP98=Control!$D$86,Control!$H$91,Control!$H$90)/AD98)</f>
        <v>0.89588377723970947</v>
      </c>
      <c r="AO98" s="557">
        <f>IF(K98="Corpus Christi",Control!$D$76,0)</f>
        <v>0</v>
      </c>
      <c r="AP98" s="557">
        <f>IF(AND(Control!$D$85-ROUNDUP(((AD98-VLOOKUP(AA98,Control!$J$76:$K$82,2,FALSE))),0)&gt;0,Control!$D$85-ROUNDUP(((AD98-VLOOKUP(AA98,Control!$J$76:$K$82,2,FALSE))),0)&lt;Control!$D$86-ROUNDUP(((AD98-VLOOKUP(AA98,Control!$J$76:$K$82,2,FALSE))),0)),Control!$D$85,Control!$D$86)</f>
        <v>750000</v>
      </c>
      <c r="AQ98" s="562">
        <f>Control!$D$78</f>
        <v>0</v>
      </c>
      <c r="AR98" s="562">
        <f>Control!$D$79</f>
        <v>6.7299999999999999E-2</v>
      </c>
      <c r="AS98" s="562">
        <f>IF(INDEX(Control!$Q$3:$S$62,MATCH($AB98,Control!$Q$3:$Q$62,0),MATCH(AS$8,Control!$Q$3:$S$3,0))=1,Control!$D$81*Control!$E$81,0)</f>
        <v>0.2</v>
      </c>
      <c r="AT98" s="562"/>
      <c r="AU98" s="562">
        <f>Control!$D$83/AD98</f>
        <v>0.14527845036319612</v>
      </c>
      <c r="AV98" s="562"/>
      <c r="AW98" s="561">
        <f t="shared" si="337"/>
        <v>1.6017759262330424</v>
      </c>
      <c r="AX98" s="561">
        <f t="shared" si="315"/>
        <v>27.751896991608344</v>
      </c>
      <c r="AY98" s="561">
        <f t="shared" si="316"/>
        <v>0</v>
      </c>
      <c r="AZ98" s="588" t="e">
        <f t="shared" si="338"/>
        <v>#N/A</v>
      </c>
      <c r="BA98" s="563" t="e">
        <f t="shared" si="347"/>
        <v>#N/A</v>
      </c>
      <c r="BB98" s="350"/>
      <c r="BC98" s="350"/>
      <c r="BD98" s="679">
        <f>BD97</f>
        <v>43</v>
      </c>
      <c r="BE98" s="678">
        <f t="shared" si="329"/>
        <v>46248</v>
      </c>
      <c r="BF98" s="678">
        <f t="shared" si="320"/>
        <v>46250</v>
      </c>
      <c r="BG98" s="756" t="str">
        <f t="shared" si="339"/>
        <v>Dubai</v>
      </c>
      <c r="BH98" s="757">
        <f t="shared" ref="BH98" si="352">IF($BD$7=0,IF(BG98="ICE Brent",EOMONTH(BF98,2),EOMONTH(BF98,0)),IF(BG98="ICE Brent",EOMONTH(BF98,1),EOMONTH(BF98,-1)))</f>
        <v>46234</v>
      </c>
      <c r="BI98" s="690">
        <f t="shared" si="351"/>
        <v>46234</v>
      </c>
      <c r="BJ98" s="735">
        <f>AG98*AD98</f>
        <v>54000000</v>
      </c>
      <c r="BK98" s="735">
        <f>AK98*AD98</f>
        <v>0</v>
      </c>
      <c r="BL98" s="735">
        <f t="shared" si="342"/>
        <v>1850000</v>
      </c>
      <c r="BM98" s="735">
        <f t="shared" si="325"/>
        <v>0</v>
      </c>
      <c r="BN98" s="735">
        <f t="shared" si="343"/>
        <v>605692.78767123295</v>
      </c>
      <c r="BO98" s="735">
        <f t="shared" si="344"/>
        <v>851974.49999999965</v>
      </c>
      <c r="BP98" s="780">
        <f t="shared" si="345"/>
        <v>55850000</v>
      </c>
      <c r="BQ98" s="780">
        <f t="shared" si="327"/>
        <v>55850000</v>
      </c>
    </row>
    <row r="99" spans="1:69" ht="18" customHeight="1" x14ac:dyDescent="0.35">
      <c r="A99">
        <f t="shared" si="333"/>
        <v>2.75</v>
      </c>
      <c r="B99" s="673">
        <f t="shared" si="350"/>
        <v>46202</v>
      </c>
      <c r="C99" s="551">
        <f t="shared" si="311"/>
        <v>46204</v>
      </c>
      <c r="D99" s="552"/>
      <c r="E99" s="552" t="e">
        <f>VLOOKUP(EOMONTH(B99,0),[3]FWD!$E$4:$J$11,6,FALSE)+A99</f>
        <v>#N/A</v>
      </c>
      <c r="F99" s="553">
        <v>9</v>
      </c>
      <c r="G99" s="554">
        <f t="shared" si="312"/>
        <v>46212</v>
      </c>
      <c r="H99"/>
      <c r="I99"/>
      <c r="J99"/>
      <c r="K99"/>
      <c r="L99"/>
      <c r="M99"/>
      <c r="N99"/>
      <c r="O99"/>
      <c r="P99"/>
      <c r="Q99"/>
      <c r="R99"/>
      <c r="S99"/>
      <c r="V99" s="556">
        <v>0</v>
      </c>
      <c r="W99" s="556">
        <f>INDEX(Control!$E$17:$J$21,MATCH(AA99,Control!$E$17:$E$21,0),MATCH(X99,Control!$E$17:$J$17,0))</f>
        <v>0.5</v>
      </c>
      <c r="X99" s="556" t="s">
        <v>38</v>
      </c>
      <c r="Y99" s="557">
        <v>270000</v>
      </c>
      <c r="Z99" s="558">
        <f>AD99/Control!$D$84</f>
        <v>265786.05549199082</v>
      </c>
      <c r="AA99" s="559" t="s">
        <v>25</v>
      </c>
      <c r="AB99" s="572" t="s">
        <v>86</v>
      </c>
      <c r="AC99" s="556">
        <f t="shared" si="334"/>
        <v>0</v>
      </c>
      <c r="AD99" s="304">
        <f t="shared" si="328"/>
        <v>2065000</v>
      </c>
      <c r="AE99" s="557">
        <v>1001</v>
      </c>
      <c r="AF99" s="734">
        <f>AF95-1000000</f>
        <v>54000000</v>
      </c>
      <c r="AG99" s="561">
        <f t="shared" si="335"/>
        <v>26.150121065375302</v>
      </c>
      <c r="AH99" s="763">
        <v>5</v>
      </c>
      <c r="AI99" s="795" t="str">
        <f t="shared" si="336"/>
        <v>Level</v>
      </c>
      <c r="AJ99" s="796">
        <f>INDEX(Control!$AS$36:$AY$118,MATCH(Report!$AB99,Control!$AS$36:$AS$118,0),MATCH(Report!AJ$23,Control!$AS$36:$AY$36,0))</f>
        <v>25.5</v>
      </c>
      <c r="AK99" s="811">
        <f>AH99*VLOOKUP($AA99,Control!$F$75:$H$87,3,FALSE)/$AD99</f>
        <v>1.089588377723971</v>
      </c>
      <c r="AL99" s="787">
        <f>IF($AM$3=1,$AI99*Control!$D$77,0)</f>
        <v>0</v>
      </c>
      <c r="AM99" s="788">
        <f>IF($AM$4=1,$AJ99*Control!$D$77,0)</f>
        <v>0.33242219178082194</v>
      </c>
      <c r="AN99" s="562">
        <f>AN97</f>
        <v>2.7749999999999999</v>
      </c>
      <c r="AO99" s="557">
        <f>IF(K99="Corpus Christi",Control!$D$76,0)</f>
        <v>0</v>
      </c>
      <c r="AP99" s="557">
        <f>IF(AND(Control!$D$85-ROUNDUP(((AD99-VLOOKUP(AA99,Control!$J$76:$K$82,2,FALSE))),0)&gt;0,Control!$D$85-ROUNDUP(((AD99-VLOOKUP(AA99,Control!$J$76:$K$82,2,FALSE))),0)&lt;Control!$D$86-ROUNDUP(((AD99-VLOOKUP(AA99,Control!$J$76:$K$82,2,FALSE))),0)),Control!$D$85,Control!$D$86)</f>
        <v>850000</v>
      </c>
      <c r="AQ99" s="562">
        <f>Control!$D$78</f>
        <v>0</v>
      </c>
      <c r="AR99" s="562">
        <f>Control!$D$79</f>
        <v>6.7299999999999999E-2</v>
      </c>
      <c r="AS99" s="562">
        <f>IF(INDEX(Control!$Q$3:$S$62,MATCH($AB99,Control!$Q$3:$Q$62,0),MATCH(AS$8,Control!$Q$3:$S$3,0))=1,Control!$D$81*Control!$E$81,0)</f>
        <v>0.2</v>
      </c>
      <c r="AT99" s="562"/>
      <c r="AU99" s="562">
        <f>Control!$D$83/AD99</f>
        <v>0.14527845036319612</v>
      </c>
      <c r="AV99" s="562"/>
      <c r="AW99" s="561">
        <f t="shared" si="337"/>
        <v>4.6095890198679887</v>
      </c>
      <c r="AX99" s="561">
        <f t="shared" si="315"/>
        <v>30.759710085243292</v>
      </c>
      <c r="AY99" s="561">
        <f t="shared" si="316"/>
        <v>0</v>
      </c>
      <c r="AZ99" s="588" t="e">
        <f t="shared" ref="AZ99:AZ100" si="353">-HLOOKUP(EOMONTH(BH99,0),$BE$3:$BH$6,3,FALSE)</f>
        <v>#N/A</v>
      </c>
      <c r="BA99" s="563" t="e">
        <f t="shared" si="347"/>
        <v>#N/A</v>
      </c>
      <c r="BB99" s="555"/>
      <c r="BC99" s="556"/>
      <c r="BD99" s="553">
        <f>WTI!BC47</f>
        <v>48</v>
      </c>
      <c r="BE99" s="551">
        <f t="shared" si="329"/>
        <v>46259</v>
      </c>
      <c r="BF99" s="551">
        <f t="shared" si="320"/>
        <v>46261</v>
      </c>
      <c r="BG99" s="649" t="s">
        <v>157</v>
      </c>
      <c r="BH99" s="564">
        <f>BH100</f>
        <v>46234</v>
      </c>
      <c r="BI99" s="672">
        <f t="shared" si="351"/>
        <v>46234</v>
      </c>
      <c r="BJ99" s="735"/>
      <c r="BK99" s="735"/>
      <c r="BL99" s="735"/>
      <c r="BM99" s="735"/>
      <c r="BN99" s="735"/>
      <c r="BO99" s="735"/>
      <c r="BP99" s="920"/>
      <c r="BQ99" s="920"/>
    </row>
    <row r="100" spans="1:69" ht="18" customHeight="1" x14ac:dyDescent="0.35">
      <c r="A100">
        <f t="shared" si="333"/>
        <v>2.75</v>
      </c>
      <c r="B100" s="673">
        <f t="shared" si="350"/>
        <v>46202</v>
      </c>
      <c r="C100" s="530">
        <f t="shared" si="311"/>
        <v>46204</v>
      </c>
      <c r="E100" t="e">
        <f>VLOOKUP(EOMONTH(B100,0),[3]FWD!$E$4:$J$11,6,FALSE)+A100</f>
        <v>#N/A</v>
      </c>
      <c r="F100" s="531">
        <v>3</v>
      </c>
      <c r="G100" s="532">
        <f t="shared" si="312"/>
        <v>46206</v>
      </c>
      <c r="H100"/>
      <c r="I100"/>
      <c r="J100"/>
      <c r="K100"/>
      <c r="L100"/>
      <c r="M100"/>
      <c r="N100"/>
      <c r="O100"/>
      <c r="P100"/>
      <c r="Q100"/>
      <c r="R100"/>
      <c r="S100"/>
      <c r="V100" s="138">
        <v>0</v>
      </c>
      <c r="W100" s="138" t="e">
        <f>INDEX(Control!$E$17:$J$21,MATCH(AA100,Control!$E$17:$E$21,0),MATCH(X100,Control!$E$17:$J$17,0))</f>
        <v>#N/A</v>
      </c>
      <c r="X100" s="138" t="s">
        <v>38</v>
      </c>
      <c r="Y100" s="526">
        <v>270000</v>
      </c>
      <c r="Z100" s="527">
        <f>AD100/Control!$D$84</f>
        <v>265786.05549199082</v>
      </c>
      <c r="AA100" s="559" t="s">
        <v>26</v>
      </c>
      <c r="AB100" s="572" t="s">
        <v>86</v>
      </c>
      <c r="AC100" s="556">
        <f t="shared" si="334"/>
        <v>46171</v>
      </c>
      <c r="AD100" s="304">
        <f t="shared" si="328"/>
        <v>2065000</v>
      </c>
      <c r="AE100" s="557">
        <v>1001</v>
      </c>
      <c r="AF100" s="734">
        <f t="shared" ref="AF100" si="354">AF99</f>
        <v>54000000</v>
      </c>
      <c r="AG100" s="561">
        <f t="shared" si="335"/>
        <v>26.150121065375302</v>
      </c>
      <c r="AH100" s="763"/>
      <c r="AI100" s="795" t="e">
        <f t="shared" si="336"/>
        <v>#N/A</v>
      </c>
      <c r="AJ100" s="796">
        <f>INDEX(Control!$AS$36:$AY$118,MATCH(Report!$AB100,Control!$AS$36:$AS$118,0),MATCH(Report!AJ$23,Control!$AS$36:$AY$36,0))-6</f>
        <v>19.5</v>
      </c>
      <c r="AK100" s="811">
        <f>AH100*VLOOKUP($AA100,Control!$F$75:$H$87,3,FALSE)/$AD100</f>
        <v>0</v>
      </c>
      <c r="AL100" s="787">
        <f>IF($AM$3=1,$AI100*Control!$D$77,0)</f>
        <v>0</v>
      </c>
      <c r="AM100" s="788">
        <f>IF($AM$4=1,$AJ100*Control!$D$77,0)</f>
        <v>0.25420520547945208</v>
      </c>
      <c r="AN100" s="562">
        <f>IF(((AD100-VLOOKUP(AA100,Control!$J$76:$K$82,2,FALSE))/AP100)&lt;=0,0,ROUNDUP(((AD100-VLOOKUP(AA100,Control!$J$76:$K$82,2,FALSE))/Control!$D$86),0)*IF(AP100=Control!$D$86,Control!$H$91,Control!$H$90)/AD100)</f>
        <v>0.89588377723970947</v>
      </c>
      <c r="AO100" s="557">
        <f>IF(K100="Corpus Christi",Control!$D$76,0)</f>
        <v>0</v>
      </c>
      <c r="AP100" s="557">
        <f>IF(AND(Control!$D$85-ROUNDUP(((AD100-VLOOKUP(AA100,Control!$J$76:$K$82,2,FALSE))),0)&gt;0,Control!$D$85-ROUNDUP(((AD100-VLOOKUP(AA100,Control!$J$76:$K$82,2,FALSE))),0)&lt;Control!$D$86-ROUNDUP(((AD100-VLOOKUP(AA100,Control!$J$76:$K$82,2,FALSE))),0)),Control!$D$85,Control!$D$86)</f>
        <v>750000</v>
      </c>
      <c r="AQ100" s="562">
        <f>Control!$D$78</f>
        <v>0</v>
      </c>
      <c r="AR100" s="562">
        <f>Control!$D$79</f>
        <v>6.7299999999999999E-2</v>
      </c>
      <c r="AS100" s="562">
        <f>IF(INDEX(Control!$Q$3:$S$62,MATCH($AB100,Control!$Q$3:$Q$62,0),MATCH(AS$8,Control!$Q$3:$S$3,0))=1,Control!$D$81*Control!$E$81,0)</f>
        <v>0.2</v>
      </c>
      <c r="AT100" s="562"/>
      <c r="AU100" s="562">
        <f>Control!$D$83/AD100</f>
        <v>0.14527845036319612</v>
      </c>
      <c r="AV100" s="562"/>
      <c r="AW100" s="561">
        <f t="shared" si="337"/>
        <v>1.5626674330823576</v>
      </c>
      <c r="AX100" s="561">
        <f t="shared" si="315"/>
        <v>27.712788498457659</v>
      </c>
      <c r="AY100" s="561">
        <f t="shared" si="316"/>
        <v>0</v>
      </c>
      <c r="AZ100" s="588" t="e">
        <f t="shared" si="353"/>
        <v>#N/A</v>
      </c>
      <c r="BA100" s="563" t="e">
        <f t="shared" si="347"/>
        <v>#N/A</v>
      </c>
      <c r="BD100" s="531">
        <f t="shared" ref="BD100" si="355">$BD$32</f>
        <v>43</v>
      </c>
      <c r="BE100" s="530">
        <f t="shared" si="329"/>
        <v>46248</v>
      </c>
      <c r="BF100" s="530">
        <f t="shared" si="320"/>
        <v>46250</v>
      </c>
      <c r="BG100" s="650" t="s">
        <v>157</v>
      </c>
      <c r="BH100" s="675">
        <f>IF($BI$7=0,IF(BG100="ICE Brent",EOMONTH(BF100,2),EOMONTH(BF100,0)),IF(BG100="ICE Brent",EOMONTH(BF100,1),EOMONTH(BF100,-1)))</f>
        <v>46234</v>
      </c>
      <c r="BI100" s="676">
        <f t="shared" ref="BI100" si="356">BH100</f>
        <v>46234</v>
      </c>
      <c r="BJ100" s="735"/>
      <c r="BK100" s="735"/>
      <c r="BL100" s="735"/>
      <c r="BM100" s="735"/>
      <c r="BN100" s="735"/>
      <c r="BO100" s="735"/>
      <c r="BP100" s="920"/>
      <c r="BQ100" s="920"/>
    </row>
    <row r="101" spans="1:69" s="2" customFormat="1" x14ac:dyDescent="0.35">
      <c r="D101"/>
      <c r="E101" t="s">
        <v>21</v>
      </c>
      <c r="F101" s="1026" t="s">
        <v>167</v>
      </c>
      <c r="G101" s="1026"/>
      <c r="M101" s="124"/>
      <c r="P101"/>
      <c r="Q101"/>
      <c r="R101"/>
      <c r="S101"/>
      <c r="T101"/>
      <c r="U101"/>
      <c r="V101"/>
      <c r="W101"/>
      <c r="X101"/>
      <c r="Y101"/>
      <c r="Z101"/>
      <c r="AA101" s="7" t="s">
        <v>239</v>
      </c>
      <c r="AB101"/>
      <c r="AC101"/>
      <c r="AD101" s="485"/>
      <c r="AE101"/>
      <c r="AF101"/>
      <c r="AG101" s="485"/>
      <c r="AH101"/>
      <c r="AI101" s="485"/>
      <c r="AJ101" s="485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 s="152"/>
      <c r="BP101" s="735"/>
    </row>
    <row r="102" spans="1:69" s="2" customFormat="1" x14ac:dyDescent="0.35">
      <c r="D102"/>
      <c r="E102" t="s">
        <v>257</v>
      </c>
      <c r="F102" s="859">
        <f>B49</f>
        <v>46174</v>
      </c>
      <c r="G102" s="859">
        <f>F102+1</f>
        <v>46175</v>
      </c>
      <c r="M102" s="124"/>
      <c r="P102"/>
      <c r="Q102"/>
      <c r="R102" t="str">
        <f>AD49/1000&amp;" test"</f>
        <v>700 test</v>
      </c>
      <c r="S102"/>
      <c r="T102"/>
      <c r="U102"/>
      <c r="V102"/>
      <c r="W102"/>
      <c r="X102"/>
      <c r="Y102"/>
      <c r="Z102"/>
      <c r="AA102" t="e">
        <f>AD49/1000&amp;"kb WTI +/- 1% s.o. CIF"&amp;" "&amp;AB49&amp;" "&amp;TEXT(BE49,"mmm-dd")&amp;" - "&amp;TEXT(BE49+4,"mmm-dd")&amp;"; "&amp;TEXT(BH49,"mmm")&amp;" "&amp;BG49&amp;" "&amp;TEXT(ROUND(BA49,1),("+0.00;-0.00;0"))&amp;" || Load "&amp;TEXT(F102,"Mmm-dd")&amp;" - "&amp;TEXT(G102,"Mmm-dd")&amp;" ex"&amp;E102</f>
        <v>#N/A</v>
      </c>
      <c r="AB102"/>
      <c r="AC102"/>
      <c r="AD102" s="485"/>
      <c r="AE102"/>
      <c r="AF102"/>
      <c r="AG102" s="21"/>
      <c r="AH102"/>
      <c r="AI102" s="485"/>
      <c r="AJ102" s="485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 s="495"/>
      <c r="BD102" s="43"/>
      <c r="BP102" s="735"/>
    </row>
    <row r="103" spans="1:69" s="2" customFormat="1" x14ac:dyDescent="0.35">
      <c r="D103"/>
      <c r="E103" t="s">
        <v>57</v>
      </c>
      <c r="F103" s="859">
        <f>B50</f>
        <v>46174</v>
      </c>
      <c r="G103" s="859">
        <f t="shared" ref="G103:G106" si="357">F103+1</f>
        <v>46175</v>
      </c>
      <c r="M103" s="124"/>
      <c r="P103"/>
      <c r="Q103"/>
      <c r="R103"/>
      <c r="S103"/>
      <c r="T103"/>
      <c r="U103"/>
      <c r="V103"/>
      <c r="W103"/>
      <c r="X103"/>
      <c r="Y103"/>
      <c r="Z103"/>
      <c r="AA103" t="e">
        <f>AD50/1000&amp;"kb WTI +/- 1% s.o. CIF"&amp;" "&amp;AB50&amp;" "&amp;TEXT(BE50,"mmm-dd")&amp;" - "&amp;TEXT(BE50+4,"mmm-dd")&amp;"; "&amp;TEXT(BH50,"mmm")&amp;" "&amp;BG50&amp;" "&amp;TEXT(ROUND(BA50,1),("+0.00;-0.00;0"))&amp;" || Load "&amp;TEXT(F103,"Mmm-dd")&amp;" - "&amp;TEXT(G103,"Mmm-dd")&amp;" ex"&amp;E103</f>
        <v>#N/A</v>
      </c>
      <c r="AB103"/>
      <c r="AC103"/>
      <c r="AD103" s="485"/>
      <c r="AE103"/>
      <c r="AF103"/>
      <c r="AG103" s="486"/>
      <c r="AH103" s="308"/>
      <c r="AI103" s="485"/>
      <c r="AJ103" s="485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 s="495"/>
      <c r="BD103" s="43"/>
      <c r="BP103" s="735"/>
    </row>
    <row r="104" spans="1:69" s="2" customFormat="1" x14ac:dyDescent="0.35">
      <c r="D104"/>
      <c r="E104" t="s">
        <v>257</v>
      </c>
      <c r="F104" s="859">
        <f>B51</f>
        <v>46180</v>
      </c>
      <c r="G104" s="859">
        <f t="shared" si="357"/>
        <v>46181</v>
      </c>
      <c r="M104" s="124"/>
      <c r="P104"/>
      <c r="Q104"/>
      <c r="R104"/>
      <c r="S104"/>
      <c r="T104"/>
      <c r="U104"/>
      <c r="V104"/>
      <c r="W104"/>
      <c r="X104"/>
      <c r="Y104"/>
      <c r="Z104"/>
      <c r="AA104" t="e">
        <f>AD51/1000&amp;"kb WTI +/- 1% s.o. CIF"&amp;" "&amp;AB51&amp;" "&amp;TEXT(BE51,"mmm-dd")&amp;" - "&amp;TEXT(BE51+4,"mmm-dd")&amp;"; "&amp;TEXT(BH51,"mmm")&amp;" "&amp;BG51&amp;" "&amp;TEXT(ROUND(BA51,1),("+0.00;-0.00;0"))&amp;" || Load "&amp;TEXT(F104,"Mmm-dd")&amp;" - "&amp;TEXT(G104,"Mmm-dd")&amp;" ex"&amp;E104</f>
        <v>#N/A</v>
      </c>
      <c r="AB104"/>
      <c r="AC104"/>
      <c r="AD104" s="485"/>
      <c r="AE104"/>
      <c r="AF104"/>
      <c r="AG104" s="485"/>
      <c r="AH104"/>
      <c r="AI104" s="485"/>
      <c r="AJ104" s="485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 s="495"/>
      <c r="BD104" s="43"/>
      <c r="BP104" s="735"/>
    </row>
    <row r="105" spans="1:69" s="2" customFormat="1" x14ac:dyDescent="0.35">
      <c r="D105"/>
      <c r="E105" t="s">
        <v>57</v>
      </c>
      <c r="F105" s="859">
        <f>B52</f>
        <v>46184</v>
      </c>
      <c r="G105" s="859">
        <f t="shared" si="357"/>
        <v>46185</v>
      </c>
      <c r="M105" s="124"/>
      <c r="P105"/>
      <c r="Q105"/>
      <c r="R105"/>
      <c r="S105"/>
      <c r="T105"/>
      <c r="U105"/>
      <c r="V105"/>
      <c r="W105"/>
      <c r="X105"/>
      <c r="Y105"/>
      <c r="Z105"/>
      <c r="AA105" t="e">
        <f>AD52/1000&amp;"kb WTI +/- 1% s.o. CIF"&amp;" "&amp;AB52&amp;" "&amp;TEXT(BE52,"mmm-dd")&amp;" - "&amp;TEXT(BE52+4,"mmm-dd")&amp;"; "&amp;TEXT(BH52,"mmm")&amp;" "&amp;BG52&amp;" "&amp;TEXT(ROUND(BA52,1),("+0.00;-0.00;0"))&amp;" || Load "&amp;TEXT(F105,"Mmm-dd")&amp;" - "&amp;TEXT(G105,"Mmm-dd")&amp;" ex"&amp;E105</f>
        <v>#N/A</v>
      </c>
      <c r="AB105"/>
      <c r="AC105"/>
      <c r="AD105" s="485"/>
      <c r="AE105"/>
      <c r="AF105"/>
      <c r="AG105" s="485"/>
      <c r="AH105"/>
      <c r="AI105" s="485"/>
      <c r="AJ105" s="48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 s="495"/>
      <c r="BD105" s="43"/>
      <c r="BP105" s="735"/>
    </row>
    <row r="106" spans="1:69" s="2" customFormat="1" x14ac:dyDescent="0.35">
      <c r="D106"/>
      <c r="E106" t="s">
        <v>57</v>
      </c>
      <c r="F106" s="859">
        <f>B53</f>
        <v>46187</v>
      </c>
      <c r="G106" s="859">
        <f t="shared" si="357"/>
        <v>46188</v>
      </c>
      <c r="M106" s="124"/>
      <c r="P106"/>
      <c r="Q106"/>
      <c r="R106"/>
      <c r="S106"/>
      <c r="T106"/>
      <c r="U106"/>
      <c r="V106"/>
      <c r="W106"/>
      <c r="X106"/>
      <c r="Y106"/>
      <c r="Z106"/>
      <c r="AA106" t="e">
        <f>AD53/1000&amp;"kb WTI +/- 1% s.o. CIF"&amp;" "&amp;AB53&amp;" "&amp;TEXT(BE53,"mmm-dd")&amp;" - "&amp;TEXT(BE53+4,"mmm-dd")&amp;"; "&amp;TEXT(BH53,"mmm")&amp;" "&amp;BG53&amp;" "&amp;TEXT(ROUND(BA53,1),("+0.00;-0.00;0"))&amp;" || Load "&amp;TEXT(F106,"Mmm-dd")&amp;" - "&amp;TEXT(G106,"Mmm-dd")&amp;" ex"&amp;E106</f>
        <v>#N/A</v>
      </c>
      <c r="AB106"/>
      <c r="AC106"/>
      <c r="AD106" s="485"/>
      <c r="AE106"/>
      <c r="AF106"/>
      <c r="AG106" s="485"/>
      <c r="AH106"/>
      <c r="AI106" s="485"/>
      <c r="AJ106" s="485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 s="495"/>
      <c r="BD106" s="43"/>
      <c r="BP106" s="735"/>
    </row>
    <row r="107" spans="1:69" s="2" customFormat="1" x14ac:dyDescent="0.35">
      <c r="D107"/>
      <c r="E107"/>
      <c r="F107" s="859"/>
      <c r="G107" s="859"/>
      <c r="M107" s="124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 s="485"/>
      <c r="AE107"/>
      <c r="AF107"/>
      <c r="AG107" s="485"/>
      <c r="AH107"/>
      <c r="AI107" s="485"/>
      <c r="AJ107" s="485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 s="495"/>
      <c r="BD107" s="43"/>
      <c r="BP107" s="735"/>
    </row>
    <row r="108" spans="1:69" s="2" customFormat="1" x14ac:dyDescent="0.35"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T108"/>
      <c r="U108"/>
      <c r="V108"/>
      <c r="W108"/>
      <c r="X108"/>
      <c r="Z108"/>
      <c r="AA108" s="7" t="s">
        <v>258</v>
      </c>
      <c r="AB108"/>
      <c r="AC108"/>
      <c r="AD108" s="485"/>
      <c r="AE108"/>
      <c r="AF108"/>
      <c r="AG108" s="485"/>
      <c r="AH108"/>
      <c r="AI108" s="485"/>
      <c r="AJ108" s="485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 s="495"/>
      <c r="BD108" s="43"/>
      <c r="BP108" s="735"/>
    </row>
    <row r="109" spans="1:69" s="2" customFormat="1" x14ac:dyDescent="0.35">
      <c r="D109"/>
      <c r="E109" t="s">
        <v>257</v>
      </c>
      <c r="F109" s="859">
        <f>B58</f>
        <v>46191</v>
      </c>
      <c r="G109" s="859">
        <f t="shared" ref="G109" si="358">F109+1</f>
        <v>46192</v>
      </c>
      <c r="H109" s="509">
        <v>4</v>
      </c>
      <c r="I109"/>
      <c r="J109"/>
      <c r="K109"/>
      <c r="L109"/>
      <c r="M109"/>
      <c r="N109"/>
      <c r="O109"/>
      <c r="P109"/>
      <c r="Q109"/>
      <c r="T109"/>
      <c r="U109"/>
      <c r="V109"/>
      <c r="W109"/>
      <c r="X109"/>
      <c r="Z109"/>
      <c r="AA109" t="e">
        <f>"2,000kb WTI +/- 1% s.o. CIF"&amp;" "&amp;AB58&amp;" "&amp;TEXT(BE59,"mmm-dd")&amp;" - "&amp;TEXT(BE59+4,"mmm-dd")&amp;"; "&amp;TEXT(BH59,"mmm")&amp;" "&amp;BG59&amp;" "&amp;TEXT(ROUND(AVERAGE(BA58,BA59),1),("+0.00;-0.00;0"))</f>
        <v>#N/A</v>
      </c>
      <c r="AB109"/>
      <c r="AC109"/>
      <c r="AD109" s="485"/>
      <c r="AE109"/>
      <c r="AF109"/>
      <c r="AG109" s="485"/>
      <c r="AH109"/>
      <c r="AI109" s="485"/>
      <c r="AJ109" s="485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 s="495"/>
      <c r="BD109" s="43"/>
      <c r="BP109" s="735"/>
    </row>
    <row r="110" spans="1:69" s="2" customFormat="1" x14ac:dyDescent="0.35">
      <c r="D110"/>
      <c r="E110"/>
      <c r="F110" s="859"/>
      <c r="G110" s="859"/>
      <c r="H110" s="509">
        <v>1</v>
      </c>
      <c r="I110"/>
      <c r="J110"/>
      <c r="K110"/>
      <c r="L110"/>
      <c r="M110"/>
      <c r="N110"/>
      <c r="O110" t="s">
        <v>242</v>
      </c>
      <c r="P110"/>
      <c r="Q110"/>
      <c r="T110"/>
      <c r="U110"/>
      <c r="V110"/>
      <c r="W110"/>
      <c r="X110"/>
      <c r="Z110"/>
      <c r="AA110" t="e">
        <f>"2,000kb WTI +/- 1% s.o. CIF"&amp;" "&amp;AB60&amp;" "&amp;TEXT(BE61,"mmm-dd")&amp;" - "&amp;TEXT(BE60+4,"mmm-dd")&amp;"; "&amp;TEXT(BH61,"mmm")&amp;" "&amp;BG61&amp;" "&amp;TEXT(ROUND(AVERAGE(BA60,BA61),1),("+0.00;-0.00;0"))</f>
        <v>#N/A</v>
      </c>
      <c r="AB110"/>
      <c r="AC110"/>
      <c r="AD110" s="485"/>
      <c r="AE110"/>
      <c r="AF110"/>
      <c r="AG110" s="485"/>
      <c r="AH110"/>
      <c r="AI110" s="485"/>
      <c r="AJ110" s="485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 s="495"/>
      <c r="BD110" s="43"/>
      <c r="BF110" s="2">
        <v>1350</v>
      </c>
      <c r="BG110" s="2">
        <v>60</v>
      </c>
      <c r="BP110" s="735"/>
    </row>
    <row r="111" spans="1:69" s="2" customFormat="1" x14ac:dyDescent="0.35">
      <c r="D111"/>
      <c r="E111"/>
      <c r="F111" s="859"/>
      <c r="G111" s="859"/>
      <c r="H111" s="509"/>
      <c r="I111"/>
      <c r="J111"/>
      <c r="K111"/>
      <c r="L111"/>
      <c r="M111"/>
      <c r="N111"/>
      <c r="O111"/>
      <c r="P111"/>
      <c r="Q111"/>
      <c r="T111"/>
      <c r="U111"/>
      <c r="V111"/>
      <c r="W111"/>
      <c r="X111"/>
      <c r="Z111"/>
      <c r="AA111"/>
      <c r="AB111"/>
      <c r="AC111"/>
      <c r="AD111" s="485"/>
      <c r="AE111"/>
      <c r="AF111"/>
      <c r="AG111" s="485"/>
      <c r="AH111"/>
      <c r="AI111" s="485"/>
      <c r="AJ111" s="485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 s="495"/>
      <c r="BD111" s="43"/>
      <c r="BP111" s="735"/>
    </row>
    <row r="112" spans="1:69" s="2" customFormat="1" x14ac:dyDescent="0.35">
      <c r="D112"/>
      <c r="E112" t="s">
        <v>257</v>
      </c>
      <c r="F112" s="859">
        <f>B91</f>
        <v>46202</v>
      </c>
      <c r="G112" s="859">
        <f t="shared" ref="G112" si="359">F112+1</f>
        <v>46203</v>
      </c>
      <c r="H112" s="509">
        <v>4</v>
      </c>
      <c r="I112"/>
      <c r="J112"/>
      <c r="K112"/>
      <c r="L112"/>
      <c r="M112"/>
      <c r="N112"/>
      <c r="O112"/>
      <c r="P112"/>
      <c r="Q112"/>
      <c r="T112"/>
      <c r="U112"/>
      <c r="V112"/>
      <c r="W112"/>
      <c r="X112"/>
      <c r="Z112"/>
      <c r="AA112" t="e">
        <f>"2,000kb WTI +/- 1% s.o. CIF"&amp;" "&amp;AB58&amp;" "&amp;TEXT(BE92,"mmm-dd")&amp;" - "&amp;TEXT(BE92+4,"mmm-dd")&amp;"; "&amp;TEXT(BH59,"mmm")&amp;" "&amp;BG92&amp;" "&amp;TEXT(ROUND(AVERAGE(BA92,BA91),1),("+0.00;-0.00;0"))</f>
        <v>#N/A</v>
      </c>
      <c r="AB112"/>
      <c r="AC112"/>
      <c r="AE112"/>
      <c r="AF112"/>
      <c r="AG112" s="485"/>
      <c r="AH112"/>
      <c r="AI112" s="485"/>
      <c r="AJ112" s="485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 s="495"/>
      <c r="BD112" s="43"/>
      <c r="BF112" s="2">
        <v>700</v>
      </c>
      <c r="BG112" s="2">
        <v>20</v>
      </c>
      <c r="BP112" s="735"/>
    </row>
    <row r="113" spans="4:75" s="2" customFormat="1" x14ac:dyDescent="0.35">
      <c r="D113"/>
      <c r="E113"/>
      <c r="F113" s="859"/>
      <c r="G113" s="859"/>
      <c r="H113" s="509">
        <v>1</v>
      </c>
      <c r="I113"/>
      <c r="J113"/>
      <c r="K113"/>
      <c r="L113"/>
      <c r="M113"/>
      <c r="N113"/>
      <c r="O113" t="s">
        <v>242</v>
      </c>
      <c r="P113"/>
      <c r="Q113"/>
      <c r="T113"/>
      <c r="U113"/>
      <c r="V113"/>
      <c r="W113"/>
      <c r="X113"/>
      <c r="Z113"/>
      <c r="AA113" t="e">
        <f>"2,000kb WTI +/- 1% s.o. CIF"&amp;" "&amp;AB93&amp;" "&amp;TEXT(BE94,"mmm-dd")&amp;" - "&amp;TEXT(BE94+4,"mmm-dd")&amp;"; "&amp;TEXT(BH94,"mmm")&amp;" "&amp;BG94&amp;" "&amp;TEXT(ROUND(AVERAGE(BA94,BA93),1),("+0.00;-0.00;0"))</f>
        <v>#N/A</v>
      </c>
      <c r="AB113"/>
      <c r="AC113"/>
      <c r="AD113" s="485"/>
      <c r="AE113"/>
      <c r="AF113"/>
      <c r="AG113" s="485"/>
      <c r="AH113"/>
      <c r="AI113" s="485"/>
      <c r="AJ113" s="485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 s="495"/>
      <c r="BD113" s="43"/>
      <c r="BP113" s="735"/>
    </row>
    <row r="114" spans="4:75" s="2" customFormat="1" ht="16" thickBot="1" x14ac:dyDescent="0.4">
      <c r="D114"/>
      <c r="E114"/>
      <c r="F114"/>
      <c r="G114" s="43"/>
      <c r="H114" s="509"/>
      <c r="I114"/>
      <c r="J114"/>
      <c r="K114"/>
      <c r="L114"/>
      <c r="M114"/>
      <c r="N114"/>
      <c r="O114"/>
      <c r="P114"/>
      <c r="Q114"/>
      <c r="T114"/>
      <c r="U114"/>
      <c r="V114"/>
      <c r="W114"/>
      <c r="X114"/>
      <c r="Z114"/>
      <c r="AA114"/>
      <c r="AB114"/>
      <c r="AC114"/>
      <c r="AD114" s="485"/>
      <c r="AE114"/>
      <c r="AF114"/>
      <c r="AG114" s="485"/>
      <c r="AH114"/>
      <c r="AI114" s="485"/>
      <c r="AJ114" s="485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 s="495"/>
      <c r="BD114" s="43"/>
      <c r="BP114" s="735"/>
    </row>
    <row r="115" spans="4:75" s="2" customFormat="1" ht="16" thickBot="1" x14ac:dyDescent="0.4">
      <c r="D115"/>
      <c r="E115"/>
      <c r="F115"/>
      <c r="G115" s="43"/>
      <c r="H115" s="509">
        <v>3</v>
      </c>
      <c r="I115"/>
      <c r="J115"/>
      <c r="K115"/>
      <c r="L115"/>
      <c r="M115"/>
      <c r="N115"/>
      <c r="O115"/>
      <c r="P115"/>
      <c r="Q115"/>
      <c r="T115"/>
      <c r="U115"/>
      <c r="V115"/>
      <c r="W115"/>
      <c r="X115"/>
      <c r="Y115"/>
      <c r="Z115"/>
      <c r="AA115"/>
      <c r="AB115" s="1029" t="str">
        <f>"WTI AVAILS EOD|"&amp;" "&amp;TEXT([4]PnL26!$O$1,"Mmm-dd")</f>
        <v>WTI AVAILS EOD| Jan-00</v>
      </c>
      <c r="AC115" s="1030"/>
      <c r="AD115" s="1030"/>
      <c r="AE115" s="1030"/>
      <c r="AF115" s="1030"/>
      <c r="AG115" s="1030"/>
      <c r="AH115" s="1030"/>
      <c r="AI115" s="1030"/>
      <c r="AJ115" s="1030"/>
      <c r="AK115" s="1031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 s="495"/>
      <c r="BD115" s="43"/>
      <c r="BP115" s="735"/>
    </row>
    <row r="116" spans="4:75" s="2" customFormat="1" ht="16" thickBot="1" x14ac:dyDescent="0.4">
      <c r="D116"/>
      <c r="E116"/>
      <c r="F116"/>
      <c r="G116" s="43"/>
      <c r="H116" s="509"/>
      <c r="I116"/>
      <c r="J116"/>
      <c r="K116"/>
      <c r="L116"/>
      <c r="M116"/>
      <c r="N116"/>
      <c r="O116"/>
      <c r="P116"/>
      <c r="Q116"/>
      <c r="T116"/>
      <c r="U116"/>
      <c r="V116"/>
      <c r="W116"/>
      <c r="X116"/>
      <c r="Y116"/>
      <c r="Z116"/>
      <c r="AA116"/>
      <c r="AB116" s="919"/>
      <c r="AC116" s="919"/>
      <c r="AD116" s="919"/>
      <c r="AE116" s="79"/>
      <c r="AF116" s="79"/>
      <c r="AG116" s="79"/>
      <c r="AH116" s="79"/>
      <c r="AI116" s="79"/>
      <c r="AJ116" s="485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 s="495"/>
      <c r="BD116" s="43"/>
      <c r="BP116" s="735"/>
    </row>
    <row r="117" spans="4:75" s="2" customFormat="1" ht="16" thickBot="1" x14ac:dyDescent="0.4">
      <c r="D117"/>
      <c r="E117"/>
      <c r="F117"/>
      <c r="G117" s="43"/>
      <c r="H117" s="509">
        <v>3</v>
      </c>
      <c r="I117"/>
      <c r="J117"/>
      <c r="K117"/>
      <c r="L117"/>
      <c r="M117"/>
      <c r="N117"/>
      <c r="O117"/>
      <c r="P117"/>
      <c r="Q117"/>
      <c r="T117"/>
      <c r="U117"/>
      <c r="V117"/>
      <c r="W117"/>
      <c r="X117"/>
      <c r="Y117"/>
      <c r="Z117"/>
      <c r="AA117"/>
      <c r="AB117" s="1029" t="s">
        <v>259</v>
      </c>
      <c r="AC117" s="1030"/>
      <c r="AD117" s="1030"/>
      <c r="AE117" s="1030"/>
      <c r="AF117" s="1030"/>
      <c r="AG117" s="1030"/>
      <c r="AH117" s="1030"/>
      <c r="AI117" s="1030"/>
      <c r="AJ117" s="1030"/>
      <c r="AK117" s="1031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 s="495"/>
      <c r="BD117" s="43"/>
      <c r="BP117" s="735"/>
    </row>
    <row r="118" spans="4:75" s="2" customFormat="1" ht="16.5" customHeight="1" x14ac:dyDescent="0.35">
      <c r="D118"/>
      <c r="E118"/>
      <c r="F118"/>
      <c r="G118" s="43"/>
      <c r="H118" s="509">
        <v>1</v>
      </c>
      <c r="I118"/>
      <c r="J118"/>
      <c r="K118"/>
      <c r="L118"/>
      <c r="M118"/>
      <c r="N118"/>
      <c r="O118"/>
      <c r="P118"/>
      <c r="Q118"/>
      <c r="T118"/>
      <c r="U118"/>
      <c r="V118"/>
      <c r="W118"/>
      <c r="X118"/>
      <c r="Y118"/>
      <c r="Z118"/>
      <c r="AA118"/>
      <c r="AB118" s="1027" t="s">
        <v>167</v>
      </c>
      <c r="AC118" s="1028"/>
      <c r="AD118" s="475" t="s">
        <v>177</v>
      </c>
      <c r="AE118"/>
      <c r="AF118" s="1035" t="str">
        <f>AF130</f>
        <v>Arrival Window</v>
      </c>
      <c r="AG118" s="1028"/>
      <c r="AH118" s="475" t="s">
        <v>260</v>
      </c>
      <c r="AI118" s="965" t="s">
        <v>261</v>
      </c>
      <c r="AJ118" s="849" t="s">
        <v>262</v>
      </c>
      <c r="AK118" s="948" t="s">
        <v>203</v>
      </c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 s="495"/>
      <c r="BD118" s="43"/>
      <c r="BP118" s="735"/>
    </row>
    <row r="119" spans="4:75" s="2" customFormat="1" hidden="1" x14ac:dyDescent="0.35">
      <c r="D119"/>
      <c r="E119"/>
      <c r="F119">
        <v>1</v>
      </c>
      <c r="G119" s="77">
        <v>700</v>
      </c>
      <c r="H119" s="509">
        <v>3</v>
      </c>
      <c r="I119"/>
      <c r="J119"/>
      <c r="K119"/>
      <c r="L119"/>
      <c r="M119"/>
      <c r="N119"/>
      <c r="O119"/>
      <c r="P119"/>
      <c r="Q119"/>
      <c r="T119"/>
      <c r="U119"/>
      <c r="V119"/>
      <c r="W119"/>
      <c r="X119"/>
      <c r="Y119"/>
      <c r="Z119"/>
      <c r="AA119" t="s">
        <v>257</v>
      </c>
      <c r="AB119" s="954">
        <v>46170</v>
      </c>
      <c r="AC119" s="955">
        <f>+AB119+1</f>
        <v>46171</v>
      </c>
      <c r="AD119" s="956" t="s">
        <v>42</v>
      </c>
      <c r="AE119" s="364"/>
      <c r="AF119" s="971">
        <f t="shared" ref="AF119" si="360">AC119+17</f>
        <v>46188</v>
      </c>
      <c r="AG119" s="955">
        <f>AF119+4</f>
        <v>46192</v>
      </c>
      <c r="AH119" s="957" t="str">
        <f t="shared" ref="AH119:AH127" si="361">TEXT(BH49,"Mmm")&amp;" "&amp;BG49</f>
        <v>Jun Dated</v>
      </c>
      <c r="AI119" s="958" t="e">
        <f t="shared" ref="AI119:AI127" si="362">CEILING(BA49,0.05)</f>
        <v>#N/A</v>
      </c>
      <c r="AJ119" s="959">
        <f t="shared" ref="AJ119:AJ127" si="363">A49</f>
        <v>1.75</v>
      </c>
      <c r="AK119" s="960" t="str">
        <f t="shared" ref="AK119:AK127" si="364">"ws"&amp;AF49</f>
        <v>ws435</v>
      </c>
      <c r="AL119" s="133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 s="495"/>
      <c r="BE119" s="43"/>
      <c r="BH119" s="2">
        <f>SUMPRODUCT(BF110:BF112,BG110:BG112/SUM(BF110:BF112))</f>
        <v>46.341463414634148</v>
      </c>
      <c r="BQ119" s="735"/>
    </row>
    <row r="120" spans="4:75" s="2" customFormat="1" hidden="1" collapsed="1" x14ac:dyDescent="0.35">
      <c r="D120"/>
      <c r="E120"/>
      <c r="F120">
        <v>1</v>
      </c>
      <c r="G120" s="77">
        <v>700</v>
      </c>
      <c r="H120" s="509">
        <v>1</v>
      </c>
      <c r="I120"/>
      <c r="J120"/>
      <c r="K120"/>
      <c r="L120"/>
      <c r="M120"/>
      <c r="N120"/>
      <c r="O120"/>
      <c r="P120"/>
      <c r="Q120"/>
      <c r="T120"/>
      <c r="U120"/>
      <c r="V120"/>
      <c r="W120"/>
      <c r="X120"/>
      <c r="Y120"/>
      <c r="Z120"/>
      <c r="AA120" t="s">
        <v>263</v>
      </c>
      <c r="AB120" s="961">
        <f t="shared" ref="AB120:AB127" si="365">B50</f>
        <v>46174</v>
      </c>
      <c r="AC120" s="962">
        <f t="shared" ref="AC120:AC125" si="366">+AB120+1</f>
        <v>46175</v>
      </c>
      <c r="AD120" s="963" t="s">
        <v>42</v>
      </c>
      <c r="AE120" s="364"/>
      <c r="AF120" s="972">
        <f t="shared" ref="AF120:AF125" si="367">AC120+17</f>
        <v>46192</v>
      </c>
      <c r="AG120" s="962">
        <f t="shared" ref="AG120:AG125" si="368">AF120+4</f>
        <v>46196</v>
      </c>
      <c r="AH120" s="941" t="str">
        <f t="shared" si="361"/>
        <v>Jun Dated</v>
      </c>
      <c r="AI120" s="942" t="e">
        <f t="shared" si="362"/>
        <v>#N/A</v>
      </c>
      <c r="AJ120" s="943">
        <f t="shared" si="363"/>
        <v>1.75</v>
      </c>
      <c r="AK120" s="964" t="str">
        <f t="shared" si="364"/>
        <v>ws400</v>
      </c>
      <c r="AL120" s="133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 s="495"/>
      <c r="BE120" s="43"/>
      <c r="BQ120" s="735"/>
    </row>
    <row r="121" spans="4:75" s="2" customFormat="1" hidden="1" x14ac:dyDescent="0.35">
      <c r="D121"/>
      <c r="E121"/>
      <c r="F121">
        <v>1</v>
      </c>
      <c r="G121" s="77">
        <v>700</v>
      </c>
      <c r="I121"/>
      <c r="J121"/>
      <c r="K121"/>
      <c r="L121"/>
      <c r="M121"/>
      <c r="N121"/>
      <c r="O121" t="s">
        <v>242</v>
      </c>
      <c r="P121"/>
      <c r="Q121"/>
      <c r="T121"/>
      <c r="U121"/>
      <c r="V121"/>
      <c r="W121"/>
      <c r="X121"/>
      <c r="Y121"/>
      <c r="Z121"/>
      <c r="AA121" t="s">
        <v>257</v>
      </c>
      <c r="AB121" s="961">
        <f t="shared" si="365"/>
        <v>46180</v>
      </c>
      <c r="AC121" s="962">
        <f t="shared" si="366"/>
        <v>46181</v>
      </c>
      <c r="AD121" s="963" t="s">
        <v>42</v>
      </c>
      <c r="AE121" s="364"/>
      <c r="AF121" s="972">
        <f t="shared" si="367"/>
        <v>46198</v>
      </c>
      <c r="AG121" s="962">
        <f t="shared" si="368"/>
        <v>46202</v>
      </c>
      <c r="AH121" s="941" t="str">
        <f t="shared" si="361"/>
        <v>Jun Dated</v>
      </c>
      <c r="AI121" s="942" t="e">
        <f t="shared" si="362"/>
        <v>#N/A</v>
      </c>
      <c r="AJ121" s="943">
        <f t="shared" si="363"/>
        <v>1.75</v>
      </c>
      <c r="AK121" s="964" t="str">
        <f t="shared" si="364"/>
        <v>ws390</v>
      </c>
      <c r="AL121" s="133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 s="495"/>
      <c r="BE121" s="43"/>
      <c r="BQ121" s="735"/>
    </row>
    <row r="122" spans="4:75" hidden="1" x14ac:dyDescent="0.35">
      <c r="G122" s="77">
        <v>700</v>
      </c>
      <c r="Y122"/>
      <c r="AA122" t="s">
        <v>263</v>
      </c>
      <c r="AB122" s="961">
        <f t="shared" si="365"/>
        <v>46184</v>
      </c>
      <c r="AC122" s="962">
        <f t="shared" si="366"/>
        <v>46185</v>
      </c>
      <c r="AD122" s="963" t="s">
        <v>42</v>
      </c>
      <c r="AE122" s="364"/>
      <c r="AF122" s="972">
        <f t="shared" si="367"/>
        <v>46202</v>
      </c>
      <c r="AG122" s="962">
        <f t="shared" si="368"/>
        <v>46206</v>
      </c>
      <c r="AH122" s="941" t="str">
        <f t="shared" si="361"/>
        <v>Jun Dated</v>
      </c>
      <c r="AI122" s="942" t="e">
        <f t="shared" si="362"/>
        <v>#N/A</v>
      </c>
      <c r="AJ122" s="943">
        <f t="shared" si="363"/>
        <v>1.75</v>
      </c>
      <c r="AK122" s="964" t="str">
        <f t="shared" si="364"/>
        <v>ws340</v>
      </c>
      <c r="AL122" s="133"/>
      <c r="AW122" s="2"/>
      <c r="BA122" s="21"/>
      <c r="BB122" s="495"/>
      <c r="BD122" s="2"/>
      <c r="BE122" s="43"/>
      <c r="BP122" s="2"/>
      <c r="BQ122" s="735"/>
      <c r="BW122" s="2"/>
    </row>
    <row r="123" spans="4:75" s="2" customFormat="1" hidden="1" collapsed="1" x14ac:dyDescent="0.35">
      <c r="D123"/>
      <c r="E123"/>
      <c r="F123" s="43"/>
      <c r="G123" s="77">
        <v>700</v>
      </c>
      <c r="M123" s="124"/>
      <c r="P123" s="133"/>
      <c r="T123"/>
      <c r="U123"/>
      <c r="V123"/>
      <c r="W123"/>
      <c r="X123"/>
      <c r="Y123"/>
      <c r="Z123"/>
      <c r="AA123" t="s">
        <v>257</v>
      </c>
      <c r="AB123" s="961">
        <f t="shared" si="365"/>
        <v>46187</v>
      </c>
      <c r="AC123" s="962">
        <f t="shared" si="366"/>
        <v>46188</v>
      </c>
      <c r="AD123" s="963" t="s">
        <v>42</v>
      </c>
      <c r="AE123" s="364"/>
      <c r="AF123" s="972">
        <f t="shared" si="367"/>
        <v>46205</v>
      </c>
      <c r="AG123" s="962">
        <f t="shared" si="368"/>
        <v>46209</v>
      </c>
      <c r="AH123" s="941" t="str">
        <f t="shared" si="361"/>
        <v>Jul Dated</v>
      </c>
      <c r="AI123" s="942" t="e">
        <f t="shared" si="362"/>
        <v>#N/A</v>
      </c>
      <c r="AJ123" s="943">
        <f t="shared" si="363"/>
        <v>1</v>
      </c>
      <c r="AK123" s="964" t="str">
        <f t="shared" si="364"/>
        <v>ws340</v>
      </c>
      <c r="AX123" s="21"/>
      <c r="AY123" s="21"/>
      <c r="AZ123" s="21"/>
      <c r="BA123" s="21"/>
      <c r="BB123" s="495"/>
      <c r="BE123" s="43"/>
      <c r="BQ123" s="735"/>
    </row>
    <row r="124" spans="4:75" s="2" customFormat="1" hidden="1" x14ac:dyDescent="0.35">
      <c r="D124"/>
      <c r="E124"/>
      <c r="F124" s="43"/>
      <c r="G124" s="77">
        <v>700</v>
      </c>
      <c r="M124" s="124"/>
      <c r="P124" s="133"/>
      <c r="T124"/>
      <c r="U124"/>
      <c r="V124"/>
      <c r="W124"/>
      <c r="X124"/>
      <c r="Y124"/>
      <c r="Z124"/>
      <c r="AA124" t="s">
        <v>263</v>
      </c>
      <c r="AB124" s="961">
        <f t="shared" si="365"/>
        <v>46194</v>
      </c>
      <c r="AC124" s="962">
        <f t="shared" si="366"/>
        <v>46195</v>
      </c>
      <c r="AD124" s="963" t="s">
        <v>42</v>
      </c>
      <c r="AE124" s="364"/>
      <c r="AF124" s="972">
        <f t="shared" si="367"/>
        <v>46212</v>
      </c>
      <c r="AG124" s="962">
        <f t="shared" si="368"/>
        <v>46216</v>
      </c>
      <c r="AH124" s="941" t="str">
        <f t="shared" si="361"/>
        <v>Jul Dated</v>
      </c>
      <c r="AI124" s="942" t="e">
        <f t="shared" si="362"/>
        <v>#N/A</v>
      </c>
      <c r="AJ124" s="943">
        <f t="shared" si="363"/>
        <v>0.75</v>
      </c>
      <c r="AK124" s="964" t="str">
        <f t="shared" si="364"/>
        <v>ws340</v>
      </c>
      <c r="AX124" s="21"/>
      <c r="AY124" s="21"/>
      <c r="AZ124" s="21"/>
      <c r="BA124" s="21"/>
      <c r="BB124" s="495"/>
      <c r="BE124" s="43"/>
      <c r="BQ124" s="735"/>
    </row>
    <row r="125" spans="4:75" s="2" customFormat="1" hidden="1" x14ac:dyDescent="0.35">
      <c r="D125"/>
      <c r="E125"/>
      <c r="F125" s="43"/>
      <c r="G125" s="77">
        <v>700</v>
      </c>
      <c r="M125" s="124"/>
      <c r="P125" s="133"/>
      <c r="T125"/>
      <c r="U125"/>
      <c r="V125"/>
      <c r="W125"/>
      <c r="X125"/>
      <c r="Y125"/>
      <c r="Z125"/>
      <c r="AA125" t="s">
        <v>257</v>
      </c>
      <c r="AB125" s="961">
        <f t="shared" si="365"/>
        <v>46199</v>
      </c>
      <c r="AC125" s="962">
        <f t="shared" si="366"/>
        <v>46200</v>
      </c>
      <c r="AD125" s="963" t="s">
        <v>42</v>
      </c>
      <c r="AE125" s="364"/>
      <c r="AF125" s="972">
        <f t="shared" si="367"/>
        <v>46217</v>
      </c>
      <c r="AG125" s="962">
        <f t="shared" si="368"/>
        <v>46221</v>
      </c>
      <c r="AH125" s="941" t="str">
        <f t="shared" si="361"/>
        <v>Jul Dated</v>
      </c>
      <c r="AI125" s="942" t="e">
        <f t="shared" si="362"/>
        <v>#N/A</v>
      </c>
      <c r="AJ125" s="943">
        <f t="shared" si="363"/>
        <v>0.5</v>
      </c>
      <c r="AK125" s="964" t="str">
        <f t="shared" si="364"/>
        <v>ws340</v>
      </c>
      <c r="AX125" s="21"/>
      <c r="AY125" s="21"/>
      <c r="AZ125" s="21"/>
      <c r="BA125" s="21"/>
      <c r="BB125" s="495"/>
      <c r="BE125" s="43"/>
      <c r="BQ125" s="735"/>
    </row>
    <row r="126" spans="4:75" s="2" customFormat="1" hidden="1" x14ac:dyDescent="0.35">
      <c r="D126"/>
      <c r="E126"/>
      <c r="F126" s="43"/>
      <c r="G126" s="77">
        <v>700</v>
      </c>
      <c r="M126" s="124"/>
      <c r="P126" s="133"/>
      <c r="T126"/>
      <c r="U126"/>
      <c r="V126"/>
      <c r="W126"/>
      <c r="X126"/>
      <c r="Y126"/>
      <c r="Z126"/>
      <c r="AA126" t="s">
        <v>263</v>
      </c>
      <c r="AB126" s="961">
        <f t="shared" si="365"/>
        <v>46202</v>
      </c>
      <c r="AC126" s="962">
        <f t="shared" ref="AC126:AC127" si="369">+AB126+1</f>
        <v>46203</v>
      </c>
      <c r="AD126" s="963" t="s">
        <v>42</v>
      </c>
      <c r="AE126" s="364"/>
      <c r="AF126" s="972">
        <f t="shared" ref="AF126:AF127" si="370">AC126+17</f>
        <v>46220</v>
      </c>
      <c r="AG126" s="962">
        <f t="shared" ref="AG126:AG127" si="371">AF126+4</f>
        <v>46224</v>
      </c>
      <c r="AH126" s="941" t="str">
        <f t="shared" si="361"/>
        <v>Jul Dated</v>
      </c>
      <c r="AI126" s="942" t="e">
        <f t="shared" si="362"/>
        <v>#N/A</v>
      </c>
      <c r="AJ126" s="943">
        <f t="shared" si="363"/>
        <v>0.5</v>
      </c>
      <c r="AK126" s="964" t="str">
        <f t="shared" si="364"/>
        <v>ws340</v>
      </c>
      <c r="AX126" s="21"/>
      <c r="AY126" s="21"/>
      <c r="AZ126" s="21"/>
      <c r="BA126" s="21"/>
      <c r="BB126" s="495"/>
      <c r="BE126" s="43"/>
      <c r="BQ126" s="735"/>
    </row>
    <row r="127" spans="4:75" s="2" customFormat="1" hidden="1" x14ac:dyDescent="0.35">
      <c r="D127"/>
      <c r="E127"/>
      <c r="F127" s="43"/>
      <c r="G127" s="77">
        <v>700</v>
      </c>
      <c r="M127" s="124"/>
      <c r="P127" s="133"/>
      <c r="T127"/>
      <c r="U127"/>
      <c r="V127"/>
      <c r="W127"/>
      <c r="X127"/>
      <c r="Y127"/>
      <c r="Z127"/>
      <c r="AA127" t="s">
        <v>257</v>
      </c>
      <c r="AB127" s="961">
        <f t="shared" si="365"/>
        <v>0</v>
      </c>
      <c r="AC127" s="962">
        <f t="shared" si="369"/>
        <v>1</v>
      </c>
      <c r="AD127" s="963" t="s">
        <v>42</v>
      </c>
      <c r="AE127" s="364"/>
      <c r="AF127" s="972">
        <f t="shared" si="370"/>
        <v>18</v>
      </c>
      <c r="AG127" s="962">
        <f t="shared" si="371"/>
        <v>22</v>
      </c>
      <c r="AH127" s="941" t="e">
        <f t="shared" si="361"/>
        <v>#DIV/0!</v>
      </c>
      <c r="AI127" s="942" t="e">
        <f t="shared" si="362"/>
        <v>#N/A</v>
      </c>
      <c r="AJ127" s="943">
        <f t="shared" si="363"/>
        <v>0</v>
      </c>
      <c r="AK127" s="964" t="str">
        <f t="shared" si="364"/>
        <v>ws340</v>
      </c>
      <c r="AX127" s="21"/>
      <c r="AY127" s="21"/>
      <c r="AZ127" s="21"/>
      <c r="BA127" s="21"/>
      <c r="BB127" s="495"/>
      <c r="BE127" s="43"/>
      <c r="BQ127" s="735"/>
    </row>
    <row r="128" spans="4:75" s="2" customFormat="1" ht="16" thickBot="1" x14ac:dyDescent="0.4">
      <c r="D128"/>
      <c r="E128"/>
      <c r="F128" s="43"/>
      <c r="G128"/>
      <c r="M128" s="124"/>
      <c r="P128" s="133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W128" s="21"/>
      <c r="AX128" s="21"/>
      <c r="AY128" s="21"/>
      <c r="AZ128" s="21"/>
      <c r="BA128" s="495"/>
      <c r="BD128" s="43"/>
      <c r="BP128" s="735"/>
    </row>
    <row r="129" spans="2:75" ht="16" thickBot="1" x14ac:dyDescent="0.4">
      <c r="G129"/>
      <c r="Y129"/>
      <c r="AB129" s="1039" t="s">
        <v>264</v>
      </c>
      <c r="AC129" s="1040"/>
      <c r="AD129" s="1040"/>
      <c r="AE129" s="1040"/>
      <c r="AF129" s="1040"/>
      <c r="AG129" s="1040"/>
      <c r="AH129" s="1040"/>
      <c r="AI129" s="1040"/>
      <c r="AJ129" s="1040"/>
      <c r="AK129" s="1041"/>
      <c r="AW129" s="2"/>
      <c r="BA129" s="21"/>
      <c r="BB129" s="495"/>
      <c r="BD129" s="2"/>
      <c r="BE129" s="43"/>
      <c r="BP129" s="2"/>
      <c r="BQ129" s="735"/>
      <c r="BW129" s="2"/>
    </row>
    <row r="130" spans="2:75" s="2" customFormat="1" x14ac:dyDescent="0.35">
      <c r="D130"/>
      <c r="E130"/>
      <c r="F130"/>
      <c r="G130"/>
      <c r="I130"/>
      <c r="J130"/>
      <c r="K130"/>
      <c r="L130"/>
      <c r="M130"/>
      <c r="N130"/>
      <c r="O130"/>
      <c r="P130"/>
      <c r="Q130"/>
      <c r="T130"/>
      <c r="U130"/>
      <c r="V130"/>
      <c r="W130"/>
      <c r="X130"/>
      <c r="Y130"/>
      <c r="Z130"/>
      <c r="AA130"/>
      <c r="AB130" s="1036" t="s">
        <v>167</v>
      </c>
      <c r="AC130" s="1037"/>
      <c r="AD130" s="898" t="s">
        <v>177</v>
      </c>
      <c r="AE130"/>
      <c r="AF130" s="1038" t="s">
        <v>196</v>
      </c>
      <c r="AG130" s="1037"/>
      <c r="AH130" s="898" t="s">
        <v>260</v>
      </c>
      <c r="AI130" s="966" t="s">
        <v>261</v>
      </c>
      <c r="AJ130" s="485" t="s">
        <v>262</v>
      </c>
      <c r="AK130" s="922" t="s">
        <v>203</v>
      </c>
      <c r="AO130"/>
      <c r="AP130"/>
      <c r="AQ130"/>
      <c r="AR130"/>
      <c r="AS130"/>
      <c r="AT130"/>
      <c r="AU130"/>
      <c r="AV130"/>
      <c r="AX130"/>
      <c r="AY130"/>
      <c r="AZ130"/>
      <c r="BA130"/>
      <c r="BB130" s="495"/>
      <c r="BE130" s="43"/>
      <c r="BQ130" s="735"/>
    </row>
    <row r="131" spans="2:75" s="2" customFormat="1" x14ac:dyDescent="0.35">
      <c r="D131"/>
      <c r="E131"/>
      <c r="F131"/>
      <c r="G131">
        <v>1400</v>
      </c>
      <c r="H131" s="509"/>
      <c r="I131"/>
      <c r="J131"/>
      <c r="K131"/>
      <c r="L131"/>
      <c r="M131"/>
      <c r="N131"/>
      <c r="O131"/>
      <c r="P131"/>
      <c r="Q131"/>
      <c r="T131"/>
      <c r="U131"/>
      <c r="V131"/>
      <c r="W131"/>
      <c r="X131"/>
      <c r="Y131"/>
      <c r="Z131"/>
      <c r="AA131" t="s">
        <v>265</v>
      </c>
      <c r="AB131" s="914">
        <f>B58</f>
        <v>46191</v>
      </c>
      <c r="AC131" s="906">
        <f>+AB131+1</f>
        <v>46192</v>
      </c>
      <c r="AD131" s="913" t="str">
        <f>AB58</f>
        <v>Rotterdam</v>
      </c>
      <c r="AE131" s="901"/>
      <c r="AF131" s="925">
        <f>BE59</f>
        <v>46211</v>
      </c>
      <c r="AG131" s="906">
        <f>AF131+4</f>
        <v>46215</v>
      </c>
      <c r="AH131" s="902" t="str">
        <f>TEXT(BH58,"Mmm")&amp;" "&amp;BG58</f>
        <v>Jul Dated</v>
      </c>
      <c r="AI131" s="939" t="e">
        <f>CEILING(AM131,0.05)</f>
        <v>#N/A</v>
      </c>
      <c r="AJ131" s="1032">
        <f>$A$58</f>
        <v>3</v>
      </c>
      <c r="AK131" s="928">
        <f>AF59</f>
        <v>35000000</v>
      </c>
      <c r="AM131" s="950" t="e">
        <f>(BA58*AW131)+(BA59*AN131)</f>
        <v>#N/A</v>
      </c>
      <c r="AN131">
        <v>1</v>
      </c>
      <c r="AO131"/>
      <c r="AP131"/>
      <c r="AQ131"/>
      <c r="AR131"/>
      <c r="AS131"/>
      <c r="AT131"/>
      <c r="AU131"/>
      <c r="AV131"/>
      <c r="AW131">
        <f>1-AN131</f>
        <v>0</v>
      </c>
      <c r="AX131" s="21" t="e">
        <f>AM132-AM131</f>
        <v>#N/A</v>
      </c>
      <c r="AY131"/>
      <c r="AZ131"/>
      <c r="BA131"/>
      <c r="BB131" s="495"/>
      <c r="BE131" s="43"/>
      <c r="BQ131" s="735"/>
    </row>
    <row r="132" spans="2:75" s="2" customFormat="1" x14ac:dyDescent="0.35">
      <c r="D132"/>
      <c r="E132"/>
      <c r="F132"/>
      <c r="G132"/>
      <c r="H132" s="509"/>
      <c r="I132"/>
      <c r="J132"/>
      <c r="K132"/>
      <c r="L132"/>
      <c r="M132"/>
      <c r="N132"/>
      <c r="O132"/>
      <c r="P132"/>
      <c r="Q132"/>
      <c r="T132"/>
      <c r="U132"/>
      <c r="V132"/>
      <c r="W132"/>
      <c r="X132"/>
      <c r="Y132"/>
      <c r="Z132"/>
      <c r="AA132" t="s">
        <v>265</v>
      </c>
      <c r="AB132" s="915">
        <f>AB131</f>
        <v>46191</v>
      </c>
      <c r="AC132" s="899">
        <f>+AB132+1</f>
        <v>46192</v>
      </c>
      <c r="AD132" s="910" t="str">
        <f>AB60</f>
        <v>Lagos</v>
      </c>
      <c r="AE132" s="79"/>
      <c r="AF132" s="926">
        <f>BE61</f>
        <v>46215</v>
      </c>
      <c r="AG132" s="899">
        <f t="shared" ref="AG132:AG134" si="372">AF132+4</f>
        <v>46219</v>
      </c>
      <c r="AH132" s="903" t="str">
        <f>TEXT(BH59,"Mmm")&amp;" "&amp;BG59</f>
        <v>Jul Dated</v>
      </c>
      <c r="AI132" s="939" t="e">
        <f>CEILING(AM132,0.05)</f>
        <v>#N/A</v>
      </c>
      <c r="AJ132" s="1033"/>
      <c r="AK132" s="929">
        <f>AF60</f>
        <v>35150000</v>
      </c>
      <c r="AM132" s="950" t="e">
        <f>(BA60*$AW$132)+(BA61*$AN$132)</f>
        <v>#N/A</v>
      </c>
      <c r="AN132">
        <v>1</v>
      </c>
      <c r="AO132"/>
      <c r="AP132"/>
      <c r="AQ132"/>
      <c r="AR132"/>
      <c r="AS132"/>
      <c r="AT132"/>
      <c r="AU132"/>
      <c r="AV132"/>
      <c r="AW132">
        <v>0</v>
      </c>
      <c r="AX132"/>
      <c r="AY132"/>
      <c r="AZ132"/>
      <c r="BA132"/>
      <c r="BB132" s="495"/>
      <c r="BE132" s="43"/>
      <c r="BQ132" s="735"/>
    </row>
    <row r="133" spans="2:75" s="2" customFormat="1" x14ac:dyDescent="0.35">
      <c r="D133"/>
      <c r="E133"/>
      <c r="F133"/>
      <c r="G133"/>
      <c r="H133" s="509"/>
      <c r="I133"/>
      <c r="J133"/>
      <c r="K133"/>
      <c r="L133"/>
      <c r="M133"/>
      <c r="N133"/>
      <c r="O133"/>
      <c r="P133"/>
      <c r="Q133"/>
      <c r="T133"/>
      <c r="U133"/>
      <c r="V133"/>
      <c r="W133"/>
      <c r="X133"/>
      <c r="Y133"/>
      <c r="Z133"/>
      <c r="AA133" t="s">
        <v>265</v>
      </c>
      <c r="AB133" s="915">
        <f>AB132</f>
        <v>46191</v>
      </c>
      <c r="AC133" s="899">
        <f>+AB133+1</f>
        <v>46192</v>
      </c>
      <c r="AD133" s="985" t="s">
        <v>266</v>
      </c>
      <c r="AE133" s="980"/>
      <c r="AF133" s="981">
        <f>BE29</f>
        <v>46248</v>
      </c>
      <c r="AG133" s="982">
        <f t="shared" si="372"/>
        <v>46252</v>
      </c>
      <c r="AH133" s="983" t="str">
        <f>TEXT(BH29,"Mmm")&amp;" "&amp;BG29</f>
        <v>Jul Dubai</v>
      </c>
      <c r="AI133" s="984" t="e">
        <f>CEILING(AM133,0.05)</f>
        <v>#N/A</v>
      </c>
      <c r="AJ133" s="1033"/>
      <c r="AK133" s="930">
        <f>AF29</f>
        <v>55000000</v>
      </c>
      <c r="AM133" s="923" t="e">
        <f>(BA85*$AN$133)+(BA84*$AW$133)</f>
        <v>#N/A</v>
      </c>
      <c r="AN133">
        <v>1</v>
      </c>
      <c r="AO133"/>
      <c r="AP133"/>
      <c r="AQ133"/>
      <c r="AR133"/>
      <c r="AS133"/>
      <c r="AT133"/>
      <c r="AU133"/>
      <c r="AV133"/>
      <c r="AW133">
        <v>0</v>
      </c>
      <c r="AX133"/>
      <c r="AY133"/>
      <c r="AZ133"/>
      <c r="BA133"/>
      <c r="BB133" s="495"/>
      <c r="BE133" s="43"/>
      <c r="BQ133" s="735"/>
    </row>
    <row r="134" spans="2:75" s="2" customFormat="1" ht="16" thickBot="1" x14ac:dyDescent="0.4">
      <c r="D134"/>
      <c r="E134"/>
      <c r="F134"/>
      <c r="G134"/>
      <c r="H134">
        <f>SUM(H109:H131)</f>
        <v>21</v>
      </c>
      <c r="I134"/>
      <c r="J134"/>
      <c r="K134"/>
      <c r="L134"/>
      <c r="M134"/>
      <c r="N134"/>
      <c r="O134"/>
      <c r="P134" s="133"/>
      <c r="T134"/>
      <c r="U134"/>
      <c r="V134"/>
      <c r="W134"/>
      <c r="X134"/>
      <c r="Y134"/>
      <c r="Z134"/>
      <c r="AA134" t="s">
        <v>265</v>
      </c>
      <c r="AB134" s="931">
        <f>AB133</f>
        <v>46191</v>
      </c>
      <c r="AC134" s="850">
        <f>+AB134+1</f>
        <v>46192</v>
      </c>
      <c r="AD134" s="969" t="s">
        <v>267</v>
      </c>
      <c r="AE134" s="907"/>
      <c r="AF134" s="927">
        <f>BE33</f>
        <v>46237</v>
      </c>
      <c r="AG134" s="900">
        <f t="shared" si="372"/>
        <v>46241</v>
      </c>
      <c r="AH134" s="967" t="str">
        <f>TEXT(BH33,"Mmm")&amp;" "&amp;BG33</f>
        <v>Jul Dated</v>
      </c>
      <c r="AI134" s="937" t="e">
        <f>CEILING(AM134,0.05)</f>
        <v>#N/A</v>
      </c>
      <c r="AJ134" s="1034"/>
      <c r="AK134" s="932">
        <f>AF32</f>
        <v>54000000</v>
      </c>
      <c r="AM134" s="923" t="e">
        <f>(BA89*$AN$134)+(BA88*$AW$134)</f>
        <v>#N/A</v>
      </c>
      <c r="AN134">
        <v>1</v>
      </c>
      <c r="AO134"/>
      <c r="AP134"/>
      <c r="AQ134"/>
      <c r="AR134"/>
      <c r="AS134"/>
      <c r="AT134"/>
      <c r="AU134"/>
      <c r="AV134"/>
      <c r="AW134">
        <v>0</v>
      </c>
      <c r="AX134" s="21"/>
      <c r="AY134" s="21"/>
      <c r="AZ134" s="21"/>
      <c r="BA134" s="21"/>
      <c r="BB134" s="495"/>
      <c r="BE134" s="43"/>
      <c r="BQ134" s="735"/>
    </row>
    <row r="135" spans="2:75" s="2" customFormat="1" ht="9.65" customHeight="1" x14ac:dyDescent="0.35">
      <c r="D135"/>
      <c r="E135" t="s">
        <v>159</v>
      </c>
      <c r="G135"/>
      <c r="H135"/>
      <c r="I135"/>
      <c r="J135"/>
      <c r="K135"/>
      <c r="L135"/>
      <c r="N135"/>
      <c r="O135"/>
      <c r="P135" s="133"/>
      <c r="T135"/>
      <c r="U135"/>
      <c r="V135"/>
      <c r="W135"/>
      <c r="X135"/>
      <c r="Y135"/>
      <c r="Z135"/>
      <c r="AA135"/>
      <c r="AB135" s="908"/>
      <c r="AC135" s="520"/>
      <c r="AD135" s="910"/>
      <c r="AE135" s="79"/>
      <c r="AF135" s="912"/>
      <c r="AG135" s="912"/>
      <c r="AH135" s="912"/>
      <c r="AI135" s="938"/>
      <c r="AJ135" s="485"/>
      <c r="AK135" s="924"/>
      <c r="AM135"/>
      <c r="AX135" s="21"/>
      <c r="AY135" s="21"/>
      <c r="AZ135" s="21"/>
      <c r="BA135" s="21"/>
      <c r="BB135" s="495"/>
      <c r="BE135" s="43"/>
      <c r="BQ135" s="735"/>
    </row>
    <row r="136" spans="2:75" s="124" customFormat="1" x14ac:dyDescent="0.35">
      <c r="B136" s="2"/>
      <c r="C136" s="2"/>
      <c r="D136"/>
      <c r="E136"/>
      <c r="F136" s="2"/>
      <c r="G136">
        <v>1400</v>
      </c>
      <c r="H136"/>
      <c r="I136"/>
      <c r="J136"/>
      <c r="K136"/>
      <c r="L136"/>
      <c r="M136" s="2"/>
      <c r="N136"/>
      <c r="O136"/>
      <c r="P136" s="133"/>
      <c r="Q136" s="2"/>
      <c r="R136" s="2"/>
      <c r="S136" s="2"/>
      <c r="T136"/>
      <c r="U136"/>
      <c r="V136"/>
      <c r="W136"/>
      <c r="X136"/>
      <c r="Y136"/>
      <c r="Z136"/>
      <c r="AA136" t="s">
        <v>256</v>
      </c>
      <c r="AB136" s="914">
        <f>F112</f>
        <v>46202</v>
      </c>
      <c r="AC136" s="917">
        <f>+AB136+1</f>
        <v>46203</v>
      </c>
      <c r="AD136" s="904" t="str">
        <f t="shared" ref="AD136:AD137" si="373">AD131</f>
        <v>Rotterdam</v>
      </c>
      <c r="AE136" s="901"/>
      <c r="AF136" s="925">
        <f>BE92</f>
        <v>46222</v>
      </c>
      <c r="AG136" s="906">
        <f t="shared" ref="AG136:AG139" si="374">AF136+4</f>
        <v>46226</v>
      </c>
      <c r="AH136" s="902" t="str">
        <f>TEXT(BH93,"Mmm")&amp;" "&amp;BG93</f>
        <v>Jul Dated</v>
      </c>
      <c r="AI136" s="939" t="e">
        <f>CEILING(AM136,0.05)</f>
        <v>#N/A</v>
      </c>
      <c r="AJ136" s="1032">
        <f>$A$91</f>
        <v>2.75</v>
      </c>
      <c r="AK136" s="933">
        <f>AF92</f>
        <v>35000000</v>
      </c>
      <c r="AM136" s="950" t="e">
        <f>(BA91*$AW$136)+(BA92*$AN$136)</f>
        <v>#N/A</v>
      </c>
      <c r="AN136">
        <f t="shared" ref="AN136:AW136" si="375">AN131</f>
        <v>1</v>
      </c>
      <c r="AO136">
        <f t="shared" si="375"/>
        <v>0</v>
      </c>
      <c r="AP136">
        <f t="shared" si="375"/>
        <v>0</v>
      </c>
      <c r="AQ136">
        <f t="shared" si="375"/>
        <v>0</v>
      </c>
      <c r="AR136">
        <f t="shared" si="375"/>
        <v>0</v>
      </c>
      <c r="AS136">
        <f t="shared" si="375"/>
        <v>0</v>
      </c>
      <c r="AT136">
        <f t="shared" si="375"/>
        <v>0</v>
      </c>
      <c r="AU136">
        <f t="shared" si="375"/>
        <v>0</v>
      </c>
      <c r="AV136">
        <f t="shared" si="375"/>
        <v>0</v>
      </c>
      <c r="AW136">
        <f t="shared" si="375"/>
        <v>0</v>
      </c>
      <c r="AX136" s="21" t="e">
        <f>AM137-AM136</f>
        <v>#N/A</v>
      </c>
      <c r="AY136" s="21"/>
      <c r="AZ136" s="21"/>
      <c r="BA136" s="21"/>
      <c r="BB136" s="495"/>
      <c r="BC136" s="2"/>
      <c r="BD136" s="2"/>
      <c r="BE136" s="43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735"/>
      <c r="BR136" s="2"/>
      <c r="BS136" s="2"/>
      <c r="BT136" s="2"/>
      <c r="BU136" s="2"/>
      <c r="BV136" s="2"/>
      <c r="BW136" s="2"/>
    </row>
    <row r="137" spans="2:75" s="124" customFormat="1" x14ac:dyDescent="0.35">
      <c r="B137" s="2"/>
      <c r="C137" s="2"/>
      <c r="D137"/>
      <c r="E137"/>
      <c r="F137" s="43"/>
      <c r="G137"/>
      <c r="H137" s="2"/>
      <c r="I137" s="2"/>
      <c r="J137" s="2"/>
      <c r="K137" s="2"/>
      <c r="L137" s="2"/>
      <c r="N137" s="2"/>
      <c r="O137" s="2"/>
      <c r="P137" s="133"/>
      <c r="Q137" s="2"/>
      <c r="R137" s="2"/>
      <c r="S137" s="2"/>
      <c r="T137"/>
      <c r="U137"/>
      <c r="V137"/>
      <c r="W137"/>
      <c r="X137"/>
      <c r="Y137"/>
      <c r="Z137"/>
      <c r="AA137" t="s">
        <v>256</v>
      </c>
      <c r="AB137" s="915">
        <f>AB136</f>
        <v>46202</v>
      </c>
      <c r="AC137" s="897">
        <f>+AB137+1</f>
        <v>46203</v>
      </c>
      <c r="AD137" s="905" t="str">
        <f t="shared" si="373"/>
        <v>Lagos</v>
      </c>
      <c r="AE137" s="79"/>
      <c r="AF137" s="926">
        <f>AF136+4</f>
        <v>46226</v>
      </c>
      <c r="AG137" s="899">
        <f t="shared" si="374"/>
        <v>46230</v>
      </c>
      <c r="AH137" s="903" t="str">
        <f>TEXT(BH94,"Mmm")&amp;" "&amp;BG94</f>
        <v>Jul Dated</v>
      </c>
      <c r="AI137" s="939" t="e">
        <f>CEILING(AM137,0.05)</f>
        <v>#N/A</v>
      </c>
      <c r="AJ137" s="1033"/>
      <c r="AK137" s="930">
        <f>AF94</f>
        <v>35150000</v>
      </c>
      <c r="AM137" s="950" t="e">
        <f>(BA93*$AW$137)+(BA94*$AN$137)</f>
        <v>#N/A</v>
      </c>
      <c r="AN137">
        <f t="shared" ref="AN137:AW137" si="376">AN132</f>
        <v>1</v>
      </c>
      <c r="AO137">
        <f t="shared" si="376"/>
        <v>0</v>
      </c>
      <c r="AP137">
        <f t="shared" si="376"/>
        <v>0</v>
      </c>
      <c r="AQ137">
        <f t="shared" si="376"/>
        <v>0</v>
      </c>
      <c r="AR137">
        <f t="shared" si="376"/>
        <v>0</v>
      </c>
      <c r="AS137">
        <f t="shared" si="376"/>
        <v>0</v>
      </c>
      <c r="AT137">
        <f t="shared" si="376"/>
        <v>0</v>
      </c>
      <c r="AU137">
        <f t="shared" si="376"/>
        <v>0</v>
      </c>
      <c r="AV137">
        <f t="shared" si="376"/>
        <v>0</v>
      </c>
      <c r="AW137">
        <f t="shared" si="376"/>
        <v>0</v>
      </c>
      <c r="AX137" s="21"/>
      <c r="AY137" s="21"/>
      <c r="AZ137" s="21"/>
      <c r="BA137" s="21"/>
      <c r="BB137" s="495"/>
      <c r="BC137" s="2"/>
      <c r="BD137" s="2"/>
      <c r="BE137" s="43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735"/>
      <c r="BR137" s="2"/>
      <c r="BS137" s="2"/>
      <c r="BT137" s="2"/>
      <c r="BU137" s="2"/>
      <c r="BV137" s="2"/>
      <c r="BW137" s="2"/>
    </row>
    <row r="138" spans="2:75" x14ac:dyDescent="0.35">
      <c r="B138"/>
      <c r="C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Y138"/>
      <c r="AA138" t="s">
        <v>256</v>
      </c>
      <c r="AB138" s="915">
        <f>AB137</f>
        <v>46202</v>
      </c>
      <c r="AC138" s="897">
        <f>+AB138+1</f>
        <v>46203</v>
      </c>
      <c r="AD138" s="979" t="str">
        <f>AD133</f>
        <v>Korea</v>
      </c>
      <c r="AE138" s="980"/>
      <c r="AF138" s="981">
        <f>BE96</f>
        <v>46259</v>
      </c>
      <c r="AG138" s="982">
        <f t="shared" si="374"/>
        <v>46263</v>
      </c>
      <c r="AH138" s="983" t="str">
        <f>TEXT(BH96,"Mmm")&amp;" "&amp;BG96</f>
        <v>Jul Dubai</v>
      </c>
      <c r="AI138" s="984" t="e">
        <f>CEILING(AM138,0.05)</f>
        <v>#N/A</v>
      </c>
      <c r="AJ138" s="1033"/>
      <c r="AK138" s="930">
        <f>AF31</f>
        <v>55000000</v>
      </c>
      <c r="AM138" s="923" t="e">
        <f>(BA96*$AN$138)+(BA95*$AW$138)</f>
        <v>#N/A</v>
      </c>
      <c r="AN138">
        <f t="shared" ref="AN138:AW138" si="377">AN133</f>
        <v>1</v>
      </c>
      <c r="AO138">
        <f t="shared" si="377"/>
        <v>0</v>
      </c>
      <c r="AP138">
        <f t="shared" si="377"/>
        <v>0</v>
      </c>
      <c r="AQ138">
        <f t="shared" si="377"/>
        <v>0</v>
      </c>
      <c r="AR138">
        <f t="shared" si="377"/>
        <v>0</v>
      </c>
      <c r="AS138">
        <f t="shared" si="377"/>
        <v>0</v>
      </c>
      <c r="AT138">
        <f t="shared" si="377"/>
        <v>0</v>
      </c>
      <c r="AU138">
        <f t="shared" si="377"/>
        <v>0</v>
      </c>
      <c r="AV138">
        <f t="shared" si="377"/>
        <v>0</v>
      </c>
      <c r="AW138">
        <f t="shared" si="377"/>
        <v>0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</row>
    <row r="139" spans="2:75" ht="16" thickBot="1" x14ac:dyDescent="0.4">
      <c r="G139" s="2"/>
      <c r="Y139"/>
      <c r="AA139" t="s">
        <v>256</v>
      </c>
      <c r="AB139" s="916">
        <f>AB138</f>
        <v>46202</v>
      </c>
      <c r="AC139" s="918">
        <f>+AB139+1</f>
        <v>46203</v>
      </c>
      <c r="AD139" s="970" t="s">
        <v>267</v>
      </c>
      <c r="AE139" s="909"/>
      <c r="AF139" s="934">
        <f>BE100</f>
        <v>46248</v>
      </c>
      <c r="AG139" s="911">
        <f t="shared" si="374"/>
        <v>46252</v>
      </c>
      <c r="AH139" s="968" t="str">
        <f>TEXT(BH35,"Mmm")&amp;" "&amp;BG35</f>
        <v>Jul Dated</v>
      </c>
      <c r="AI139" s="940" t="e">
        <f>CEILING(AM139,0.05)</f>
        <v>#N/A</v>
      </c>
      <c r="AJ139" s="1034"/>
      <c r="AK139" s="935">
        <f>AF35</f>
        <v>54000000</v>
      </c>
      <c r="AM139" s="923" t="e">
        <f>(BA100*$AN$139)+(BA99*$AW$139)</f>
        <v>#N/A</v>
      </c>
      <c r="AN139">
        <f t="shared" ref="AN139:AW139" si="378">AN134</f>
        <v>1</v>
      </c>
      <c r="AO139">
        <f t="shared" si="378"/>
        <v>0</v>
      </c>
      <c r="AP139">
        <f t="shared" si="378"/>
        <v>0</v>
      </c>
      <c r="AQ139">
        <f t="shared" si="378"/>
        <v>0</v>
      </c>
      <c r="AR139">
        <f t="shared" si="378"/>
        <v>0</v>
      </c>
      <c r="AS139">
        <f t="shared" si="378"/>
        <v>0</v>
      </c>
      <c r="AT139">
        <f t="shared" si="378"/>
        <v>0</v>
      </c>
      <c r="AU139">
        <f t="shared" si="378"/>
        <v>0</v>
      </c>
      <c r="AV139">
        <f t="shared" si="378"/>
        <v>0</v>
      </c>
      <c r="AW139">
        <f t="shared" si="378"/>
        <v>0</v>
      </c>
    </row>
    <row r="140" spans="2:75" x14ac:dyDescent="0.35">
      <c r="Y140"/>
      <c r="AC140"/>
      <c r="AD140"/>
      <c r="AE140"/>
      <c r="AF140"/>
      <c r="AG140"/>
      <c r="AH140"/>
      <c r="AI140"/>
      <c r="AJ140"/>
      <c r="AK140"/>
      <c r="AL140"/>
      <c r="AM140"/>
    </row>
    <row r="141" spans="2:75" x14ac:dyDescent="0.35">
      <c r="Y141"/>
      <c r="AB141" s="79" t="s">
        <v>268</v>
      </c>
      <c r="AC141" s="936">
        <f>2100*2</f>
        <v>4200</v>
      </c>
      <c r="AD141"/>
      <c r="AE141"/>
      <c r="AF141"/>
      <c r="AG141"/>
      <c r="AH141"/>
      <c r="AI141"/>
      <c r="AJ141"/>
      <c r="AK141"/>
    </row>
    <row r="142" spans="2:75" x14ac:dyDescent="0.35">
      <c r="Y142"/>
      <c r="AB142" s="951" t="s">
        <v>269</v>
      </c>
      <c r="AC142" s="936">
        <v>4200</v>
      </c>
      <c r="AD142"/>
      <c r="AE142"/>
      <c r="AF142"/>
      <c r="AG142"/>
      <c r="AH142"/>
      <c r="AI142"/>
      <c r="AJ142"/>
      <c r="AK142"/>
    </row>
    <row r="143" spans="2:75" x14ac:dyDescent="0.35">
      <c r="Y143"/>
      <c r="AC143"/>
      <c r="AD143"/>
      <c r="AE143"/>
      <c r="AF143"/>
      <c r="AG143"/>
      <c r="AH143"/>
      <c r="AI143"/>
      <c r="AJ143"/>
      <c r="AK143"/>
    </row>
    <row r="144" spans="2:75" x14ac:dyDescent="0.35">
      <c r="Y144"/>
      <c r="AC144"/>
      <c r="AD144"/>
      <c r="AE144"/>
      <c r="AF144"/>
      <c r="AG144"/>
      <c r="AH144"/>
      <c r="AI144"/>
      <c r="AJ144"/>
      <c r="AK144"/>
    </row>
    <row r="145" spans="2:74" x14ac:dyDescent="0.35">
      <c r="Y145"/>
      <c r="AC145"/>
      <c r="AD145"/>
      <c r="AE145"/>
      <c r="AF145">
        <v>110</v>
      </c>
      <c r="AG145">
        <v>110</v>
      </c>
      <c r="AH145">
        <v>110</v>
      </c>
      <c r="AI145">
        <v>90</v>
      </c>
      <c r="AJ145">
        <v>90</v>
      </c>
      <c r="AK145">
        <v>90</v>
      </c>
    </row>
    <row r="146" spans="2:74" x14ac:dyDescent="0.35">
      <c r="Y146"/>
      <c r="AC146"/>
      <c r="AD146"/>
      <c r="AE146"/>
      <c r="AF146">
        <v>31</v>
      </c>
      <c r="AG146">
        <v>28</v>
      </c>
      <c r="AH146">
        <v>31</v>
      </c>
      <c r="AI146">
        <v>30</v>
      </c>
      <c r="AJ146">
        <v>31</v>
      </c>
      <c r="AK146">
        <v>30</v>
      </c>
    </row>
    <row r="147" spans="2:74" x14ac:dyDescent="0.35">
      <c r="AC147"/>
      <c r="AD147"/>
      <c r="AE147"/>
      <c r="AF147"/>
      <c r="AG147"/>
      <c r="AH147"/>
      <c r="AI147"/>
      <c r="AJ147"/>
      <c r="AK147"/>
    </row>
    <row r="148" spans="2:74" x14ac:dyDescent="0.35">
      <c r="AC148"/>
      <c r="AD148"/>
      <c r="AE148"/>
      <c r="AF148" s="267">
        <f>+AF146*AF145*1000</f>
        <v>3410000</v>
      </c>
      <c r="AG148" s="267">
        <f t="shared" ref="AG148:AK148" si="379">+AG146*AG145*1000</f>
        <v>3080000</v>
      </c>
      <c r="AH148" s="267">
        <f t="shared" si="379"/>
        <v>3410000</v>
      </c>
      <c r="AI148" s="267">
        <f t="shared" si="379"/>
        <v>2700000</v>
      </c>
      <c r="AJ148" s="267">
        <f t="shared" si="379"/>
        <v>2790000</v>
      </c>
      <c r="AK148" s="267">
        <f t="shared" si="379"/>
        <v>2700000</v>
      </c>
      <c r="AL148" s="3">
        <f>SUM(AF148:AK148)</f>
        <v>18090000</v>
      </c>
      <c r="AN148" s="124">
        <f>SUM(AF148:AH148)</f>
        <v>9900000</v>
      </c>
      <c r="AO148" s="124"/>
      <c r="AP148" s="124"/>
      <c r="AQ148" s="124"/>
      <c r="AR148" s="124"/>
      <c r="AS148" s="124"/>
      <c r="AT148" s="124"/>
      <c r="AU148" s="124"/>
      <c r="AV148" s="124"/>
      <c r="AW148" s="124">
        <f>SUM(AI148:AK148)</f>
        <v>8190000</v>
      </c>
    </row>
    <row r="150" spans="2:74" x14ac:dyDescent="0.35">
      <c r="AD150" s="2">
        <v>1.21</v>
      </c>
      <c r="AF150" s="44">
        <f>AF148/$AD$150/1000</f>
        <v>2818.1818181818185</v>
      </c>
      <c r="AG150" s="44">
        <f t="shared" ref="AG150:AK150" si="380">AG148/$AD$150/1000</f>
        <v>2545.4545454545455</v>
      </c>
      <c r="AH150" s="44">
        <f t="shared" si="380"/>
        <v>2818.1818181818185</v>
      </c>
      <c r="AI150" s="44">
        <f t="shared" si="380"/>
        <v>2231.404958677686</v>
      </c>
      <c r="AJ150" s="44">
        <f t="shared" si="380"/>
        <v>2305.7851239669421</v>
      </c>
      <c r="AK150" s="44">
        <f t="shared" si="380"/>
        <v>2231.404958677686</v>
      </c>
      <c r="AL150" s="44">
        <f>SUM(AF150:AK150)</f>
        <v>14950.413223140495</v>
      </c>
    </row>
    <row r="151" spans="2:74" x14ac:dyDescent="0.35">
      <c r="AG151"/>
    </row>
    <row r="152" spans="2:74" s="21" customFormat="1" x14ac:dyDescent="0.35">
      <c r="B152" s="2"/>
      <c r="C152" s="2"/>
      <c r="D152"/>
      <c r="E152"/>
      <c r="F152" s="43"/>
      <c r="G152" s="43"/>
      <c r="H152" s="2"/>
      <c r="I152" s="2"/>
      <c r="J152" s="2"/>
      <c r="K152" s="2"/>
      <c r="L152" s="2"/>
      <c r="M152" s="124"/>
      <c r="N152" s="2"/>
      <c r="O152" s="2"/>
      <c r="P152" s="133"/>
      <c r="Q152" s="2"/>
      <c r="R152" s="2"/>
      <c r="S152" s="2"/>
      <c r="T152"/>
      <c r="U152"/>
      <c r="V152"/>
      <c r="W152"/>
      <c r="X152"/>
      <c r="Y152" s="2"/>
      <c r="Z152"/>
      <c r="AA152"/>
      <c r="AB152"/>
      <c r="AC152" s="2"/>
      <c r="AD152" s="2"/>
      <c r="AE152" s="124"/>
      <c r="AF152" s="124">
        <f>AF148*0.32</f>
        <v>1091200</v>
      </c>
      <c r="AG152" s="124">
        <f t="shared" ref="AG152:AK152" si="381">AG148*0.32</f>
        <v>985600</v>
      </c>
      <c r="AH152" s="124">
        <f t="shared" si="381"/>
        <v>1091200</v>
      </c>
      <c r="AI152" s="124">
        <f t="shared" si="381"/>
        <v>864000</v>
      </c>
      <c r="AJ152" s="124">
        <f t="shared" si="381"/>
        <v>892800</v>
      </c>
      <c r="AK152" s="124">
        <f t="shared" si="381"/>
        <v>864000</v>
      </c>
      <c r="AL152" s="2"/>
      <c r="AM152" s="2"/>
      <c r="AO152" s="2"/>
      <c r="AP152" s="2"/>
      <c r="AQ152" s="2"/>
      <c r="AR152" s="2"/>
      <c r="AS152" s="2"/>
      <c r="AT152" s="2"/>
      <c r="AU152" s="2"/>
      <c r="AV152" s="2"/>
      <c r="BA152" s="495"/>
      <c r="BB152" s="2"/>
      <c r="BC152" s="2"/>
      <c r="BD152" s="43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735"/>
      <c r="BQ152" s="2"/>
      <c r="BR152" s="2"/>
      <c r="BS152" s="2"/>
      <c r="BT152" s="2"/>
      <c r="BU152" s="2"/>
      <c r="BV152" s="2"/>
    </row>
    <row r="153" spans="2:74" s="21" customFormat="1" x14ac:dyDescent="0.35">
      <c r="B153" s="2"/>
      <c r="C153" s="2"/>
      <c r="D153"/>
      <c r="E153"/>
      <c r="F153" s="43"/>
      <c r="G153" s="43"/>
      <c r="H153" s="2"/>
      <c r="I153" s="2"/>
      <c r="J153" s="2"/>
      <c r="K153" s="2"/>
      <c r="L153" s="2"/>
      <c r="M153" s="124"/>
      <c r="N153" s="2"/>
      <c r="O153" s="2"/>
      <c r="P153" s="133"/>
      <c r="Q153" s="2"/>
      <c r="R153" s="2"/>
      <c r="S153" s="2"/>
      <c r="T153"/>
      <c r="U153"/>
      <c r="V153"/>
      <c r="W153"/>
      <c r="X153"/>
      <c r="Y153" s="2"/>
      <c r="Z153"/>
      <c r="AA153"/>
      <c r="AB153"/>
      <c r="AC153" s="2"/>
      <c r="AD153" s="2"/>
      <c r="AE153" s="124"/>
      <c r="AF153" s="124"/>
      <c r="AH153" s="2"/>
      <c r="AI153" s="124"/>
      <c r="AJ153" s="124"/>
      <c r="AK153" s="2"/>
      <c r="AN153" s="2"/>
      <c r="AO153" s="2"/>
      <c r="AP153" s="2"/>
      <c r="AQ153" s="2"/>
      <c r="AR153" s="2"/>
      <c r="AS153" s="2"/>
      <c r="AT153" s="2"/>
      <c r="AU153" s="2"/>
      <c r="AV153" s="2"/>
      <c r="BA153" s="495"/>
      <c r="BB153" s="2"/>
      <c r="BC153" s="2"/>
      <c r="BD153" s="43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735"/>
      <c r="BQ153" s="2"/>
      <c r="BR153" s="2"/>
      <c r="BS153" s="2"/>
      <c r="BT153" s="2"/>
      <c r="BU153" s="2"/>
      <c r="BV153" s="2"/>
    </row>
    <row r="154" spans="2:74" s="21" customFormat="1" x14ac:dyDescent="0.35">
      <c r="B154" s="2"/>
      <c r="C154" s="2"/>
      <c r="D154"/>
      <c r="E154"/>
      <c r="F154" s="43"/>
      <c r="G154" s="43"/>
      <c r="H154" s="2"/>
      <c r="I154" s="2"/>
      <c r="J154" s="2"/>
      <c r="K154" s="2"/>
      <c r="L154" s="2"/>
      <c r="M154" s="124"/>
      <c r="N154" s="2"/>
      <c r="O154" s="2"/>
      <c r="P154" s="133"/>
      <c r="Q154" s="2"/>
      <c r="R154" s="2"/>
      <c r="S154" s="2"/>
      <c r="T154"/>
      <c r="U154"/>
      <c r="V154"/>
      <c r="W154"/>
      <c r="X154"/>
      <c r="Y154" s="2"/>
      <c r="Z154"/>
      <c r="AA154"/>
      <c r="AB154"/>
      <c r="AC154"/>
      <c r="AD154"/>
      <c r="AE154" s="124"/>
      <c r="AF154" s="3"/>
      <c r="AH154" s="2"/>
      <c r="AI154" s="124"/>
      <c r="AJ154" s="124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BA154" s="495"/>
      <c r="BB154" s="2"/>
      <c r="BC154" s="2"/>
      <c r="BD154" s="43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735"/>
      <c r="BQ154" s="2"/>
      <c r="BR154" s="2"/>
      <c r="BS154" s="2"/>
      <c r="BT154" s="2"/>
      <c r="BU154" s="2"/>
      <c r="BV154" s="2"/>
    </row>
    <row r="155" spans="2:74" s="21" customFormat="1" x14ac:dyDescent="0.35">
      <c r="B155" s="2"/>
      <c r="C155" s="2"/>
      <c r="D155"/>
      <c r="E155"/>
      <c r="F155" s="43"/>
      <c r="G155" s="43"/>
      <c r="H155" s="2"/>
      <c r="I155" s="2"/>
      <c r="J155" s="2"/>
      <c r="K155" s="2"/>
      <c r="L155" s="2"/>
      <c r="M155" s="124"/>
      <c r="N155" s="2"/>
      <c r="O155" s="2"/>
      <c r="P155" s="133"/>
      <c r="Q155" s="2"/>
      <c r="R155" s="2"/>
      <c r="S155" s="2"/>
      <c r="T155"/>
      <c r="U155"/>
      <c r="V155"/>
      <c r="W155"/>
      <c r="X155"/>
      <c r="Y155" s="2"/>
      <c r="Z155"/>
      <c r="AA155"/>
      <c r="AB155"/>
      <c r="AC155"/>
      <c r="AD155"/>
      <c r="AE155" s="124"/>
      <c r="AF155" s="3"/>
      <c r="AH155" s="2"/>
      <c r="AI155" s="124"/>
      <c r="AJ155" s="124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BA155" s="495"/>
      <c r="BB155" s="2"/>
      <c r="BC155" s="2"/>
      <c r="BD155" s="43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735"/>
      <c r="BQ155" s="2"/>
      <c r="BR155" s="2"/>
      <c r="BS155" s="2"/>
      <c r="BT155" s="2"/>
      <c r="BU155" s="2"/>
      <c r="BV155" s="2"/>
    </row>
    <row r="156" spans="2:74" s="21" customFormat="1" x14ac:dyDescent="0.35">
      <c r="B156" s="2"/>
      <c r="C156" s="2"/>
      <c r="D156"/>
      <c r="E156"/>
      <c r="F156" s="43"/>
      <c r="G156" s="43"/>
      <c r="H156" s="2"/>
      <c r="I156" s="2"/>
      <c r="J156" s="2"/>
      <c r="K156" s="2"/>
      <c r="L156" s="2"/>
      <c r="M156" s="124"/>
      <c r="N156" s="2"/>
      <c r="O156" s="2"/>
      <c r="P156" s="133"/>
      <c r="Q156" s="2"/>
      <c r="R156" s="2"/>
      <c r="S156" s="2"/>
      <c r="T156"/>
      <c r="U156"/>
      <c r="V156"/>
      <c r="W156"/>
      <c r="X156"/>
      <c r="Y156" s="2"/>
      <c r="Z156"/>
      <c r="AA156"/>
      <c r="AB156"/>
      <c r="AC156" s="267">
        <f xml:space="preserve"> (AC158 * 1000 * 1000 / (141.5 / (AC159 + 131.5) * 1000)) / 159</f>
        <v>15601.040069337958</v>
      </c>
      <c r="AD156"/>
      <c r="AE156" s="124"/>
      <c r="AF156" s="3"/>
      <c r="AH156" s="2"/>
      <c r="AI156" s="124"/>
      <c r="AJ156" s="124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BA156" s="495"/>
      <c r="BB156" s="2"/>
      <c r="BC156" s="2"/>
      <c r="BD156" s="43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735"/>
      <c r="BQ156" s="2"/>
      <c r="BR156" s="2"/>
      <c r="BS156" s="2"/>
      <c r="BT156" s="2"/>
      <c r="BU156" s="2"/>
      <c r="BV156" s="2"/>
    </row>
    <row r="157" spans="2:74" x14ac:dyDescent="0.35">
      <c r="AC157"/>
      <c r="AD157"/>
      <c r="AF157" s="3"/>
    </row>
    <row r="158" spans="2:74" s="21" customFormat="1" x14ac:dyDescent="0.35">
      <c r="B158" s="2"/>
      <c r="C158" s="2"/>
      <c r="D158"/>
      <c r="E158"/>
      <c r="F158" s="43"/>
      <c r="G158" s="43"/>
      <c r="H158" s="2"/>
      <c r="I158" s="2"/>
      <c r="J158" s="2"/>
      <c r="K158" s="2"/>
      <c r="L158" s="2"/>
      <c r="M158" s="124"/>
      <c r="N158" s="2"/>
      <c r="O158" s="2"/>
      <c r="P158" s="133"/>
      <c r="Q158" s="2"/>
      <c r="R158" s="2"/>
      <c r="S158" s="2"/>
      <c r="T158"/>
      <c r="U158"/>
      <c r="V158"/>
      <c r="W158"/>
      <c r="X158"/>
      <c r="Y158" s="2"/>
      <c r="Z158"/>
      <c r="AA158"/>
      <c r="AB158"/>
      <c r="AC158">
        <v>2000</v>
      </c>
      <c r="AD158"/>
      <c r="AE158" s="124"/>
      <c r="AF158" s="3"/>
      <c r="AH158" s="2"/>
      <c r="AI158" s="124"/>
      <c r="AJ158" s="124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BA158" s="495"/>
      <c r="BB158" s="2"/>
      <c r="BC158" s="2"/>
      <c r="BD158" s="43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735"/>
      <c r="BQ158" s="2"/>
      <c r="BR158" s="2"/>
      <c r="BS158" s="2"/>
      <c r="BT158" s="2"/>
      <c r="BU158" s="2"/>
      <c r="BV158" s="2"/>
    </row>
    <row r="159" spans="2:74" x14ac:dyDescent="0.35">
      <c r="AC159" s="2">
        <v>44</v>
      </c>
      <c r="AI159" s="124">
        <f>110*30*12</f>
        <v>39600</v>
      </c>
    </row>
    <row r="160" spans="2:74" x14ac:dyDescent="0.35">
      <c r="AD160" s="3"/>
      <c r="AF160" s="3"/>
    </row>
  </sheetData>
  <dataConsolidate/>
  <mergeCells count="29">
    <mergeCell ref="AJ136:AJ139"/>
    <mergeCell ref="AJ131:AJ134"/>
    <mergeCell ref="AF118:AG118"/>
    <mergeCell ref="AB130:AC130"/>
    <mergeCell ref="AF130:AG130"/>
    <mergeCell ref="AB129:AK129"/>
    <mergeCell ref="F2:BI2"/>
    <mergeCell ref="F3:G3"/>
    <mergeCell ref="F4:G4"/>
    <mergeCell ref="F5:G5"/>
    <mergeCell ref="B7:C7"/>
    <mergeCell ref="AA7:BA7"/>
    <mergeCell ref="AY66:AZ66"/>
    <mergeCell ref="BE8:BF8"/>
    <mergeCell ref="AA22:BA22"/>
    <mergeCell ref="B23:C23"/>
    <mergeCell ref="BE23:BF23"/>
    <mergeCell ref="AA26:BA26"/>
    <mergeCell ref="AA36:BA36"/>
    <mergeCell ref="AA38:BA38"/>
    <mergeCell ref="AA47:BA47"/>
    <mergeCell ref="B48:C48"/>
    <mergeCell ref="AA62:BA62"/>
    <mergeCell ref="B63:C63"/>
    <mergeCell ref="F101:G101"/>
    <mergeCell ref="AA69:BA69"/>
    <mergeCell ref="AB118:AC118"/>
    <mergeCell ref="AB117:AK117"/>
    <mergeCell ref="AB115:AK115"/>
  </mergeCells>
  <conditionalFormatting sqref="B8:C21 B24:C46 BE24:BI46">
    <cfRule type="expression" dxfId="142" priority="18">
      <formula>LEN(B8)=0</formula>
    </cfRule>
  </conditionalFormatting>
  <conditionalFormatting sqref="B62:C62 B64:C64">
    <cfRule type="expression" dxfId="141" priority="20">
      <formula>LEN(B62)=0</formula>
    </cfRule>
  </conditionalFormatting>
  <conditionalFormatting sqref="B67:C70">
    <cfRule type="expression" dxfId="140" priority="7">
      <formula>LEN(B67)=0</formula>
    </cfRule>
  </conditionalFormatting>
  <conditionalFormatting sqref="B82:C82">
    <cfRule type="expression" dxfId="139" priority="12">
      <formula>LEN(B82)=0</formula>
    </cfRule>
  </conditionalFormatting>
  <conditionalFormatting sqref="B84:C89 BE84:BI89">
    <cfRule type="expression" dxfId="138" priority="4">
      <formula>LEN(B84)=0</formula>
    </cfRule>
  </conditionalFormatting>
  <conditionalFormatting sqref="B95:C100 BE95:BI100">
    <cfRule type="expression" dxfId="137" priority="2">
      <formula>LEN(B95)=0</formula>
    </cfRule>
  </conditionalFormatting>
  <conditionalFormatting sqref="D26:T26 BD26">
    <cfRule type="expression" dxfId="136" priority="9">
      <formula>LEN(D26)=0</formula>
    </cfRule>
  </conditionalFormatting>
  <conditionalFormatting sqref="AH9:AH21 AH37 AH39:AH46 AH49:AH61 AH72:AH80">
    <cfRule type="cellIs" dxfId="135" priority="19" operator="greaterThan">
      <formula>2</formula>
    </cfRule>
  </conditionalFormatting>
  <conditionalFormatting sqref="AH24:AH25 AH27:AH35">
    <cfRule type="cellIs" dxfId="134" priority="10" operator="greaterThan">
      <formula>2</formula>
    </cfRule>
  </conditionalFormatting>
  <conditionalFormatting sqref="AH64">
    <cfRule type="cellIs" dxfId="133" priority="16" operator="greaterThan">
      <formula>2</formula>
    </cfRule>
  </conditionalFormatting>
  <conditionalFormatting sqref="AH67:AH68">
    <cfRule type="cellIs" dxfId="132" priority="14" operator="greaterThan">
      <formula>2</formula>
    </cfRule>
  </conditionalFormatting>
  <conditionalFormatting sqref="AH70">
    <cfRule type="cellIs" dxfId="131" priority="15" operator="greaterThan">
      <formula>2</formula>
    </cfRule>
  </conditionalFormatting>
  <conditionalFormatting sqref="AH82">
    <cfRule type="cellIs" dxfId="130" priority="13" operator="greaterThan">
      <formula>2</formula>
    </cfRule>
  </conditionalFormatting>
  <conditionalFormatting sqref="AH84:AH89">
    <cfRule type="cellIs" dxfId="129" priority="3" operator="greaterThan">
      <formula>2</formula>
    </cfRule>
  </conditionalFormatting>
  <conditionalFormatting sqref="AH91:AH100">
    <cfRule type="cellIs" dxfId="128" priority="1" operator="greaterThan">
      <formula>2</formula>
    </cfRule>
  </conditionalFormatting>
  <conditionalFormatting sqref="BE9:BI21">
    <cfRule type="expression" dxfId="127" priority="17">
      <formula>LEN(BE9)=0</formula>
    </cfRule>
  </conditionalFormatting>
  <conditionalFormatting sqref="BG82:BI82">
    <cfRule type="expression" dxfId="126" priority="11">
      <formula>LEN(BG82)=0</formula>
    </cfRule>
  </conditionalFormatting>
  <dataValidations disablePrompts="1" count="3">
    <dataValidation type="list" allowBlank="1" showInputMessage="1" showErrorMessage="1" sqref="BD3 BD7 AM3:AM4 BI7 AN3" xr:uid="{39EC1158-C661-4FEB-975F-47BB87611208}">
      <formula1>$AX$4:$AZ$4</formula1>
    </dataValidation>
    <dataValidation type="list" allowBlank="1" showInputMessage="1" showErrorMessage="1" sqref="W9:W21 W24:W46 W84:W89 W95:W100" xr:uid="{BE3BDE8E-2EF0-45C3-9674-B149A9CFA40F}">
      <formula1>Overages</formula1>
    </dataValidation>
    <dataValidation type="list" allowBlank="1" showInputMessage="1" showErrorMessage="1" sqref="AB9:AB21 X9:X21 AB67:AB68 AB82 AB64 AB24:AB25 X24:X46 AB70 AB37 AB72:AB80 AB39:AB46 AB27:AB35 X84:X89 AB49:AB61 AB84:AB89 AB91:AB100 X95:X100" xr:uid="{15ACCF1B-4A50-4C25-A9A1-89900E594FEF}">
      <formula1>Port_List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169CFDA3-E3EF-4B0C-A576-646D827F8712}">
          <x14:formula1>
            <xm:f>Control!$AC$3:$AI$3</xm:f>
          </x14:formula1>
          <xm:sqref>AA67:AA68 AA82 AA64 AA24:AA25 AA27:AA35 AA70 AA37 AA72:AA80 AA39:AA46 AA49:AA61 AA84:AA89 AA91:AA100</xm:sqref>
        </x14:dataValidation>
        <x14:dataValidation type="list" allowBlank="1" showInputMessage="1" showErrorMessage="1" xr:uid="{9C0CDCD1-8D33-469C-B1D4-8BDAFEE8FCA3}">
          <x14:formula1>
            <xm:f>Control!$E$6:$E$9</xm:f>
          </x14:formula1>
          <xm:sqref>AA9:AA21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F80F-78CC-468D-840E-B9FBD5AEC7AE}">
  <sheetPr codeName="Sheet5">
    <tabColor rgb="FF66FFFF"/>
    <outlinePr summaryRight="0"/>
  </sheetPr>
  <dimension ref="A1:BT151"/>
  <sheetViews>
    <sheetView showGridLines="0" topLeftCell="A2" zoomScale="70" zoomScaleNormal="70" workbookViewId="0">
      <pane xSplit="3" ySplit="22" topLeftCell="D24" activePane="bottomRight" state="frozen"/>
      <selection pane="topRight" activeCell="D2" sqref="D2"/>
      <selection pane="bottomLeft" activeCell="A24" sqref="A24"/>
      <selection pane="bottomRight" activeCell="Y3" sqref="Y3"/>
    </sheetView>
  </sheetViews>
  <sheetFormatPr defaultColWidth="8.81640625" defaultRowHeight="15.5" outlineLevelRow="1" outlineLevelCol="1" x14ac:dyDescent="0.35"/>
  <cols>
    <col min="1" max="1" width="8" style="2" customWidth="1"/>
    <col min="2" max="2" width="8.453125" style="2" customWidth="1"/>
    <col min="3" max="3" width="1.1796875" customWidth="1"/>
    <col min="4" max="4" width="10.453125" style="43" customWidth="1"/>
    <col min="5" max="5" width="13" style="43" customWidth="1" collapsed="1"/>
    <col min="6" max="6" width="19.54296875" style="2" hidden="1" customWidth="1" outlineLevel="1"/>
    <col min="7" max="7" width="5.54296875" style="2" hidden="1" customWidth="1" outlineLevel="1"/>
    <col min="8" max="9" width="9.453125" style="2" hidden="1" customWidth="1" outlineLevel="1"/>
    <col min="10" max="10" width="18" style="2" hidden="1" customWidth="1" outlineLevel="1"/>
    <col min="11" max="11" width="14" style="124" hidden="1" customWidth="1" outlineLevel="1"/>
    <col min="12" max="12" width="15.81640625" style="2" hidden="1" customWidth="1" outlineLevel="1"/>
    <col min="13" max="13" width="14.54296875" style="2" hidden="1" customWidth="1" outlineLevel="1"/>
    <col min="14" max="14" width="11" style="133" hidden="1" customWidth="1" outlineLevel="1"/>
    <col min="15" max="15" width="8" style="2" hidden="1" customWidth="1" outlineLevel="1"/>
    <col min="16" max="17" width="10.453125" style="2" hidden="1" customWidth="1" outlineLevel="1"/>
    <col min="18" max="18" width="10.453125" hidden="1" customWidth="1" outlineLevel="1"/>
    <col min="19" max="19" width="2.54296875" customWidth="1" collapsed="1"/>
    <col min="20" max="20" width="11.453125" hidden="1" customWidth="1" outlineLevel="1"/>
    <col min="21" max="21" width="9.453125" hidden="1" customWidth="1" outlineLevel="1"/>
    <col min="22" max="22" width="19.54296875" hidden="1" customWidth="1" outlineLevel="1"/>
    <col min="23" max="23" width="18" style="2" hidden="1" customWidth="1" outlineLevel="1"/>
    <col min="24" max="24" width="13.453125" hidden="1" customWidth="1" outlineLevel="1"/>
    <col min="25" max="25" width="18.54296875" customWidth="1"/>
    <col min="26" max="26" width="14.54296875" customWidth="1"/>
    <col min="27" max="27" width="18" style="2" customWidth="1"/>
    <col min="28" max="28" width="16.453125" style="2" customWidth="1"/>
    <col min="29" max="29" width="17.453125" style="124" hidden="1" customWidth="1"/>
    <col min="30" max="30" width="14.54296875" style="124" customWidth="1"/>
    <col min="31" max="31" width="17.453125" style="21" customWidth="1"/>
    <col min="32" max="32" width="10.453125" style="2" customWidth="1"/>
    <col min="33" max="33" width="5.54296875" style="124" customWidth="1"/>
    <col min="34" max="34" width="7.54296875" style="124" customWidth="1"/>
    <col min="35" max="35" width="11.453125" style="2" customWidth="1"/>
    <col min="36" max="36" width="8.81640625" style="2" bestFit="1" customWidth="1"/>
    <col min="37" max="37" width="10.453125" style="2" bestFit="1" customWidth="1"/>
    <col min="38" max="38" width="9" style="2" customWidth="1" collapsed="1"/>
    <col min="39" max="39" width="10.453125" style="2" hidden="1" customWidth="1" outlineLevel="1"/>
    <col min="40" max="40" width="16" style="2" hidden="1" customWidth="1" outlineLevel="1"/>
    <col min="41" max="41" width="11" style="2" hidden="1" customWidth="1" outlineLevel="1"/>
    <col min="42" max="42" width="11.54296875" style="2" hidden="1" customWidth="1" outlineLevel="1"/>
    <col min="43" max="43" width="17" style="2" hidden="1" customWidth="1" outlineLevel="1"/>
    <col min="44" max="44" width="9.54296875" style="2" hidden="1" customWidth="1" outlineLevel="1"/>
    <col min="45" max="45" width="11.54296875" style="2" hidden="1" customWidth="1" outlineLevel="1"/>
    <col min="46" max="46" width="12.54296875" style="2" hidden="1" customWidth="1" outlineLevel="1"/>
    <col min="47" max="47" width="14.1796875" style="21" customWidth="1"/>
    <col min="48" max="48" width="8.453125" style="21" customWidth="1"/>
    <col min="49" max="49" width="10.453125" style="21" customWidth="1"/>
    <col min="50" max="50" width="9" style="21" customWidth="1"/>
    <col min="51" max="51" width="12.54296875" style="495" customWidth="1"/>
    <col min="52" max="52" width="1.1796875" style="2" customWidth="1"/>
    <col min="53" max="53" width="1.1796875" style="2" hidden="1" customWidth="1"/>
    <col min="54" max="54" width="12" style="43" customWidth="1"/>
    <col min="55" max="55" width="9.54296875" style="2" customWidth="1"/>
    <col min="56" max="56" width="10.453125" style="2" customWidth="1"/>
    <col min="57" max="57" width="8.453125" style="2" bestFit="1" customWidth="1"/>
    <col min="58" max="58" width="9.453125" style="2" customWidth="1"/>
    <col min="59" max="59" width="9.54296875" style="2" customWidth="1"/>
    <col min="60" max="60" width="13.453125" style="2" customWidth="1"/>
    <col min="61" max="63" width="14.54296875" style="2" bestFit="1" customWidth="1"/>
    <col min="64" max="65" width="14.54296875" style="2" customWidth="1"/>
    <col min="66" max="66" width="16.453125" style="735" bestFit="1" customWidth="1"/>
    <col min="67" max="67" width="16.453125" style="2" bestFit="1" customWidth="1"/>
    <col min="68" max="68" width="12.54296875" style="2" bestFit="1" customWidth="1"/>
    <col min="69" max="69" width="10.453125" style="2" bestFit="1" customWidth="1"/>
    <col min="70" max="70" width="8.81640625" style="2"/>
    <col min="71" max="71" width="19.54296875" style="2" customWidth="1"/>
    <col min="72" max="72" width="12.54296875" style="2" bestFit="1" customWidth="1"/>
  </cols>
  <sheetData>
    <row r="1" spans="1:72" ht="15.65" hidden="1" customHeight="1" x14ac:dyDescent="0.35">
      <c r="R1" s="20"/>
      <c r="S1" s="2"/>
      <c r="T1" s="2"/>
      <c r="U1" s="2"/>
      <c r="V1" s="2"/>
      <c r="W1" s="2" t="e">
        <f>INDEX(Vessel_Minimum_MT,MATCH(Y1,Control!$E$11:$E$15,0),MATCH(V1,Control!$E$11:$J$11,0))</f>
        <v>#N/A</v>
      </c>
      <c r="X1" s="2"/>
      <c r="Y1" s="2"/>
      <c r="Z1" s="2"/>
      <c r="AI1" s="2" t="e">
        <f>AF1*VLOOKUP($Y1,Control!$F$75:$H$79,3,FALSE)/$AB1</f>
        <v>#N/A</v>
      </c>
    </row>
    <row r="2" spans="1:72" ht="29" thickBot="1" x14ac:dyDescent="0.7">
      <c r="A2" s="386"/>
      <c r="B2"/>
      <c r="D2" s="997" t="s">
        <v>366</v>
      </c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  <c r="P2" s="997"/>
      <c r="Q2" s="997"/>
      <c r="R2" s="997"/>
      <c r="S2" s="997"/>
      <c r="T2" s="997"/>
      <c r="U2" s="997"/>
      <c r="V2" s="997"/>
      <c r="W2" s="997"/>
      <c r="X2" s="997"/>
      <c r="Y2" s="997"/>
      <c r="Z2" s="997"/>
      <c r="AA2" s="997"/>
      <c r="AB2" s="997"/>
      <c r="AC2" s="997"/>
      <c r="AD2" s="997"/>
      <c r="AE2" s="997"/>
      <c r="AF2" s="997"/>
      <c r="AG2" s="997"/>
      <c r="AH2" s="997"/>
      <c r="AI2" s="997"/>
      <c r="AJ2" s="997"/>
      <c r="AK2" s="997"/>
      <c r="AL2" s="997"/>
      <c r="AM2" s="997"/>
      <c r="AN2" s="997"/>
      <c r="AO2" s="997"/>
      <c r="AP2" s="997"/>
      <c r="AQ2" s="997"/>
      <c r="AR2" s="997"/>
      <c r="AS2" s="997"/>
      <c r="AT2" s="997"/>
      <c r="AU2" s="997"/>
      <c r="AV2" s="997"/>
      <c r="AW2" s="997"/>
      <c r="AX2" s="997"/>
      <c r="AY2" s="997"/>
      <c r="AZ2" s="997"/>
      <c r="BA2" s="997"/>
      <c r="BB2" s="997"/>
      <c r="BC2" s="997"/>
      <c r="BD2" s="997"/>
      <c r="BE2" s="997"/>
      <c r="BF2" s="997"/>
      <c r="BG2" s="997"/>
      <c r="BH2" s="133"/>
      <c r="BJ2" s="268"/>
      <c r="BK2" s="268"/>
      <c r="BL2" s="268"/>
      <c r="BM2" s="268"/>
    </row>
    <row r="3" spans="1:72" s="364" customFormat="1" ht="18" customHeight="1" thickBot="1" x14ac:dyDescent="0.4">
      <c r="A3" s="387"/>
      <c r="C3"/>
      <c r="D3" s="998" t="s">
        <v>154</v>
      </c>
      <c r="E3" s="998"/>
      <c r="F3" s="204"/>
      <c r="G3" s="205"/>
      <c r="H3" s="206"/>
      <c r="I3" s="207"/>
      <c r="J3" s="206"/>
      <c r="K3" s="206"/>
      <c r="O3" s="11"/>
      <c r="P3" s="193"/>
      <c r="Q3" s="193"/>
      <c r="R3" s="193"/>
      <c r="S3" s="37"/>
      <c r="T3" s="37"/>
      <c r="U3" s="126"/>
      <c r="V3" s="38"/>
      <c r="W3" s="126"/>
      <c r="X3" s="37"/>
      <c r="Y3" s="570">
        <v>-21</v>
      </c>
      <c r="Z3" s="759"/>
      <c r="AA3" s="851">
        <v>45775</v>
      </c>
      <c r="AB3" s="364" t="s">
        <v>270</v>
      </c>
      <c r="AD3" s="851">
        <f>+AA3+10</f>
        <v>45785</v>
      </c>
      <c r="AI3" s="644"/>
      <c r="AJ3" s="810" t="s">
        <v>127</v>
      </c>
      <c r="AK3" s="483">
        <v>0</v>
      </c>
      <c r="AL3" s="483">
        <v>1</v>
      </c>
      <c r="AM3" s="12"/>
      <c r="AN3" s="12"/>
      <c r="AO3" s="12"/>
      <c r="AP3" s="12"/>
      <c r="AQ3" s="12"/>
      <c r="AR3" s="12"/>
      <c r="AS3" s="12"/>
      <c r="AT3" s="371"/>
      <c r="AV3" s="124" t="s">
        <v>155</v>
      </c>
      <c r="AW3" s="2" t="s">
        <v>156</v>
      </c>
      <c r="AX3" s="2" t="s">
        <v>157</v>
      </c>
      <c r="AY3" s="2"/>
      <c r="AZ3" s="2"/>
      <c r="BA3" s="2"/>
      <c r="BB3" s="483">
        <v>1</v>
      </c>
      <c r="BC3" s="373">
        <f>WTI!BD3</f>
        <v>46296</v>
      </c>
      <c r="BD3" s="373">
        <f>WTI!BE3</f>
        <v>46356</v>
      </c>
      <c r="BE3" s="373">
        <f>WTI!BF3</f>
        <v>46387</v>
      </c>
      <c r="BF3" s="373">
        <f>WTI!BG3</f>
        <v>46418</v>
      </c>
      <c r="BG3" s="373">
        <f>WTI!BH3</f>
        <v>46446</v>
      </c>
      <c r="BH3" s="369"/>
      <c r="BI3" s="365"/>
      <c r="BJ3" s="370"/>
      <c r="BK3" s="370"/>
      <c r="BL3" s="370"/>
      <c r="BM3" s="370"/>
      <c r="BN3" s="735"/>
      <c r="BO3" s="365"/>
      <c r="BP3" s="365"/>
      <c r="BQ3" s="365"/>
      <c r="BR3" s="365"/>
      <c r="BS3" s="365"/>
      <c r="BT3" s="365"/>
    </row>
    <row r="4" spans="1:72" ht="15.65" customHeight="1" thickBot="1" x14ac:dyDescent="0.4">
      <c r="B4"/>
      <c r="D4" s="1006" t="s">
        <v>158</v>
      </c>
      <c r="E4" s="1006"/>
      <c r="N4" s="133" t="s">
        <v>159</v>
      </c>
      <c r="T4" t="s">
        <v>160</v>
      </c>
      <c r="U4" t="s">
        <v>161</v>
      </c>
      <c r="V4" t="s">
        <v>162</v>
      </c>
      <c r="Y4" s="195">
        <f>Y3</f>
        <v>-21</v>
      </c>
      <c r="Z4" s="194"/>
      <c r="AB4" s="2" t="s">
        <v>271</v>
      </c>
      <c r="AD4" s="851">
        <f>+AA3+30</f>
        <v>45805</v>
      </c>
      <c r="AI4" s="406"/>
      <c r="AJ4" s="133" t="s">
        <v>128</v>
      </c>
      <c r="AK4" s="483">
        <v>1</v>
      </c>
      <c r="AT4" s="21"/>
      <c r="AV4" s="193">
        <v>0</v>
      </c>
      <c r="AW4" s="193">
        <v>1</v>
      </c>
      <c r="AX4" s="193">
        <v>2</v>
      </c>
      <c r="AY4" s="193" t="s">
        <v>163</v>
      </c>
      <c r="BB4" s="46" t="s">
        <v>164</v>
      </c>
      <c r="BC4" s="208">
        <f>WTI!BD4</f>
        <v>3.75</v>
      </c>
      <c r="BD4" s="208">
        <f>WTI!BE4</f>
        <v>2.9</v>
      </c>
      <c r="BE4" s="208">
        <f>WTI!BF4</f>
        <v>2.25</v>
      </c>
      <c r="BF4" s="208">
        <f>WTI!BG4</f>
        <v>1.9</v>
      </c>
      <c r="BG4" s="208">
        <f>WTI!BH4</f>
        <v>1.7</v>
      </c>
      <c r="BS4" s="132"/>
      <c r="BT4" s="127"/>
    </row>
    <row r="5" spans="1:72" ht="15" customHeight="1" x14ac:dyDescent="0.35">
      <c r="D5" s="1007" t="s">
        <v>165</v>
      </c>
      <c r="E5" s="1007"/>
      <c r="G5" s="204"/>
      <c r="H5" s="204"/>
      <c r="I5" s="205"/>
      <c r="J5" s="206"/>
      <c r="K5" s="207"/>
      <c r="L5" s="206"/>
      <c r="M5" s="206"/>
      <c r="T5" s="194">
        <f>A8</f>
        <v>46341</v>
      </c>
      <c r="U5">
        <v>13</v>
      </c>
      <c r="V5" s="375">
        <f>T5+BB31+U5</f>
        <v>46408</v>
      </c>
      <c r="X5" s="2"/>
      <c r="Y5">
        <v>0.03</v>
      </c>
      <c r="Z5" s="77">
        <f>AY71-AY70</f>
        <v>18.563453541913717</v>
      </c>
      <c r="AB5" s="51"/>
      <c r="AC5" s="569"/>
      <c r="AD5" s="569"/>
      <c r="AE5" s="569"/>
      <c r="AF5" s="51"/>
      <c r="AT5" s="21"/>
      <c r="AV5" s="645" t="s">
        <v>155</v>
      </c>
      <c r="AW5" s="646" t="s">
        <v>156</v>
      </c>
      <c r="AX5" s="646" t="s">
        <v>157</v>
      </c>
      <c r="BB5" s="203" t="s">
        <v>229</v>
      </c>
      <c r="BC5" s="208">
        <f>WTI!BD5</f>
        <v>13.5</v>
      </c>
      <c r="BD5" s="208">
        <f>WTI!BE5</f>
        <v>5.28</v>
      </c>
      <c r="BE5" s="208">
        <f>WTI!BF5</f>
        <v>3.98</v>
      </c>
      <c r="BF5" s="208">
        <f>WTI!BG5</f>
        <v>2.93</v>
      </c>
      <c r="BG5" s="208">
        <f>WTI!BH5</f>
        <v>2.4500000000000002</v>
      </c>
    </row>
    <row r="6" spans="1:72" ht="15" customHeight="1" thickBot="1" x14ac:dyDescent="0.4">
      <c r="G6" s="204"/>
      <c r="H6" s="204"/>
      <c r="I6" s="205"/>
      <c r="J6" s="206"/>
      <c r="K6" s="207"/>
      <c r="L6" s="206"/>
      <c r="M6" s="206"/>
      <c r="R6" s="20"/>
      <c r="V6" s="2"/>
      <c r="X6" s="2"/>
      <c r="Y6" s="2"/>
      <c r="Z6" s="35"/>
      <c r="AA6" s="52"/>
      <c r="AB6" s="192"/>
      <c r="AC6" s="192"/>
      <c r="AD6" s="192"/>
      <c r="AE6" s="192"/>
      <c r="AF6" s="192"/>
      <c r="AG6" s="484"/>
      <c r="AH6" s="484"/>
      <c r="AI6" s="384"/>
      <c r="AJ6" s="384"/>
      <c r="AK6" s="384"/>
      <c r="AY6" s="583" t="s">
        <v>166</v>
      </c>
      <c r="BB6" s="203" t="s">
        <v>254</v>
      </c>
      <c r="BC6" s="208">
        <f>WTI!BD6</f>
        <v>-5.25</v>
      </c>
      <c r="BD6" s="208">
        <f>WTI!BE6</f>
        <v>-1.7</v>
      </c>
      <c r="BE6" s="208">
        <f>WTI!BF6</f>
        <v>-0.9</v>
      </c>
      <c r="BF6" s="208">
        <f>WTI!BG6</f>
        <v>-0.7</v>
      </c>
      <c r="BG6" s="208">
        <f>WTI!BH6</f>
        <v>-0.65</v>
      </c>
      <c r="BI6" s="44"/>
      <c r="BJ6" s="44"/>
      <c r="BK6" s="44"/>
      <c r="BL6" s="44"/>
      <c r="BM6" s="44"/>
    </row>
    <row r="7" spans="1:72" ht="19" thickBot="1" x14ac:dyDescent="0.5">
      <c r="A7" s="1005" t="s">
        <v>167</v>
      </c>
      <c r="B7" s="1005"/>
      <c r="D7" s="112"/>
      <c r="E7" s="112"/>
      <c r="F7"/>
      <c r="G7"/>
      <c r="H7"/>
      <c r="I7"/>
      <c r="J7"/>
      <c r="K7"/>
      <c r="L7"/>
      <c r="M7"/>
      <c r="N7"/>
      <c r="O7"/>
      <c r="P7"/>
      <c r="Q7"/>
      <c r="T7" s="9"/>
      <c r="U7" s="9"/>
      <c r="V7" s="9"/>
      <c r="W7" s="9"/>
      <c r="X7" s="9"/>
      <c r="Y7" s="999" t="s">
        <v>255</v>
      </c>
      <c r="Z7" s="1000"/>
      <c r="AA7" s="1000"/>
      <c r="AB7" s="1000"/>
      <c r="AC7" s="1000"/>
      <c r="AD7" s="1000"/>
      <c r="AE7" s="1000"/>
      <c r="AF7" s="1000"/>
      <c r="AG7" s="1000"/>
      <c r="AH7" s="1000"/>
      <c r="AI7" s="1000"/>
      <c r="AJ7" s="1000"/>
      <c r="AK7" s="1000"/>
      <c r="AL7" s="1000"/>
      <c r="AM7" s="1000"/>
      <c r="AN7" s="1000"/>
      <c r="AO7" s="1000"/>
      <c r="AP7" s="1000"/>
      <c r="AQ7" s="1000"/>
      <c r="AR7" s="1000"/>
      <c r="AS7" s="1000"/>
      <c r="AT7" s="1000"/>
      <c r="AU7" s="1000"/>
      <c r="AV7" s="1000"/>
      <c r="AW7" s="1000"/>
      <c r="AX7" s="1000"/>
      <c r="AY7" s="1001"/>
      <c r="BB7" s="483">
        <v>1</v>
      </c>
      <c r="BC7" s="583" t="s">
        <v>169</v>
      </c>
      <c r="BD7" s="76"/>
      <c r="BE7" s="76"/>
      <c r="BF7" s="76"/>
      <c r="BG7" s="483">
        <v>0</v>
      </c>
      <c r="BH7" s="587"/>
      <c r="BI7" s="44"/>
    </row>
    <row r="8" spans="1:72" ht="27" customHeight="1" thickBot="1" x14ac:dyDescent="0.4">
      <c r="A8" s="309">
        <v>46341</v>
      </c>
      <c r="B8" s="310">
        <f>A8+2</f>
        <v>46343</v>
      </c>
      <c r="D8" s="137" t="s">
        <v>170</v>
      </c>
      <c r="E8" s="137" t="s">
        <v>171</v>
      </c>
      <c r="F8"/>
      <c r="G8"/>
      <c r="H8"/>
      <c r="I8"/>
      <c r="J8"/>
      <c r="K8"/>
      <c r="L8"/>
      <c r="M8"/>
      <c r="N8"/>
      <c r="O8"/>
      <c r="P8"/>
      <c r="Q8"/>
      <c r="T8" s="120" t="s">
        <v>172</v>
      </c>
      <c r="U8" s="120" t="s">
        <v>2</v>
      </c>
      <c r="V8" s="120" t="s">
        <v>173</v>
      </c>
      <c r="W8" s="152" t="s">
        <v>174</v>
      </c>
      <c r="X8" s="120" t="s">
        <v>175</v>
      </c>
      <c r="Y8" s="571" t="s">
        <v>176</v>
      </c>
      <c r="Z8" s="571" t="s">
        <v>177</v>
      </c>
      <c r="AA8" s="571" t="s">
        <v>178</v>
      </c>
      <c r="AB8" s="571" t="s">
        <v>179</v>
      </c>
      <c r="AC8" s="578" t="s">
        <v>180</v>
      </c>
      <c r="AD8" s="128" t="s">
        <v>181</v>
      </c>
      <c r="AE8" s="579" t="s">
        <v>182</v>
      </c>
      <c r="AF8" s="580" t="s">
        <v>183</v>
      </c>
      <c r="AG8" s="578" t="s">
        <v>127</v>
      </c>
      <c r="AH8" s="578" t="s">
        <v>128</v>
      </c>
      <c r="AI8" s="580" t="s">
        <v>184</v>
      </c>
      <c r="AJ8" s="580" t="s">
        <v>185</v>
      </c>
      <c r="AK8" s="580"/>
      <c r="AL8" s="580" t="s">
        <v>98</v>
      </c>
      <c r="AM8" s="580" t="s">
        <v>186</v>
      </c>
      <c r="AN8" s="580" t="s">
        <v>187</v>
      </c>
      <c r="AO8" s="580" t="s">
        <v>141</v>
      </c>
      <c r="AP8" s="580" t="s">
        <v>188</v>
      </c>
      <c r="AQ8" s="580" t="s">
        <v>17</v>
      </c>
      <c r="AR8" s="580" t="s">
        <v>18</v>
      </c>
      <c r="AS8" s="580" t="s">
        <v>189</v>
      </c>
      <c r="AT8" s="580" t="s">
        <v>152</v>
      </c>
      <c r="AU8" s="579" t="s">
        <v>190</v>
      </c>
      <c r="AV8" s="579" t="s">
        <v>191</v>
      </c>
      <c r="AW8" s="579" t="s">
        <v>192</v>
      </c>
      <c r="AX8" s="579" t="s">
        <v>193</v>
      </c>
      <c r="AY8" s="137" t="s">
        <v>194</v>
      </c>
      <c r="BB8" s="137" t="s">
        <v>195</v>
      </c>
      <c r="BC8" s="1012" t="s">
        <v>196</v>
      </c>
      <c r="BD8" s="1012"/>
      <c r="BE8" s="581" t="s">
        <v>193</v>
      </c>
      <c r="BF8" s="581" t="s">
        <v>197</v>
      </c>
      <c r="BG8" s="581" t="s">
        <v>198</v>
      </c>
      <c r="BI8" s="44"/>
      <c r="BJ8" s="44"/>
      <c r="BK8" s="44"/>
      <c r="BL8" s="44"/>
      <c r="BM8" s="44"/>
    </row>
    <row r="9" spans="1:72" ht="15.75" hidden="1" customHeight="1" outlineLevel="1" x14ac:dyDescent="0.35">
      <c r="A9" s="82">
        <f>+$A$8</f>
        <v>46341</v>
      </c>
      <c r="B9" s="82">
        <f t="shared" ref="B9:B21" si="0">IF(ISBLANK(A9),"",A9+2)</f>
        <v>46343</v>
      </c>
      <c r="D9" s="153">
        <f>IF(AL9=0,0,VLOOKUP(Y9,Control!$G$41:$J$44,4,FALSE))</f>
        <v>0</v>
      </c>
      <c r="E9" s="153"/>
      <c r="F9"/>
      <c r="G9"/>
      <c r="H9"/>
      <c r="I9"/>
      <c r="J9"/>
      <c r="K9"/>
      <c r="L9"/>
      <c r="M9"/>
      <c r="N9"/>
      <c r="O9"/>
      <c r="P9"/>
      <c r="Q9"/>
      <c r="T9" s="165" t="e">
        <v>#N/A</v>
      </c>
      <c r="U9" s="138">
        <f>INDEX(Control!$E$17:$J$21,MATCH(Y9,Control!$E$17:$E$21,0),MATCH(V9,Control!$E$17:$J$17,0))</f>
        <v>0.5</v>
      </c>
      <c r="V9" s="138" t="s">
        <v>63</v>
      </c>
      <c r="W9" s="116">
        <f>INDEX(Vessel_Minimum_MT,MATCH(Y9,Control!$E$11:$E$15,0),MATCH(V9,Control!$E$11:$J$11,0))</f>
        <v>50000</v>
      </c>
      <c r="X9" s="140">
        <f>AB9/Control!$D$84</f>
        <v>62424.327803203661</v>
      </c>
      <c r="Y9" s="147" t="s">
        <v>22</v>
      </c>
      <c r="Z9" s="142" t="s">
        <v>110</v>
      </c>
      <c r="AA9" s="142" t="str">
        <f t="shared" ref="AA9:AA21" si="1">IF(Z9=V9,"",CONCATENATE(CONCATENATE(VLOOKUP(V9,Zones,2,FALSE),"/",VLOOKUP(Z9,Zones,2,FALSE))))</f>
        <v>Panama WC/LATAM WEST</v>
      </c>
      <c r="AB9" s="141">
        <v>485000</v>
      </c>
      <c r="AC9" s="141">
        <v>245</v>
      </c>
      <c r="AD9" s="151">
        <v>100</v>
      </c>
      <c r="AE9" s="149" t="e">
        <f>IF(AD9&gt;1000,IF(AD9=0,AD9,AD9)/AB9,((W9*T9*(IF(AD9=0,AD9,AD9)/100))+IF(X9&lt;W9,0,(X9-W9)*T9*IF(AD9=0,AD9,AD9)/100*U9))/AB9)</f>
        <v>#N/A</v>
      </c>
      <c r="AF9" s="144">
        <v>5</v>
      </c>
      <c r="AG9" s="155">
        <f>IF(INDEX(Index,MATCH(Z9,TVM_PortList,0),MATCH("Type",Control!$Q$3:$U$3,0))="BL",INDEX(Index,MATCH(Z9,TVM_PortList,0),MATCH("Payment",Control!$Q$3:$U$3,0))-INDEX(Index,MATCH(V9,TVM_PortList,0),MATCH("Payment",Control!$Q$3:$U$3,0)),BB9+INDEX(Index,MATCH(Z9,TVM_PortList,0),MATCH("Payment",Control!$Q$3:$U$3,0))-INDEX(Index,MATCH(V9,TVM_PortList,0),MATCH("Payment",Control!$Q$3:$U$3,0)))</f>
        <v>15</v>
      </c>
      <c r="AH9" s="155"/>
      <c r="AI9" s="143">
        <f>AF9*VLOOKUP($Y9,Control!$F$75:$H$79,3,FALSE)/$AB9</f>
        <v>0.46391752577319589</v>
      </c>
      <c r="AJ9" s="143">
        <f>IF(AG9&lt;0,0,$AG9*Control!$D$77)</f>
        <v>0.19554246575342468</v>
      </c>
      <c r="AK9" s="143"/>
      <c r="AL9" s="143">
        <f>INDEX(Lightering,MATCH($V9,Control!$AB$3:$AB$29,0),MATCH('CLK1'!$Y9,Control!$AB$3:$AF$3,0))*($AB9/Control!$D$85)*Control!$H$90/$AB9</f>
        <v>0</v>
      </c>
      <c r="AM9" s="143">
        <f>IF(I9="Corpus Christi",Control!$D$76,0)</f>
        <v>0</v>
      </c>
      <c r="AN9" s="143">
        <v>0</v>
      </c>
      <c r="AO9" s="143">
        <f>Control!$D$78</f>
        <v>0</v>
      </c>
      <c r="AP9" s="143">
        <f>Control!$D$79</f>
        <v>6.7299999999999999E-2</v>
      </c>
      <c r="AQ9" s="143">
        <f>IF(INDEX(Control!$Q$3:$S$62,MATCH($Z9,Control!$Q$3:$Q$62,0),MATCH(AQ$8,Control!$Q$3:$S$3,0))=1,Control!$D$81*Control!$E$81,0)</f>
        <v>0</v>
      </c>
      <c r="AR9" s="143">
        <f>IF(INDEX(Control!$Q$3:$S$62,MATCH($Z9,Control!$Q$3:$Q$62,0),MATCH(AR$8,Control!$Q$3:$S$3,0))=1,Control!$D$82/$AB9,0)</f>
        <v>0</v>
      </c>
      <c r="AS9" s="143"/>
      <c r="AT9" s="143">
        <f>IF(AND(L9="Chiriqui Grande",V9="Puerto Armuelles"),Control!$G$93,0)</f>
        <v>0</v>
      </c>
      <c r="AU9" s="149">
        <f>SUM(AI9:AT9)</f>
        <v>0.72675999152662063</v>
      </c>
      <c r="AV9" s="149" t="e">
        <f t="shared" ref="AV9:AV21" si="2">+R9+AE9+AU9</f>
        <v>#N/A</v>
      </c>
      <c r="AW9" s="149" t="e">
        <f t="shared" ref="AW9:AW15" si="3">IF((MONTH(A9)=MONTH(BD9)),0,IF((MONTH(BD9)+12)-(MONTH(A9)+12)&gt;1,VLOOKUP("Spreads",$BB$3:$BF$4,MATCH(EOMONTH(BD9,0),$BB$3:$BF$3,0),FALSE)+VLOOKUP("Spreads",$BB$3:$BF$4,MATCH(EOMONTH(BD9,-1),$BB$3:$BF$3,0),FALSE),VLOOKUP("Spreads",$BB$3:$BF$4,MATCH(EOMONTH(A9,0),$BB$3:$BF$3,0))))</f>
        <v>#N/A</v>
      </c>
      <c r="AX9" s="149">
        <v>0</v>
      </c>
      <c r="AY9" s="497" t="e">
        <f t="shared" ref="AY9:AY21" si="4">$Y$3+AV9+AW9+AX9</f>
        <v>#N/A</v>
      </c>
      <c r="BB9" s="153" t="e">
        <f>INDEX('[1]Transit Time'!$A:$DZ,MATCH(I9,'[1]Transit Time'!$A:$A,0),MATCH(L9,'[1]Transit Time'!$A$1:$DZ$1,0))+INDEX('[1]Transit Time'!$A:$DZ,MATCH(L9,'[1]Transit Time'!$A:$A,0),MATCH(V9,'[1]Transit Time'!$A$1:$DZ$1,0))+INDEX('[1]Transit Time'!$A:$DZ,MATCH(V9,'[1]Transit Time'!$A:$A,0),MATCH(Z9,'[1]Transit Time'!$A$1:$DZ$1,0))</f>
        <v>#N/A</v>
      </c>
      <c r="BC9" s="163" t="e">
        <f>IF(ISBLANK(A9),"",A9+$BB9+D9)</f>
        <v>#N/A</v>
      </c>
      <c r="BD9" s="163" t="e">
        <f>IF(ISBLANK(B9),"",B9+$BB9)</f>
        <v>#N/A</v>
      </c>
      <c r="BE9" s="163"/>
      <c r="BF9" s="163"/>
      <c r="BG9" s="163"/>
    </row>
    <row r="10" spans="1:72" ht="15.75" hidden="1" customHeight="1" outlineLevel="1" x14ac:dyDescent="0.35">
      <c r="A10" s="209">
        <f>+$A$9</f>
        <v>46341</v>
      </c>
      <c r="B10" s="209">
        <f t="shared" si="0"/>
        <v>46343</v>
      </c>
      <c r="D10" s="229">
        <f>IF(AL10=0,0,VLOOKUP(Y10,Control!$G$41:$J$44,4,FALSE))</f>
        <v>0</v>
      </c>
      <c r="E10" s="229"/>
      <c r="F10"/>
      <c r="G10"/>
      <c r="H10"/>
      <c r="I10"/>
      <c r="J10"/>
      <c r="K10"/>
      <c r="L10"/>
      <c r="M10"/>
      <c r="N10"/>
      <c r="O10"/>
      <c r="P10"/>
      <c r="Q10"/>
      <c r="T10" s="220">
        <f>INDEX('[2]Flat Rates 2025'!$A:$DZ,MATCH(V10,'[2]Flat Rates 2025'!$A:$A,0),MATCH(Z10,'[2]Flat Rates 2025'!$A$1:$DZ$1,0))</f>
        <v>10.63</v>
      </c>
      <c r="U10" s="220">
        <f>INDEX(Control!$E$17:$J$21,MATCH(Y10,Control!$E$17:$E$21,0),MATCH(V10,Control!$E$17:$J$17,0))</f>
        <v>0.5</v>
      </c>
      <c r="V10" s="220" t="s">
        <v>63</v>
      </c>
      <c r="W10" s="213">
        <f>INDEX(Vessel_Minimum_MT,MATCH(Y10,Control!$E$11:$E$15,0),MATCH(V10,Control!$E$11:$J$11,0))</f>
        <v>70000</v>
      </c>
      <c r="X10" s="222">
        <f>AB10/Control!$D$84</f>
        <v>96532.465675057203</v>
      </c>
      <c r="Y10" s="215" t="s">
        <v>23</v>
      </c>
      <c r="Z10" s="212" t="s">
        <v>110</v>
      </c>
      <c r="AA10" s="212" t="str">
        <f t="shared" si="1"/>
        <v>Panama WC/LATAM WEST</v>
      </c>
      <c r="AB10" s="214">
        <v>750000</v>
      </c>
      <c r="AC10" s="214">
        <v>155</v>
      </c>
      <c r="AD10" s="224"/>
      <c r="AE10" s="225">
        <f t="shared" ref="AE10:AE21" si="5">IF(AC10&gt;1000,IF(AD10=0,AC10,AD10)/AB10,((W10*T10*(IF(AD10=0,AC10,AD10)/100))+IF(X10&lt;W10,0,(X10-W10)*T10*IF(AD10=0,AC10,AD10)/100*U10))/AB10)</f>
        <v>1.82924811379672</v>
      </c>
      <c r="AF10" s="226">
        <v>0</v>
      </c>
      <c r="AG10" s="214">
        <f>IF(INDEX(Index,MATCH(Z10,TVM_PortList,0),MATCH("Type",Control!$Q$3:$U$3,0))="BL",INDEX(Index,MATCH(Z10,TVM_PortList,0),MATCH("Payment",Control!$Q$3:$U$3,0))-INDEX(Index,MATCH(V10,TVM_PortList,0),MATCH("Payment",Control!$Q$3:$U$3,0)),BB10+INDEX(Index,MATCH(Z10,TVM_PortList,0),MATCH("Payment",Control!$Q$3:$U$3,0))-INDEX(Index,MATCH(V10,TVM_PortList,0),MATCH("Payment",Control!$Q$3:$U$3,0)))</f>
        <v>15</v>
      </c>
      <c r="AH10" s="214"/>
      <c r="AI10" s="227">
        <f>AF10*VLOOKUP($Y10,Control!$F$75:$H$79,3,FALSE)/$AB10</f>
        <v>0</v>
      </c>
      <c r="AJ10" s="227">
        <f>IF(AG10&lt;0,0,$AG10*Control!$D$77)</f>
        <v>0.19554246575342468</v>
      </c>
      <c r="AK10" s="227"/>
      <c r="AL10" s="227">
        <f>INDEX(Lightering,MATCH($V10,Control!$AB$3:$AB$29,0),MATCH('CLK1'!$Y10,Control!$AB$3:$AF$3,0))*($AB10/Control!$D$85)*Control!$H$90/$AB10</f>
        <v>0</v>
      </c>
      <c r="AM10" s="227">
        <f>IF(I10="Corpus Christi",Control!$D$76,0)</f>
        <v>0</v>
      </c>
      <c r="AN10" s="227">
        <v>0</v>
      </c>
      <c r="AO10" s="227">
        <f>Control!$D$78</f>
        <v>0</v>
      </c>
      <c r="AP10" s="227">
        <f>Control!$D$79</f>
        <v>6.7299999999999999E-2</v>
      </c>
      <c r="AQ10" s="227">
        <f>IF(INDEX(Control!$Q$3:$S$62,MATCH($Z10,Control!$Q$3:$Q$62,0),MATCH(AQ$8,Control!$Q$3:$S$3,0))=1,Control!$D$81*Control!$E$81,0)</f>
        <v>0</v>
      </c>
      <c r="AR10" s="227">
        <f>IF(INDEX(Control!$Q$3:$S$62,MATCH($Z10,Control!$Q$3:$Q$62,0),MATCH(AR$8,Control!$Q$3:$S$3,0))=1,Control!$D$82/$AB10,0)</f>
        <v>0</v>
      </c>
      <c r="AS10" s="227"/>
      <c r="AT10" s="227">
        <f>IF(AND(L10="Chiriqui Grande",V10="Puerto Armuelles"),Control!$G$93,0)</f>
        <v>0</v>
      </c>
      <c r="AU10" s="225">
        <f t="shared" ref="AU10:AU21" si="6">SUM(AI10:AT10)</f>
        <v>0.26284246575342468</v>
      </c>
      <c r="AV10" s="225">
        <f t="shared" si="2"/>
        <v>2.0920905795501445</v>
      </c>
      <c r="AW10" s="225" t="e">
        <f t="shared" si="3"/>
        <v>#VALUE!</v>
      </c>
      <c r="AX10" s="225">
        <v>0</v>
      </c>
      <c r="AY10" s="498" t="e">
        <f t="shared" si="4"/>
        <v>#VALUE!</v>
      </c>
      <c r="BA10" s="220"/>
      <c r="BB10" s="229" t="e">
        <f>INDEX('[1]Transit Time'!$A:$DZ,MATCH(I10,'[1]Transit Time'!$A:$A,0),MATCH(L10,'[1]Transit Time'!$A$1:$DZ$1,0))+INDEX('[1]Transit Time'!$A:$DZ,MATCH(L10,'[1]Transit Time'!$A:$A,0),MATCH(V10,'[1]Transit Time'!$A$1:$DZ$1,0))+INDEX('[1]Transit Time'!$A:$DZ,MATCH(V10,'[1]Transit Time'!$A:$A,0),MATCH(Z10,'[1]Transit Time'!$A$1:$DZ$1,0))</f>
        <v>#N/A</v>
      </c>
      <c r="BC10" s="230" t="e">
        <f t="shared" ref="BC10:BC15" si="7">IF(ISBLANK(A10),"",A10+$BB10)</f>
        <v>#N/A</v>
      </c>
      <c r="BD10" s="230" t="str">
        <f t="shared" ref="BD10:BD17" si="8">IFERROR(IF(ISBLANK(B10),"",B10+$BB10),"")</f>
        <v/>
      </c>
      <c r="BE10" s="230"/>
      <c r="BF10" s="230"/>
      <c r="BG10" s="230"/>
    </row>
    <row r="11" spans="1:72" ht="15.75" hidden="1" customHeight="1" outlineLevel="1" x14ac:dyDescent="0.35">
      <c r="A11" s="163">
        <f t="shared" ref="A11:A15" si="9">+$A$9</f>
        <v>46341</v>
      </c>
      <c r="B11" s="163">
        <f t="shared" si="0"/>
        <v>46343</v>
      </c>
      <c r="D11" s="153">
        <f>IF(AL11=0,0,VLOOKUP(Y11,Control!$G$41:$J$44,4,FALSE))</f>
        <v>0</v>
      </c>
      <c r="E11" s="153"/>
      <c r="F11"/>
      <c r="G11"/>
      <c r="H11"/>
      <c r="I11"/>
      <c r="J11"/>
      <c r="K11"/>
      <c r="L11"/>
      <c r="M11"/>
      <c r="N11"/>
      <c r="O11"/>
      <c r="P11"/>
      <c r="Q11"/>
      <c r="T11" s="191">
        <f>INDEX('[2]Flat Rates 2025'!$A:$DZ,MATCH(V11,'[2]Flat Rates 2025'!$A:$A,0),MATCH(Z11,'[2]Flat Rates 2025'!$A$1:$DZ$1,0))</f>
        <v>10.63</v>
      </c>
      <c r="U11" s="138">
        <f>INDEX(Control!$E$17:$J$21,MATCH(Y11,Control!$E$17:$E$21,0),MATCH(V11,Control!$E$17:$J$17,0))</f>
        <v>0.5</v>
      </c>
      <c r="V11" s="138" t="s">
        <v>63</v>
      </c>
      <c r="W11" s="116">
        <f>INDEX(Vessel_Minimum_MT,MATCH(Y11,Control!$E$11:$E$15,0),MATCH(V11,Control!$E$11:$J$11,0))</f>
        <v>145000</v>
      </c>
      <c r="X11" s="140">
        <f>AB11/Control!$D$84</f>
        <v>128709.9542334096</v>
      </c>
      <c r="Y11" s="147" t="s">
        <v>24</v>
      </c>
      <c r="Z11" s="142" t="s">
        <v>110</v>
      </c>
      <c r="AA11" s="142" t="str">
        <f t="shared" si="1"/>
        <v>Panama WC/LATAM WEST</v>
      </c>
      <c r="AB11" s="141">
        <v>1000000</v>
      </c>
      <c r="AC11" s="141">
        <v>110</v>
      </c>
      <c r="AD11" s="151"/>
      <c r="AE11" s="149">
        <f t="shared" si="5"/>
        <v>1.6954850000000001</v>
      </c>
      <c r="AF11" s="144">
        <v>0</v>
      </c>
      <c r="AG11" s="141">
        <f>IF(INDEX(Index,MATCH(Z11,TVM_PortList,0),MATCH("Type",Control!$Q$3:$U$3,0))="BL",INDEX(Index,MATCH(Z11,TVM_PortList,0),MATCH("Payment",Control!$Q$3:$U$3,0))-INDEX(Index,MATCH(V11,TVM_PortList,0),MATCH("Payment",Control!$Q$3:$U$3,0)),BB11+INDEX(Index,MATCH(Z11,TVM_PortList,0),MATCH("Payment",Control!$Q$3:$U$3,0))-INDEX(Index,MATCH(V11,TVM_PortList,0),MATCH("Payment",Control!$Q$3:$U$3,0)))</f>
        <v>15</v>
      </c>
      <c r="AH11" s="141"/>
      <c r="AI11" s="143">
        <f>AF11*VLOOKUP($Y11,Control!$F$75:$H$79,3,FALSE)/$AB11</f>
        <v>0</v>
      </c>
      <c r="AJ11" s="143">
        <f>IF(AG11&lt;0,0,$AG11*Control!$D$77)</f>
        <v>0.19554246575342468</v>
      </c>
      <c r="AK11" s="143"/>
      <c r="AL11" s="143">
        <f>INDEX(Lightering,MATCH($V11,Control!$AB$3:$AB$29,0),MATCH('CLK1'!$Y11,Control!$AB$3:$AF$3,0))*($AB11/Control!$D$85)*Control!$H$90/$AB11</f>
        <v>0</v>
      </c>
      <c r="AM11" s="143">
        <f>IF(I11="Corpus Christi",Control!$D$76,0)</f>
        <v>0</v>
      </c>
      <c r="AN11" s="143">
        <v>0</v>
      </c>
      <c r="AO11" s="143">
        <f>Control!$D$78</f>
        <v>0</v>
      </c>
      <c r="AP11" s="143">
        <f>Control!$D$79</f>
        <v>6.7299999999999999E-2</v>
      </c>
      <c r="AQ11" s="143">
        <f>IF(INDEX(Control!$Q$3:$S$62,MATCH($Z11,Control!$Q$3:$Q$62,0),MATCH(AQ$8,Control!$Q$3:$S$3,0))=1,Control!$D$81*Control!$E$81,0)</f>
        <v>0</v>
      </c>
      <c r="AR11" s="143">
        <f>IF(INDEX(Control!$Q$3:$S$62,MATCH($Z11,Control!$Q$3:$Q$62,0),MATCH(AR$8,Control!$Q$3:$S$3,0))=1,Control!$D$82/$AB11,0)</f>
        <v>0</v>
      </c>
      <c r="AS11" s="143"/>
      <c r="AT11" s="143">
        <f>IF(AND(L11="Chiriqui Grande",V11="Puerto Armuelles"),Control!$G$93,0)</f>
        <v>0</v>
      </c>
      <c r="AU11" s="149">
        <f t="shared" si="6"/>
        <v>0.26284246575342468</v>
      </c>
      <c r="AV11" s="149">
        <f t="shared" si="2"/>
        <v>1.9583274657534249</v>
      </c>
      <c r="AW11" s="149" t="e">
        <f t="shared" si="3"/>
        <v>#VALUE!</v>
      </c>
      <c r="AX11" s="149">
        <v>0</v>
      </c>
      <c r="AY11" s="499" t="e">
        <f t="shared" si="4"/>
        <v>#VALUE!</v>
      </c>
      <c r="BB11" s="153" t="e">
        <f>INDEX('[1]Transit Time'!$A:$DZ,MATCH(I11,'[1]Transit Time'!$A:$A,0),MATCH(L11,'[1]Transit Time'!$A$1:$DZ$1,0))+INDEX('[1]Transit Time'!$A:$DZ,MATCH(L11,'[1]Transit Time'!$A:$A,0),MATCH(V11,'[1]Transit Time'!$A$1:$DZ$1,0))+INDEX('[1]Transit Time'!$A:$DZ,MATCH(V11,'[1]Transit Time'!$A:$A,0),MATCH(Z11,'[1]Transit Time'!$A$1:$DZ$1,0))</f>
        <v>#N/A</v>
      </c>
      <c r="BC11" s="163" t="e">
        <f t="shared" si="7"/>
        <v>#N/A</v>
      </c>
      <c r="BD11" s="163" t="str">
        <f t="shared" si="8"/>
        <v/>
      </c>
      <c r="BE11" s="163"/>
      <c r="BF11" s="163"/>
      <c r="BG11" s="163"/>
    </row>
    <row r="12" spans="1:72" ht="15.75" hidden="1" customHeight="1" outlineLevel="1" x14ac:dyDescent="0.35">
      <c r="A12" s="230">
        <f t="shared" si="9"/>
        <v>46341</v>
      </c>
      <c r="B12" s="230">
        <f t="shared" si="0"/>
        <v>46343</v>
      </c>
      <c r="D12" s="229">
        <f>IF(AL12=0,0,VLOOKUP(Y12,Control!$G$41:$J$44,4,FALSE))</f>
        <v>0</v>
      </c>
      <c r="E12" s="229"/>
      <c r="F12"/>
      <c r="G12"/>
      <c r="H12"/>
      <c r="I12"/>
      <c r="J12"/>
      <c r="K12"/>
      <c r="L12"/>
      <c r="M12"/>
      <c r="N12"/>
      <c r="O12"/>
      <c r="P12"/>
      <c r="Q12"/>
      <c r="T12" s="220">
        <f>INDEX('[2]Flat Rates 2025'!$A:$DZ,MATCH(V12,'[2]Flat Rates 2025'!$A:$A,0),MATCH(Z12,'[2]Flat Rates 2025'!$A$1:$DZ$1,0))</f>
        <v>5.93</v>
      </c>
      <c r="U12" s="220">
        <f>INDEX(Control!$E$17:$J$21,MATCH(Y12,Control!$E$17:$E$21,0),MATCH(V12,Control!$E$17:$J$17,0))</f>
        <v>0.5</v>
      </c>
      <c r="V12" s="220" t="s">
        <v>63</v>
      </c>
      <c r="W12" s="213">
        <f>INDEX(Vessel_Minimum_MT,MATCH(Y12,Control!$E$11:$E$15,0),MATCH(V12,Control!$E$11:$J$11,0))</f>
        <v>50000</v>
      </c>
      <c r="X12" s="222">
        <f>AB12/Control!$D$84</f>
        <v>61137.22826086956</v>
      </c>
      <c r="Y12" s="215" t="s">
        <v>22</v>
      </c>
      <c r="Z12" s="212" t="s">
        <v>94</v>
      </c>
      <c r="AA12" s="212" t="str">
        <f t="shared" si="1"/>
        <v>Panama WC/PAMPILLA</v>
      </c>
      <c r="AB12" s="214">
        <v>475000</v>
      </c>
      <c r="AC12" s="214">
        <v>1001</v>
      </c>
      <c r="AD12" s="224">
        <v>700000</v>
      </c>
      <c r="AE12" s="225">
        <f t="shared" si="5"/>
        <v>1.4736842105263157</v>
      </c>
      <c r="AF12" s="226">
        <v>0</v>
      </c>
      <c r="AG12" s="214" t="e">
        <f>IF(INDEX(Index,MATCH(Z12,TVM_PortList,0),MATCH("Type",Control!$Q$3:$U$3,0))="BL",INDEX(Index,MATCH(Z12,TVM_PortList,0),MATCH("Payment",Control!$Q$3:$U$3,0))-INDEX(Index,MATCH(V12,TVM_PortList,0),MATCH("Payment",Control!$Q$3:$U$3,0)),BB12+INDEX(Index,MATCH(Z12,TVM_PortList,0),MATCH("Payment",Control!$Q$3:$U$3,0))-INDEX(Index,MATCH(V12,TVM_PortList,0),MATCH("Payment",Control!$Q$3:$U$3,0)))</f>
        <v>#N/A</v>
      </c>
      <c r="AH12" s="214"/>
      <c r="AI12" s="227">
        <f>AF12*VLOOKUP($Y12,Control!$F$75:$H$79,3,FALSE)/$AB12</f>
        <v>0</v>
      </c>
      <c r="AJ12" s="227" t="e">
        <f>IF(AG12&lt;0,0,$AG12*Control!$D$77)</f>
        <v>#N/A</v>
      </c>
      <c r="AK12" s="227"/>
      <c r="AL12" s="227">
        <f>INDEX(Lightering,MATCH($V12,Control!$AB$3:$AB$29,0),MATCH('CLK1'!$Y12,Control!$AB$3:$AF$3,0))*($AB12/Control!$D$85)*Control!$H$90/$AB12</f>
        <v>0</v>
      </c>
      <c r="AM12" s="227">
        <f>IF(I12="Corpus Christi",Control!$D$76,0)</f>
        <v>0</v>
      </c>
      <c r="AN12" s="227">
        <v>0</v>
      </c>
      <c r="AO12" s="227">
        <f>Control!$D$78</f>
        <v>0</v>
      </c>
      <c r="AP12" s="227">
        <f>Control!$D$79</f>
        <v>6.7299999999999999E-2</v>
      </c>
      <c r="AQ12" s="227">
        <f>IF(INDEX(Control!$Q$3:$S$62,MATCH($Z12,Control!$Q$3:$Q$62,0),MATCH(AQ$8,Control!$Q$3:$S$3,0))=1,Control!$D$81*Control!$E$81,0)</f>
        <v>0</v>
      </c>
      <c r="AR12" s="227">
        <f>IF(INDEX(Control!$Q$3:$S$62,MATCH($Z12,Control!$Q$3:$Q$62,0),MATCH(AR$8,Control!$Q$3:$S$3,0))=1,Control!$D$82/$AB12,0)</f>
        <v>0</v>
      </c>
      <c r="AS12" s="227"/>
      <c r="AT12" s="227">
        <f>IF(AND(L12="Chiriqui Grande",V12="Puerto Armuelles"),Control!$G$93,0)</f>
        <v>0</v>
      </c>
      <c r="AU12" s="225" t="e">
        <f t="shared" si="6"/>
        <v>#N/A</v>
      </c>
      <c r="AV12" s="225" t="e">
        <f t="shared" si="2"/>
        <v>#N/A</v>
      </c>
      <c r="AW12" s="225" t="e">
        <f t="shared" si="3"/>
        <v>#VALUE!</v>
      </c>
      <c r="AX12" s="225">
        <v>0</v>
      </c>
      <c r="AY12" s="498" t="e">
        <f t="shared" si="4"/>
        <v>#N/A</v>
      </c>
      <c r="BA12" s="220"/>
      <c r="BB12" s="229" t="e">
        <f>INDEX('[1]Transit Time'!$A:$DZ,MATCH(I12,'[1]Transit Time'!$A:$A,0),MATCH(L12,'[1]Transit Time'!$A$1:$DZ$1,0))+INDEX('[1]Transit Time'!$A:$DZ,MATCH(L12,'[1]Transit Time'!$A:$A,0),MATCH(V12,'[1]Transit Time'!$A$1:$DZ$1,0))+INDEX('[1]Transit Time'!$A:$DZ,MATCH(V12,'[1]Transit Time'!$A:$A,0),MATCH(Z12,'[1]Transit Time'!$A$1:$DZ$1,0))</f>
        <v>#N/A</v>
      </c>
      <c r="BC12" s="230" t="e">
        <f t="shared" si="7"/>
        <v>#N/A</v>
      </c>
      <c r="BD12" s="230" t="str">
        <f t="shared" si="8"/>
        <v/>
      </c>
      <c r="BE12" s="230"/>
      <c r="BF12" s="230"/>
      <c r="BG12" s="230"/>
    </row>
    <row r="13" spans="1:72" ht="15.75" hidden="1" customHeight="1" outlineLevel="1" x14ac:dyDescent="0.35">
      <c r="A13" s="163">
        <f t="shared" si="9"/>
        <v>46341</v>
      </c>
      <c r="B13" s="163">
        <f t="shared" si="0"/>
        <v>46343</v>
      </c>
      <c r="D13" s="153">
        <f>IF(AL13=0,0,VLOOKUP(Y13,Control!$G$41:$J$44,4,FALSE))</f>
        <v>0</v>
      </c>
      <c r="E13" s="153"/>
      <c r="F13"/>
      <c r="G13"/>
      <c r="H13"/>
      <c r="I13"/>
      <c r="J13"/>
      <c r="K13"/>
      <c r="L13"/>
      <c r="M13"/>
      <c r="N13"/>
      <c r="O13"/>
      <c r="P13"/>
      <c r="Q13"/>
      <c r="T13" s="138">
        <f>INDEX('[2]Flat Rates 2025'!$A:$DZ,MATCH(V13,'[2]Flat Rates 2025'!$A:$A,0),MATCH(Z13,'[2]Flat Rates 2025'!$A$1:$DZ$1,0))</f>
        <v>5.93</v>
      </c>
      <c r="U13" s="138">
        <f>INDEX(Control!$E$17:$J$21,MATCH(Y13,Control!$E$17:$E$21,0),MATCH(V13,Control!$E$17:$J$17,0))</f>
        <v>0.5</v>
      </c>
      <c r="V13" s="138" t="s">
        <v>63</v>
      </c>
      <c r="W13" s="116">
        <f>INDEX(Vessel_Minimum_MT,MATCH(Y13,Control!$E$11:$E$15,0),MATCH(V13,Control!$E$11:$J$11,0))</f>
        <v>70000</v>
      </c>
      <c r="X13" s="140">
        <f>AB13/Control!$D$84</f>
        <v>84948.569794050345</v>
      </c>
      <c r="Y13" s="147" t="s">
        <v>23</v>
      </c>
      <c r="Z13" s="142" t="s">
        <v>94</v>
      </c>
      <c r="AA13" s="142" t="str">
        <f t="shared" si="1"/>
        <v>Panama WC/PAMPILLA</v>
      </c>
      <c r="AB13" s="141">
        <v>660000</v>
      </c>
      <c r="AC13" s="141">
        <v>205</v>
      </c>
      <c r="AD13" s="151">
        <v>0</v>
      </c>
      <c r="AE13" s="149">
        <f t="shared" si="5"/>
        <v>1.4269941581071006</v>
      </c>
      <c r="AF13" s="144">
        <v>0</v>
      </c>
      <c r="AG13" s="141" t="e">
        <f>IF(INDEX(Index,MATCH(Z13,TVM_PortList,0),MATCH("Type",Control!$Q$3:$U$3,0))="BL",INDEX(Index,MATCH(Z13,TVM_PortList,0),MATCH("Payment",Control!$Q$3:$U$3,0))-INDEX(Index,MATCH(V13,TVM_PortList,0),MATCH("Payment",Control!$Q$3:$U$3,0)),BB13+INDEX(Index,MATCH(Z13,TVM_PortList,0),MATCH("Payment",Control!$Q$3:$U$3,0))-INDEX(Index,MATCH(V13,TVM_PortList,0),MATCH("Payment",Control!$Q$3:$U$3,0)))</f>
        <v>#N/A</v>
      </c>
      <c r="AH13" s="141"/>
      <c r="AI13" s="143">
        <f>AF13*VLOOKUP($Y13,Control!$F$75:$H$79,3,FALSE)/$AB13</f>
        <v>0</v>
      </c>
      <c r="AJ13" s="143" t="e">
        <f>IF(AG13&lt;0,0,$AG13*Control!$D$77)</f>
        <v>#N/A</v>
      </c>
      <c r="AK13" s="143"/>
      <c r="AL13" s="143">
        <f>INDEX(Lightering,MATCH($V13,Control!$AB$3:$AB$29,0),MATCH('CLK1'!$Y13,Control!$AB$3:$AF$3,0))*($AB13/Control!$D$85)*Control!$H$90/$AB13</f>
        <v>0</v>
      </c>
      <c r="AM13" s="143">
        <f>IF(I13="Corpus Christi",Control!$D$76,0)</f>
        <v>0</v>
      </c>
      <c r="AN13" s="143">
        <v>0</v>
      </c>
      <c r="AO13" s="143">
        <f>Control!$D$78</f>
        <v>0</v>
      </c>
      <c r="AP13" s="143">
        <f>Control!$D$79</f>
        <v>6.7299999999999999E-2</v>
      </c>
      <c r="AQ13" s="143">
        <f>IF(INDEX(Control!$Q$3:$S$62,MATCH($Z13,Control!$Q$3:$Q$62,0),MATCH(AQ$8,Control!$Q$3:$S$3,0))=1,Control!$D$81*Control!$E$81,0)</f>
        <v>0</v>
      </c>
      <c r="AR13" s="143">
        <f>IF(INDEX(Control!$Q$3:$S$62,MATCH($Z13,Control!$Q$3:$Q$62,0),MATCH(AR$8,Control!$Q$3:$S$3,0))=1,Control!$D$82/$AB13,0)</f>
        <v>0</v>
      </c>
      <c r="AS13" s="143"/>
      <c r="AT13" s="143">
        <f>IF(AND(L13="Chiriqui Grande",V13="Puerto Armuelles"),Control!$G$93,0)</f>
        <v>0</v>
      </c>
      <c r="AU13" s="149" t="e">
        <f t="shared" si="6"/>
        <v>#N/A</v>
      </c>
      <c r="AV13" s="149" t="e">
        <f t="shared" si="2"/>
        <v>#N/A</v>
      </c>
      <c r="AW13" s="149" t="e">
        <f t="shared" si="3"/>
        <v>#VALUE!</v>
      </c>
      <c r="AX13" s="149">
        <v>0</v>
      </c>
      <c r="AY13" s="499" t="e">
        <f t="shared" si="4"/>
        <v>#N/A</v>
      </c>
      <c r="BB13" s="153" t="e">
        <f>INDEX('[1]Transit Time'!$A:$DZ,MATCH(I13,'[1]Transit Time'!$A:$A,0),MATCH(L13,'[1]Transit Time'!$A$1:$DZ$1,0))+INDEX('[1]Transit Time'!$A:$DZ,MATCH(L13,'[1]Transit Time'!$A:$A,0),MATCH(V13,'[1]Transit Time'!$A$1:$DZ$1,0))+INDEX('[1]Transit Time'!$A:$DZ,MATCH(V13,'[1]Transit Time'!$A:$A,0),MATCH(Z13,'[1]Transit Time'!$A$1:$DZ$1,0))</f>
        <v>#N/A</v>
      </c>
      <c r="BC13" s="163" t="e">
        <f t="shared" si="7"/>
        <v>#N/A</v>
      </c>
      <c r="BD13" s="163" t="str">
        <f t="shared" si="8"/>
        <v/>
      </c>
      <c r="BE13" s="163"/>
      <c r="BF13" s="163"/>
      <c r="BG13" s="163"/>
    </row>
    <row r="14" spans="1:72" ht="15.75" hidden="1" customHeight="1" outlineLevel="1" x14ac:dyDescent="0.35">
      <c r="A14" s="230">
        <f t="shared" si="9"/>
        <v>46341</v>
      </c>
      <c r="B14" s="230">
        <f t="shared" si="0"/>
        <v>46343</v>
      </c>
      <c r="D14" s="229">
        <f>IF(AL14=0,0,VLOOKUP(Y14,Control!$G$41:$J$44,4,FALSE))</f>
        <v>0</v>
      </c>
      <c r="E14" s="229"/>
      <c r="F14"/>
      <c r="G14"/>
      <c r="H14"/>
      <c r="I14"/>
      <c r="J14"/>
      <c r="K14"/>
      <c r="L14"/>
      <c r="M14"/>
      <c r="N14"/>
      <c r="O14"/>
      <c r="P14"/>
      <c r="Q14"/>
      <c r="T14" s="220" t="e">
        <f>INDEX('[2]Flat Rates 2025'!$A:$DZ,MATCH(V14,'[2]Flat Rates 2025'!$A:$A,0),MATCH(Z14,'[2]Flat Rates 2025'!$A$1:$DZ$1,0))</f>
        <v>#N/A</v>
      </c>
      <c r="U14" s="220">
        <f>INDEX(Control!$E$17:$J$21,MATCH(Y14,Control!$E$17:$E$21,0),MATCH(V14,Control!$E$17:$J$17,0))</f>
        <v>0.5</v>
      </c>
      <c r="V14" s="220" t="s">
        <v>63</v>
      </c>
      <c r="W14" s="213">
        <f>INDEX(Vessel_Minimum_MT,MATCH(Y14,Control!$E$11:$E$15,0),MATCH(V14,Control!$E$11:$J$11,0))</f>
        <v>50000</v>
      </c>
      <c r="X14" s="222">
        <f>AB14/Control!$D$84</f>
        <v>51355.271739130432</v>
      </c>
      <c r="Y14" s="215" t="s">
        <v>22</v>
      </c>
      <c r="Z14" s="212" t="s">
        <v>199</v>
      </c>
      <c r="AA14" s="212" t="e">
        <f t="shared" si="1"/>
        <v>#N/A</v>
      </c>
      <c r="AB14" s="214">
        <v>399000</v>
      </c>
      <c r="AC14" s="214">
        <v>1001</v>
      </c>
      <c r="AD14" s="224">
        <v>700000</v>
      </c>
      <c r="AE14" s="225">
        <f t="shared" si="5"/>
        <v>1.7543859649122806</v>
      </c>
      <c r="AF14" s="226">
        <v>0</v>
      </c>
      <c r="AG14" s="214" t="e">
        <f>IF(INDEX(Index,MATCH(Z14,TVM_PortList,0),MATCH("Type",Control!$Q$3:$U$3,0))="BL",INDEX(Index,MATCH(Z14,TVM_PortList,0),MATCH("Payment",Control!$Q$3:$U$3,0))-INDEX(Index,MATCH(V14,TVM_PortList,0),MATCH("Payment",Control!$Q$3:$U$3,0)),BB14+INDEX(Index,MATCH(Z14,TVM_PortList,0),MATCH("Payment",Control!$Q$3:$U$3,0))-INDEX(Index,MATCH(V14,TVM_PortList,0),MATCH("Payment",Control!$Q$3:$U$3,0)))</f>
        <v>#N/A</v>
      </c>
      <c r="AH14" s="214"/>
      <c r="AI14" s="227">
        <f>AF14*VLOOKUP($Y14,Control!$F$75:$H$79,3,FALSE)/$AB14</f>
        <v>0</v>
      </c>
      <c r="AJ14" s="227" t="e">
        <f>IF(AG14&lt;0,0,$AG14*Control!$D$77)</f>
        <v>#N/A</v>
      </c>
      <c r="AK14" s="227"/>
      <c r="AL14" s="227">
        <f>INDEX(Lightering,MATCH($V14,Control!$AB$3:$AB$29,0),MATCH('CLK1'!$Y14,Control!$AB$3:$AF$3,0))*($AB14/Control!$D$85)*Control!$H$90/$AB14</f>
        <v>0</v>
      </c>
      <c r="AM14" s="227">
        <f>IF(I14="Corpus Christi",Control!$D$76,0)</f>
        <v>0</v>
      </c>
      <c r="AN14" s="227">
        <v>0</v>
      </c>
      <c r="AO14" s="227">
        <f>Control!$D$78</f>
        <v>0</v>
      </c>
      <c r="AP14" s="227">
        <f>Control!$D$79</f>
        <v>6.7299999999999999E-2</v>
      </c>
      <c r="AQ14" s="227" t="e">
        <f>IF(INDEX(Control!$Q$3:$S$62,MATCH($Z14,Control!$Q$3:$Q$62,0),MATCH(AQ$8,Control!$Q$3:$S$3,0))=1,Control!$D$81*Control!$E$81,0)</f>
        <v>#N/A</v>
      </c>
      <c r="AR14" s="227" t="e">
        <f>IF(INDEX(Control!$Q$3:$S$62,MATCH($Z14,Control!$Q$3:$Q$62,0),MATCH(AR$8,Control!$Q$3:$S$3,0))=1,Control!$D$82/$AB14,0)</f>
        <v>#N/A</v>
      </c>
      <c r="AS14" s="227"/>
      <c r="AT14" s="227">
        <f>IF(AND(L14="Chiriqui Grande",V14="Puerto Armuelles"),Control!$G$93,0)</f>
        <v>0</v>
      </c>
      <c r="AU14" s="225" t="e">
        <f t="shared" si="6"/>
        <v>#N/A</v>
      </c>
      <c r="AV14" s="225" t="e">
        <f t="shared" si="2"/>
        <v>#N/A</v>
      </c>
      <c r="AW14" s="225" t="e">
        <f t="shared" si="3"/>
        <v>#VALUE!</v>
      </c>
      <c r="AX14" s="225">
        <v>0</v>
      </c>
      <c r="AY14" s="498" t="e">
        <f t="shared" si="4"/>
        <v>#N/A</v>
      </c>
      <c r="BA14" s="220"/>
      <c r="BB14" s="229" t="e">
        <f>INDEX('[1]Transit Time'!$A:$DZ,MATCH(I14,'[1]Transit Time'!$A:$A,0),MATCH(L14,'[1]Transit Time'!$A$1:$DZ$1,0))+INDEX('[1]Transit Time'!$A:$DZ,MATCH(L14,'[1]Transit Time'!$A:$A,0),MATCH(V14,'[1]Transit Time'!$A$1:$DZ$1,0))+INDEX('[1]Transit Time'!$A:$DZ,MATCH(V14,'[1]Transit Time'!$A:$A,0),MATCH(Z14,'[1]Transit Time'!$A$1:$DZ$1,0))</f>
        <v>#N/A</v>
      </c>
      <c r="BC14" s="230" t="e">
        <f t="shared" si="7"/>
        <v>#N/A</v>
      </c>
      <c r="BD14" s="230" t="str">
        <f t="shared" si="8"/>
        <v/>
      </c>
      <c r="BE14" s="230"/>
      <c r="BF14" s="230"/>
      <c r="BG14" s="230"/>
    </row>
    <row r="15" spans="1:72" ht="15.75" hidden="1" customHeight="1" outlineLevel="1" x14ac:dyDescent="0.35">
      <c r="A15" s="163">
        <f t="shared" si="9"/>
        <v>46341</v>
      </c>
      <c r="B15" s="163">
        <f t="shared" si="0"/>
        <v>46343</v>
      </c>
      <c r="D15" s="153">
        <f>IF(AL15=0,0,VLOOKUP(Y15,Control!$G$41:$J$44,4,FALSE))</f>
        <v>0</v>
      </c>
      <c r="E15" s="153"/>
      <c r="F15"/>
      <c r="G15"/>
      <c r="H15"/>
      <c r="I15"/>
      <c r="J15"/>
      <c r="K15"/>
      <c r="L15"/>
      <c r="M15"/>
      <c r="N15"/>
      <c r="O15"/>
      <c r="P15"/>
      <c r="Q15"/>
      <c r="T15" s="138" t="e">
        <f>INDEX('[2]Flat Rates 2025'!$A:$DZ,MATCH(V15,'[2]Flat Rates 2025'!$A:$A,0),MATCH(Z15,'[2]Flat Rates 2025'!$A$1:$DZ$1,0))</f>
        <v>#N/A</v>
      </c>
      <c r="U15" s="138">
        <f>INDEX(Control!$E$17:$J$21,MATCH(Y15,Control!$E$17:$E$21,0),MATCH(V15,Control!$E$17:$J$17,0))</f>
        <v>0</v>
      </c>
      <c r="V15" s="138" t="s">
        <v>55</v>
      </c>
      <c r="W15" s="116">
        <f>INDEX(Vessel_Minimum_MT,MATCH(Y15,Control!$E$11:$E$15,0),MATCH(V15,Control!$E$11:$J$11,0))</f>
        <v>70000</v>
      </c>
      <c r="X15" s="140">
        <f>AB15/Control!$D$84</f>
        <v>64354.977116704802</v>
      </c>
      <c r="Y15" s="147" t="s">
        <v>23</v>
      </c>
      <c r="Z15" s="142" t="s">
        <v>112</v>
      </c>
      <c r="AA15" s="142" t="str">
        <f t="shared" si="1"/>
        <v>CARIBS/CARIBS</v>
      </c>
      <c r="AB15" s="141">
        <v>500000</v>
      </c>
      <c r="AC15" s="141">
        <v>180</v>
      </c>
      <c r="AD15" s="151">
        <v>325</v>
      </c>
      <c r="AE15" s="149" t="e">
        <f t="shared" si="5"/>
        <v>#N/A</v>
      </c>
      <c r="AF15" s="144">
        <v>0</v>
      </c>
      <c r="AG15" s="141" t="e">
        <f>IF(INDEX(Index,MATCH(Z15,TVM_PortList,0),MATCH("Type",Control!$Q$3:$U$3,0))="BL",INDEX(Index,MATCH(Z15,TVM_PortList,0),MATCH("Payment",Control!$Q$3:$U$3,0))-INDEX(Index,MATCH(V15,TVM_PortList,0),MATCH("Payment",Control!$Q$3:$U$3,0)),BB15+INDEX(Index,MATCH(Z15,TVM_PortList,0),MATCH("Payment",Control!$Q$3:$U$3,0))-INDEX(Index,MATCH(V15,TVM_PortList,0),MATCH("Payment",Control!$Q$3:$U$3,0)))</f>
        <v>#N/A</v>
      </c>
      <c r="AH15" s="141"/>
      <c r="AI15" s="143">
        <f>AF15*VLOOKUP($Y15,Control!$F$75:$H$79,3,FALSE)/$AB15</f>
        <v>0</v>
      </c>
      <c r="AJ15" s="143" t="e">
        <f>IF(AG15&lt;0,0,$AG15*Control!$D$77)</f>
        <v>#N/A</v>
      </c>
      <c r="AK15" s="143"/>
      <c r="AL15" s="143">
        <f>INDEX(Lightering,MATCH($V15,Control!$AB$3:$AB$29,0),MATCH('CLK1'!$Y15,Control!$AB$3:$AF$3,0))*($AB15/Control!$D$85)*Control!$H$90/$AB15</f>
        <v>0</v>
      </c>
      <c r="AM15" s="143">
        <f>IF(I15="Corpus Christi",Control!$D$76,0)</f>
        <v>0</v>
      </c>
      <c r="AN15" s="143">
        <v>0</v>
      </c>
      <c r="AO15" s="143">
        <f>Control!$D$78</f>
        <v>0</v>
      </c>
      <c r="AP15" s="143">
        <f>Control!$D$79</f>
        <v>6.7299999999999999E-2</v>
      </c>
      <c r="AQ15" s="143">
        <f>IF(INDEX(Control!$Q$3:$S$62,MATCH($Z15,Control!$Q$3:$Q$62,0),MATCH(AQ$8,Control!$Q$3:$S$3,0))=1,Control!$D$81*Control!$E$81,0)</f>
        <v>0.2</v>
      </c>
      <c r="AR15" s="143">
        <f>IF(INDEX(Control!$Q$3:$S$62,MATCH($Z15,Control!$Q$3:$Q$62,0),MATCH(AR$8,Control!$Q$3:$S$3,0))=1,Control!$D$82/$AB15,0)</f>
        <v>0</v>
      </c>
      <c r="AS15" s="143"/>
      <c r="AT15" s="143">
        <f>IF(AND(L15="Chiriqui Grande",V15="Puerto Armuelles"),Control!$G$93,0)</f>
        <v>0</v>
      </c>
      <c r="AU15" s="149" t="e">
        <f t="shared" si="6"/>
        <v>#N/A</v>
      </c>
      <c r="AV15" s="149" t="e">
        <f t="shared" si="2"/>
        <v>#N/A</v>
      </c>
      <c r="AW15" s="149" t="e">
        <f t="shared" si="3"/>
        <v>#VALUE!</v>
      </c>
      <c r="AX15" s="149">
        <v>0</v>
      </c>
      <c r="AY15" s="499" t="e">
        <f t="shared" si="4"/>
        <v>#N/A</v>
      </c>
      <c r="BB15" s="153" t="e">
        <f>INDEX('[1]Transit Time'!$A:$DZ,MATCH(I15,'[1]Transit Time'!$A:$A,0),MATCH(L15,'[1]Transit Time'!$A$1:$DZ$1,0))+INDEX('[1]Transit Time'!$A:$DZ,MATCH(L15,'[1]Transit Time'!$A:$A,0),MATCH(V15,'[1]Transit Time'!$A$1:$DZ$1,0))+INDEX('[1]Transit Time'!$A:$DZ,MATCH(V15,'[1]Transit Time'!$A:$A,0),MATCH(Z15,'[1]Transit Time'!$A$1:$DZ$1,0))</f>
        <v>#N/A</v>
      </c>
      <c r="BC15" s="163" t="e">
        <f t="shared" si="7"/>
        <v>#N/A</v>
      </c>
      <c r="BD15" s="163" t="str">
        <f t="shared" si="8"/>
        <v/>
      </c>
      <c r="BE15" s="163"/>
      <c r="BF15" s="163"/>
      <c r="BG15" s="163"/>
    </row>
    <row r="16" spans="1:72" hidden="1" outlineLevel="1" x14ac:dyDescent="0.35">
      <c r="A16" s="319" t="s">
        <v>159</v>
      </c>
      <c r="B16" s="320" t="e">
        <f t="shared" si="0"/>
        <v>#VALUE!</v>
      </c>
      <c r="D16" s="338">
        <f>IF(AL16=0,0,VLOOKUP(Y16,Control!$G$41:$J$44,4,FALSE))</f>
        <v>0</v>
      </c>
      <c r="E16" s="515" t="e">
        <f>AVERAGE(A16:B16)+D16</f>
        <v>#VALUE!</v>
      </c>
      <c r="F16"/>
      <c r="G16"/>
      <c r="H16"/>
      <c r="I16"/>
      <c r="J16"/>
      <c r="K16"/>
      <c r="L16"/>
      <c r="M16"/>
      <c r="N16"/>
      <c r="O16"/>
      <c r="P16"/>
      <c r="Q16"/>
      <c r="T16" s="330">
        <f>INDEX('[2]Flat Rates 2025'!$A:$DZ,MATCH(V16,'[2]Flat Rates 2025'!$A:$A,0),MATCH(Z16,'[2]Flat Rates 2025'!$A$1:$DZ$1,0))</f>
        <v>0</v>
      </c>
      <c r="U16" s="330">
        <f>INDEX(Control!$E$17:$J$21,MATCH(Y16,Control!$E$17:$E$21,0),MATCH(V16,Control!$E$17:$J$17,0))</f>
        <v>0</v>
      </c>
      <c r="V16" s="330" t="s">
        <v>45</v>
      </c>
      <c r="W16" s="323">
        <f>INDEX(Vessel_Minimum_MT,MATCH(Y16,Control!$E$11:$E$15,0),MATCH(V16,Control!$E$11:$J$11,0))</f>
        <v>70000</v>
      </c>
      <c r="X16" s="331">
        <f>AB16/Control!$D$84</f>
        <v>96532.465675057203</v>
      </c>
      <c r="Y16" s="325" t="s">
        <v>23</v>
      </c>
      <c r="Z16" s="322" t="s">
        <v>110</v>
      </c>
      <c r="AA16" s="322" t="str">
        <f t="shared" si="1"/>
        <v>USGC/LATAM WEST</v>
      </c>
      <c r="AB16" s="324">
        <v>750000</v>
      </c>
      <c r="AC16" s="324">
        <v>1001</v>
      </c>
      <c r="AD16" s="333">
        <v>1600000</v>
      </c>
      <c r="AE16" s="334">
        <f t="shared" si="5"/>
        <v>2.1333333333333333</v>
      </c>
      <c r="AF16" s="335">
        <v>3</v>
      </c>
      <c r="AG16" s="324">
        <f>IF(INDEX(Index,MATCH(Z16,TVM_PortList,0),MATCH("Type",Control!$Q$3:$U$3,0))="BL",INDEX(Index,MATCH(Z16,TVM_PortList,0),MATCH("Payment",Control!$Q$3:$U$3,0))-INDEX(Index,MATCH(V16,TVM_PortList,0),MATCH("Payment",Control!$Q$3:$U$3,0)),BB16+INDEX(Index,MATCH(Z16,TVM_PortList,0),MATCH("Payment",Control!$Q$3:$U$3,0))-INDEX(Index,MATCH(V16,TVM_PortList,0),MATCH("Payment",Control!$Q$3:$U$3,0)))</f>
        <v>0</v>
      </c>
      <c r="AH16" s="324"/>
      <c r="AI16" s="336">
        <f>AF16*VLOOKUP($Y16,Control!$F$75:$H$79,3,FALSE)/$AB16</f>
        <v>0.32</v>
      </c>
      <c r="AJ16" s="336">
        <f>IF(AG16&lt;0,0,$AG16*Control!$D$77)</f>
        <v>0</v>
      </c>
      <c r="AK16" s="336"/>
      <c r="AL16" s="336">
        <f>INDEX(Lightering,MATCH($V16,Control!$AB$3:$AB$29,0),MATCH('CLK1'!$Y16,Control!$AB$3:$AF$3,0))*($AB16/Control!$D$85)*Control!$H$90/$AB16</f>
        <v>0</v>
      </c>
      <c r="AM16" s="336">
        <f>IF(I16="Corpus Christi",Control!$D$76,0)</f>
        <v>0</v>
      </c>
      <c r="AN16" s="336">
        <v>0</v>
      </c>
      <c r="AO16" s="336">
        <f>Control!$D$78</f>
        <v>0</v>
      </c>
      <c r="AP16" s="336">
        <f>Control!$D$79</f>
        <v>6.7299999999999999E-2</v>
      </c>
      <c r="AQ16" s="336">
        <f>IF(INDEX(Control!$Q$3:$S$62,MATCH($Z16,Control!$Q$3:$Q$62,0),MATCH(AQ$8,Control!$Q$3:$S$3,0))=1,Control!$D$81*Control!$E$81,0)</f>
        <v>0</v>
      </c>
      <c r="AR16" s="336">
        <f>IF(INDEX(Control!$Q$3:$S$62,MATCH($Z16,Control!$Q$3:$Q$62,0),MATCH(AR$8,Control!$Q$3:$S$3,0))=1,Control!$D$82/$AB16,0)</f>
        <v>0</v>
      </c>
      <c r="AS16" s="336"/>
      <c r="AT16" s="336">
        <f>IF(AND(L16="Chiriqui Grande",V16="Puerto Armuelles"),Control!$G$93,0)</f>
        <v>0</v>
      </c>
      <c r="AU16" s="334">
        <f t="shared" si="6"/>
        <v>0.38729999999999998</v>
      </c>
      <c r="AV16" s="334">
        <f t="shared" si="2"/>
        <v>2.5206333333333335</v>
      </c>
      <c r="AW16" s="334" t="e">
        <f t="shared" ref="AW16:AW17" si="10">IF((MONTH(A16)=MONTH(BG16)),0,IF(((MONTH(BG16))-MONTH(A16))+12*YEAR(BF16)-YEAR(A16)&gt;1,SUMIFS($BC$4:$BF$4,$BC$3:$BF$3,"&lt;="&amp;EOMONTH(BF16,-1),$BC$3:$BF$3,"&gt;="&amp;EOMONTH(A16,0)),VLOOKUP("Spreads",$BB$3:$BF$4,MATCH(EOMONTH(A16,0),$BB$3:$BF$3,0))))</f>
        <v>#VALUE!</v>
      </c>
      <c r="AX16" s="334" t="e">
        <f t="shared" ref="AX16:AX17" si="11">+IF($BB$3=1,HLOOKUP(EOMONTH(BD16,0),$BC$3:$BF$6,4,FALSE),IF($BB$3=2,-HLOOKUP(EOMONTH(BD16,0),$BC$3:$BF$6,3,FALSE),0))</f>
        <v>#VALUE!</v>
      </c>
      <c r="AY16" s="498" t="e">
        <f t="shared" si="4"/>
        <v>#VALUE!</v>
      </c>
      <c r="BA16" s="330"/>
      <c r="BB16" s="338">
        <f>+INDEX('[1]Transit Time'!$A:$DZ,MATCH(V16,'[1]Transit Time'!$A:$A,0),MATCH(Z16,'[1]Transit Time'!$A$1:$DZ$1,0))</f>
        <v>18</v>
      </c>
      <c r="BC16" s="320" t="e">
        <f t="shared" ref="BC16:BC20" si="12">IF(ISBLANK(A16),"",A16+$BB16+D16)</f>
        <v>#VALUE!</v>
      </c>
      <c r="BD16" s="339" t="str">
        <f t="shared" si="8"/>
        <v/>
      </c>
      <c r="BE16" s="320" t="e">
        <f t="shared" ref="BE16:BE17" si="13">HLOOKUP($BB$3,$AV$3:$AX$3,2,FALSE)</f>
        <v>#N/A</v>
      </c>
      <c r="BF16" s="491" t="e">
        <f t="shared" ref="BF16:BF17" si="14">IF($BB$7=0,IF(BE16="ICE Brent",EOMONTH(BD16,2),EOMONTH(BD16,0)),IF(BE16="ICE Brent",EOMONTH(BD16,1),EOMONTH(BD16,-1)))</f>
        <v>#N/A</v>
      </c>
      <c r="BG16" s="491" t="e">
        <f t="shared" ref="BG16:BG17" si="15">IF($BB$7=1,EOMONTH(BD16,-1),EOMONTH(BD16,0))</f>
        <v>#VALUE!</v>
      </c>
    </row>
    <row r="17" spans="1:72" hidden="1" outlineLevel="1" x14ac:dyDescent="0.35">
      <c r="A17" s="340">
        <f t="shared" ref="A17:A21" si="16">+$A$9</f>
        <v>46341</v>
      </c>
      <c r="B17" s="341">
        <f t="shared" si="0"/>
        <v>46343</v>
      </c>
      <c r="D17" s="359">
        <f>IF(AL17=0,0,VLOOKUP(Y17,Control!$G$41:$J$44,4,FALSE))</f>
        <v>0</v>
      </c>
      <c r="E17" s="516">
        <f t="shared" ref="E17:E21" si="17">AVERAGE(A17:B17)+D17</f>
        <v>46342</v>
      </c>
      <c r="F17"/>
      <c r="G17"/>
      <c r="H17"/>
      <c r="I17"/>
      <c r="J17"/>
      <c r="K17"/>
      <c r="L17"/>
      <c r="M17"/>
      <c r="N17"/>
      <c r="O17"/>
      <c r="P17"/>
      <c r="Q17"/>
      <c r="T17" s="351">
        <f>INDEX('[2]Flat Rates 2025'!$A:$DZ,MATCH(V17,'[2]Flat Rates 2025'!$A:$A,0),MATCH(Z17,'[2]Flat Rates 2025'!$A$1:$DZ$1,0))</f>
        <v>0</v>
      </c>
      <c r="U17" s="351">
        <f>INDEX(Control!$E$17:$J$21,MATCH(Y17,Control!$E$17:$E$21,0),MATCH(V17,Control!$E$17:$J$17,0))</f>
        <v>0</v>
      </c>
      <c r="V17" s="351" t="s">
        <v>45</v>
      </c>
      <c r="W17" s="344">
        <f>INDEX(Vessel_Minimum_MT,MATCH(Y17,Control!$E$11:$E$15,0),MATCH(V17,Control!$E$11:$J$11,0))</f>
        <v>70000</v>
      </c>
      <c r="X17" s="352">
        <f>AB17/Control!$D$84</f>
        <v>96532.465675057203</v>
      </c>
      <c r="Y17" s="346" t="s">
        <v>23</v>
      </c>
      <c r="Z17" s="343" t="s">
        <v>35</v>
      </c>
      <c r="AA17" s="343" t="str">
        <f t="shared" si="1"/>
        <v>USGC/BAYOVAR+T</v>
      </c>
      <c r="AB17" s="345">
        <v>750000</v>
      </c>
      <c r="AC17" s="345"/>
      <c r="AD17" s="354">
        <v>190</v>
      </c>
      <c r="AE17" s="355">
        <f t="shared" si="5"/>
        <v>0</v>
      </c>
      <c r="AF17" s="356">
        <v>2</v>
      </c>
      <c r="AG17" s="345">
        <f>IF(INDEX(Index,MATCH(Z17,TVM_PortList,0),MATCH("Type",Control!$Q$3:$U$3,0))="BL",INDEX(Index,MATCH(Z17,TVM_PortList,0),MATCH("Payment",Control!$Q$3:$U$3,0))-INDEX(Index,MATCH(V17,TVM_PortList,0),MATCH("Payment",Control!$Q$3:$U$3,0)),BB17+INDEX(Index,MATCH(Z17,TVM_PortList,0),MATCH("Payment",Control!$Q$3:$U$3,0))-INDEX(Index,MATCH(V17,TVM_PortList,0),MATCH("Payment",Control!$Q$3:$U$3,0)))</f>
        <v>2</v>
      </c>
      <c r="AH17" s="345"/>
      <c r="AI17" s="357">
        <f>AF17*VLOOKUP($Y17,Control!$F$75:$H$79,3,FALSE)/$AB17</f>
        <v>0.21333333333333335</v>
      </c>
      <c r="AJ17" s="357">
        <f>IF(AG17&lt;0,0,$AG17*Control!$D$77)</f>
        <v>2.6072328767123291E-2</v>
      </c>
      <c r="AK17" s="357"/>
      <c r="AL17" s="357">
        <f>INDEX(Lightering,MATCH($V17,Control!$AB$3:$AB$29,0),MATCH('CLK1'!$Y17,Control!$AB$3:$AF$3,0))*($AB17/Control!$D$85)*Control!$H$90/$AB17</f>
        <v>0</v>
      </c>
      <c r="AM17" s="357">
        <f>IF(I17="Corpus Christi",Control!$D$76,0)</f>
        <v>0</v>
      </c>
      <c r="AN17" s="357">
        <v>0.62666666666666671</v>
      </c>
      <c r="AO17" s="357">
        <f>Control!$D$78</f>
        <v>0</v>
      </c>
      <c r="AP17" s="357">
        <f>Control!$D$79</f>
        <v>6.7299999999999999E-2</v>
      </c>
      <c r="AQ17" s="357">
        <f>IF(INDEX(Control!$Q$3:$S$62,MATCH($Z17,Control!$Q$3:$Q$62,0),MATCH(AQ$8,Control!$Q$3:$S$3,0))=1,Control!$D$81*Control!$E$81,0)</f>
        <v>0</v>
      </c>
      <c r="AR17" s="357">
        <f>IF(INDEX(Control!$Q$3:$S$62,MATCH($Z17,Control!$Q$3:$Q$62,0),MATCH(AR$8,Control!$Q$3:$S$3,0))=1,Control!$D$82/$AB17,0)</f>
        <v>0</v>
      </c>
      <c r="AS17" s="357"/>
      <c r="AT17" s="357">
        <f>IF(AND(L17="Chiriqui Grande",V17="Puerto Armuelles"),Control!$G$93,0)</f>
        <v>0</v>
      </c>
      <c r="AU17" s="355">
        <f t="shared" si="6"/>
        <v>0.93337232876712339</v>
      </c>
      <c r="AV17" s="355">
        <f t="shared" si="2"/>
        <v>0.93337232876712339</v>
      </c>
      <c r="AW17" s="355">
        <f t="shared" si="10"/>
        <v>0</v>
      </c>
      <c r="AX17" s="355">
        <f t="shared" si="11"/>
        <v>-0.9</v>
      </c>
      <c r="AY17" s="501">
        <f t="shared" si="4"/>
        <v>-20.966627671232875</v>
      </c>
      <c r="BA17" s="350"/>
      <c r="BB17" s="359">
        <f>+INDEX('[1]Transit Time'!$A:$DZ,MATCH(V17,'[1]Transit Time'!$A:$A,0),MATCH(Z17,'[1]Transit Time'!$A$1:$DZ$1,0))</f>
        <v>19</v>
      </c>
      <c r="BC17" s="341">
        <f t="shared" si="12"/>
        <v>46360</v>
      </c>
      <c r="BD17" s="360">
        <f t="shared" si="8"/>
        <v>46362</v>
      </c>
      <c r="BE17" s="341" t="e">
        <f t="shared" si="13"/>
        <v>#N/A</v>
      </c>
      <c r="BF17" s="492" t="e">
        <f t="shared" si="14"/>
        <v>#N/A</v>
      </c>
      <c r="BG17" s="492">
        <f t="shared" si="15"/>
        <v>46356</v>
      </c>
    </row>
    <row r="18" spans="1:72" ht="16" collapsed="1" thickBot="1" x14ac:dyDescent="0.4">
      <c r="A18" s="209">
        <f t="shared" si="16"/>
        <v>46341</v>
      </c>
      <c r="B18" s="209">
        <f t="shared" si="0"/>
        <v>46343</v>
      </c>
      <c r="D18" s="318">
        <f>IF(AL18=0,0,VLOOKUP(Y18,Control!$G$41:$J$44,4,FALSE))</f>
        <v>0</v>
      </c>
      <c r="E18" s="517">
        <f t="shared" si="17"/>
        <v>46342</v>
      </c>
      <c r="F18"/>
      <c r="G18"/>
      <c r="H18"/>
      <c r="I18"/>
      <c r="J18"/>
      <c r="K18"/>
      <c r="L18"/>
      <c r="M18"/>
      <c r="N18"/>
      <c r="O18"/>
      <c r="P18"/>
      <c r="Q18"/>
      <c r="T18" s="220">
        <f>INDEX('[2]Flat Rates 2025'!$A:$DZ,MATCH(V18,'[2]Flat Rates 2025'!$A:$A,0),MATCH(Z18,'[2]Flat Rates 2025'!$A$1:$DZ$1,0))</f>
        <v>0</v>
      </c>
      <c r="U18" s="220">
        <f>INDEX(Control!$E$17:$J$21,MATCH(Y18,Control!$E$17:$E$21,0),MATCH(V18,Control!$E$17:$J$17,0))</f>
        <v>0.5</v>
      </c>
      <c r="V18" s="220" t="s">
        <v>45</v>
      </c>
      <c r="W18" s="213">
        <f>INDEX(Vessel_Minimum_MT,MATCH(Y18,Control!$E$11:$E$15,0),MATCH(V18,Control!$E$11:$J$11,0))</f>
        <v>145000</v>
      </c>
      <c r="X18" s="222">
        <f>AB18/Control!$D$84</f>
        <v>109403.46109839817</v>
      </c>
      <c r="Y18" s="258" t="s">
        <v>24</v>
      </c>
      <c r="Z18" s="311" t="s">
        <v>35</v>
      </c>
      <c r="AA18" s="311" t="str">
        <f t="shared" si="1"/>
        <v>USGC/BAYOVAR+T</v>
      </c>
      <c r="AB18" s="312">
        <v>850000</v>
      </c>
      <c r="AC18" s="312"/>
      <c r="AD18" s="378">
        <v>90</v>
      </c>
      <c r="AE18" s="314">
        <f t="shared" si="5"/>
        <v>0</v>
      </c>
      <c r="AF18" s="315">
        <v>2</v>
      </c>
      <c r="AG18" s="312">
        <f>IF(INDEX(Index,MATCH(Z18,TVM_PortList,0),MATCH("Type",Control!$Q$3:$U$3,0))="BL",INDEX(Index,MATCH(Z18,TVM_PortList,0),MATCH("Payment",Control!$Q$3:$U$3,0))-INDEX(Index,MATCH(V18,TVM_PortList,0),MATCH("Payment",Control!$Q$3:$U$3,0)),BB18+INDEX(Index,MATCH(Z18,TVM_PortList,0),MATCH("Payment",Control!$Q$3:$U$3,0))-INDEX(Index,MATCH(V18,TVM_PortList,0),MATCH("Payment",Control!$Q$3:$U$3,0)))</f>
        <v>2</v>
      </c>
      <c r="AH18" s="312"/>
      <c r="AI18" s="316">
        <f>ABF362*VLOOKUP($Y18,Control!$F$75:$H$79,3,FALSE)/$AB18</f>
        <v>0</v>
      </c>
      <c r="AJ18" s="316">
        <f>IF(AG18&lt;0,0,$AG18*Control!$D$77)</f>
        <v>2.6072328767123291E-2</v>
      </c>
      <c r="AK18" s="316"/>
      <c r="AL18" s="316"/>
      <c r="AM18" s="316">
        <f>IF(I18="Corpus Christi",Control!$D$76,0)</f>
        <v>0</v>
      </c>
      <c r="AN18" s="316">
        <v>0</v>
      </c>
      <c r="AO18" s="316">
        <f>Control!$D$78</f>
        <v>0</v>
      </c>
      <c r="AP18" s="316">
        <f>Control!$D$79</f>
        <v>6.7299999999999999E-2</v>
      </c>
      <c r="AQ18" s="316">
        <f>IF(INDEX(Control!$Q$3:$S$62,MATCH($Z18,Control!$Q$3:$Q$62,0),MATCH(AQ$8,Control!$Q$3:$S$3,0))=1,Control!$D$81*Control!$E$81,0)</f>
        <v>0</v>
      </c>
      <c r="AR18" s="316">
        <f>IF(INDEX(Control!$Q$3:$S$62,MATCH($Z18,Control!$Q$3:$Q$62,0),MATCH(AR$8,Control!$Q$3:$S$3,0))=1,Control!$D$82/$AB18,0)</f>
        <v>0</v>
      </c>
      <c r="AS18" s="316"/>
      <c r="AT18" s="316">
        <f>IF(AND(L18="Chiriqui Grande",V18="Puerto Armuelles"),Control!$G$93,0)</f>
        <v>0</v>
      </c>
      <c r="AU18" s="314">
        <f t="shared" si="6"/>
        <v>9.3372328767123286E-2</v>
      </c>
      <c r="AV18" s="314">
        <f t="shared" si="2"/>
        <v>9.3372328767123286E-2</v>
      </c>
      <c r="AW18" s="314">
        <f t="shared" ref="AW18:AW21" si="18">IF((MONTH(A18)=MONTH(BG18)),0,IF(((MONTH(BG18))-MONTH(A18))+12*YEAR(BF18)-YEAR(A18)&gt;1,SUMIFS($BC$4:$BG$4,$BC$3:$BG$3,"&lt;="&amp;EOMONTH(BF18,-1),$BC$3:$BG$3,"&gt;="&amp;EOMONTH(A18,0)),VLOOKUP("Spreads",$BB$3:$BG$4,MATCH(EOMONTH(A18,0),$BB$3:$BG$3,0))))</f>
        <v>2.9</v>
      </c>
      <c r="AX18" s="314"/>
      <c r="AY18" s="498">
        <f t="shared" si="4"/>
        <v>-18.006627671232877</v>
      </c>
      <c r="BA18" s="220"/>
      <c r="BB18" s="318">
        <f>+INDEX('[1]Transit Time'!$A:$DZ,MATCH(V18,'[1]Transit Time'!$A:$A,0),MATCH(Z18,'[1]Transit Time'!$A$1:$DZ$1,0))</f>
        <v>19</v>
      </c>
      <c r="BC18" s="209">
        <f t="shared" si="12"/>
        <v>46360</v>
      </c>
      <c r="BD18" s="209">
        <f t="shared" ref="BD18:BD21" si="19">BC18+2</f>
        <v>46362</v>
      </c>
      <c r="BE18" s="209" t="s">
        <v>155</v>
      </c>
      <c r="BF18" s="493">
        <f t="shared" ref="BF18:BF21" si="20">BG18</f>
        <v>46387</v>
      </c>
      <c r="BG18" s="493">
        <f>EOMONTH(BD18,0)</f>
        <v>46387</v>
      </c>
    </row>
    <row r="19" spans="1:72" ht="16" thickBot="1" x14ac:dyDescent="0.4">
      <c r="A19" s="163">
        <f t="shared" si="16"/>
        <v>46341</v>
      </c>
      <c r="B19" s="163">
        <f t="shared" si="0"/>
        <v>46343</v>
      </c>
      <c r="D19" s="153">
        <f>IF(AL19=0,0,VLOOKUP(Y19,Control!$G$41:$J$44,4,FALSE))</f>
        <v>0</v>
      </c>
      <c r="E19" s="518">
        <f t="shared" si="17"/>
        <v>46342</v>
      </c>
      <c r="F19"/>
      <c r="G19"/>
      <c r="H19"/>
      <c r="I19"/>
      <c r="J19"/>
      <c r="K19"/>
      <c r="L19"/>
      <c r="M19"/>
      <c r="N19"/>
      <c r="O19"/>
      <c r="P19"/>
      <c r="Q19"/>
      <c r="T19" s="138">
        <f>INDEX('[2]Flat Rates 2025'!$A:$DZ,MATCH(V19,'[2]Flat Rates 2025'!$A:$A,0),MATCH(Z19,'[2]Flat Rates 2025'!$A$1:$DZ$1,0))</f>
        <v>0</v>
      </c>
      <c r="U19" s="138">
        <f>INDEX(Control!$E$17:$J$21,MATCH(Y19,Control!$E$17:$E$21,0),MATCH(V19,Control!$E$17:$J$17,0))</f>
        <v>0</v>
      </c>
      <c r="V19" s="138" t="s">
        <v>45</v>
      </c>
      <c r="W19" s="116">
        <f>INDEX(Vessel_Minimum_MT,MATCH(Y19,Control!$E$11:$E$15,0),MATCH(V19,Control!$E$11:$J$11,0))</f>
        <v>70000</v>
      </c>
      <c r="X19" s="140">
        <f>AB19/Control!$D$84</f>
        <v>90096.96796338672</v>
      </c>
      <c r="Y19" s="147" t="s">
        <v>23</v>
      </c>
      <c r="Z19" s="142" t="s">
        <v>13</v>
      </c>
      <c r="AA19" s="142" t="str">
        <f t="shared" si="1"/>
        <v>USGC/ECC</v>
      </c>
      <c r="AB19" s="141">
        <v>700000</v>
      </c>
      <c r="AC19" s="141"/>
      <c r="AD19" s="263">
        <f>AD50+10</f>
        <v>205</v>
      </c>
      <c r="AE19" s="149">
        <f t="shared" si="5"/>
        <v>0</v>
      </c>
      <c r="AF19" s="144">
        <v>1</v>
      </c>
      <c r="AG19" s="141">
        <f>IF(INDEX(Index,MATCH(Z19,TVM_PortList,0),MATCH("Type",Control!$Q$3:$U$3,0))="BL",INDEX(Index,MATCH(Z19,TVM_PortList,0),MATCH("Payment",Control!$Q$3:$U$3,0))-INDEX(Index,MATCH(V19,TVM_PortList,0),MATCH("Payment",Control!$Q$3:$U$3,0)),BB19+INDEX(Index,MATCH(Z19,TVM_PortList,0),MATCH("Payment",Control!$Q$3:$U$3,0))-INDEX(Index,MATCH(V19,TVM_PortList,0),MATCH("Payment",Control!$Q$3:$U$3,0)))</f>
        <v>0</v>
      </c>
      <c r="AH19" s="141"/>
      <c r="AI19" s="143">
        <f>ABF363*VLOOKUP($Y19,Control!$F$75:$H$79,3,FALSE)/$AB19</f>
        <v>0</v>
      </c>
      <c r="AJ19" s="143">
        <f>IF(AG19&lt;0,0,$AG19*Control!$D$77)</f>
        <v>0</v>
      </c>
      <c r="AK19" s="143"/>
      <c r="AL19" s="143"/>
      <c r="AM19" s="143">
        <f>IF(I19="Corpus Christi",Control!$D$76,0)</f>
        <v>0</v>
      </c>
      <c r="AN19" s="143">
        <v>0</v>
      </c>
      <c r="AO19" s="143">
        <f>Control!$D$78</f>
        <v>0</v>
      </c>
      <c r="AP19" s="143">
        <f>Control!$D$79</f>
        <v>6.7299999999999999E-2</v>
      </c>
      <c r="AQ19" s="143">
        <f>IF(INDEX(Control!$Q$3:$S$62,MATCH($Z19,Control!$Q$3:$Q$62,0),MATCH(AQ$8,Control!$Q$3:$S$3,0))=1,Control!$D$81*Control!$E$81,0)</f>
        <v>0</v>
      </c>
      <c r="AR19" s="143">
        <f>IF(INDEX(Control!$Q$3:$S$62,MATCH($Z19,Control!$Q$3:$Q$62,0),MATCH(AR$8,Control!$Q$3:$S$3,0))=1,Control!$D$82/$AB19,0)</f>
        <v>0</v>
      </c>
      <c r="AS19" s="143"/>
      <c r="AT19" s="143">
        <f>IF(AND(L19="Chiriqui Grande",V19="Puerto Armuelles"),Control!$G$93,0)</f>
        <v>0</v>
      </c>
      <c r="AU19" s="149">
        <f t="shared" si="6"/>
        <v>6.7299999999999999E-2</v>
      </c>
      <c r="AV19" s="149">
        <f t="shared" si="2"/>
        <v>6.7299999999999999E-2</v>
      </c>
      <c r="AW19" s="149">
        <f t="shared" si="18"/>
        <v>0</v>
      </c>
      <c r="AX19" s="149"/>
      <c r="AY19" s="501">
        <f t="shared" si="4"/>
        <v>-20.932700000000001</v>
      </c>
      <c r="BB19" s="153">
        <f>+INDEX('[1]Transit Time'!$A:$DZ,MATCH(V19,'[1]Transit Time'!$A:$A,0),MATCH(Z19,'[1]Transit Time'!$A$1:$DZ$1,0))</f>
        <v>8</v>
      </c>
      <c r="BC19" s="163">
        <f t="shared" si="12"/>
        <v>46349</v>
      </c>
      <c r="BD19" s="163">
        <f t="shared" si="19"/>
        <v>46351</v>
      </c>
      <c r="BE19" s="163" t="s">
        <v>155</v>
      </c>
      <c r="BF19" s="490">
        <f t="shared" si="20"/>
        <v>46356</v>
      </c>
      <c r="BG19" s="490">
        <f t="shared" ref="BG19:BG21" si="21">EOMONTH(BD19,0)</f>
        <v>46356</v>
      </c>
    </row>
    <row r="20" spans="1:72" x14ac:dyDescent="0.35">
      <c r="A20" s="230">
        <f t="shared" si="16"/>
        <v>46341</v>
      </c>
      <c r="B20" s="230">
        <f t="shared" si="0"/>
        <v>46343</v>
      </c>
      <c r="D20" s="229">
        <f>IF(AL20=0,0,VLOOKUP(Y20,Control!$G$41:$J$44,4,FALSE))</f>
        <v>0</v>
      </c>
      <c r="E20" s="519">
        <f t="shared" si="17"/>
        <v>46342</v>
      </c>
      <c r="F20"/>
      <c r="G20"/>
      <c r="H20"/>
      <c r="I20"/>
      <c r="J20"/>
      <c r="K20"/>
      <c r="L20"/>
      <c r="M20"/>
      <c r="N20"/>
      <c r="O20"/>
      <c r="P20"/>
      <c r="Q20"/>
      <c r="T20" s="220">
        <v>11.99</v>
      </c>
      <c r="U20" s="220">
        <f>INDEX(Control!$E$17:$J$21,MATCH(Y20,Control!$E$17:$E$21,0),MATCH(V20,Control!$E$17:$J$17,0))</f>
        <v>0.5</v>
      </c>
      <c r="V20" s="220" t="s">
        <v>45</v>
      </c>
      <c r="W20" s="213">
        <f>INDEX(Vessel_Minimum_MT,MATCH(Y20,Control!$E$11:$E$15,0),MATCH(V20,Control!$E$11:$J$11,0))</f>
        <v>145000</v>
      </c>
      <c r="X20" s="222">
        <f>AB20/Control!$D$84</f>
        <v>92671.167048054922</v>
      </c>
      <c r="Y20" s="215" t="s">
        <v>24</v>
      </c>
      <c r="Z20" s="212" t="s">
        <v>53</v>
      </c>
      <c r="AA20" s="212" t="str">
        <f t="shared" si="1"/>
        <v>USGC/ECC</v>
      </c>
      <c r="AB20" s="214">
        <v>720000</v>
      </c>
      <c r="AC20" s="214"/>
      <c r="AD20" s="262">
        <f>AD59+10</f>
        <v>102</v>
      </c>
      <c r="AE20" s="225">
        <f t="shared" si="5"/>
        <v>2.4629458333333334</v>
      </c>
      <c r="AF20" s="226">
        <v>1</v>
      </c>
      <c r="AG20" s="214">
        <f>IF(INDEX(Index,MATCH(Z20,TVM_PortList,0),MATCH("Type",Control!$Q$3:$U$3,0))="BL",INDEX(Index,MATCH(Z20,TVM_PortList,0),MATCH("Payment",Control!$Q$3:$U$3,0))-INDEX(Index,MATCH(V20,TVM_PortList,0),MATCH("Payment",Control!$Q$3:$U$3,0)),BB20+INDEX(Index,MATCH(Z20,TVM_PortList,0),MATCH("Payment",Control!$Q$3:$U$3,0))-INDEX(Index,MATCH(V20,TVM_PortList,0),MATCH("Payment",Control!$Q$3:$U$3,0)))</f>
        <v>0</v>
      </c>
      <c r="AH20" s="214"/>
      <c r="AI20" s="227">
        <f>ABF364*VLOOKUP($Y20,Control!$F$75:$H$79,3,FALSE)/$AB20</f>
        <v>0</v>
      </c>
      <c r="AJ20" s="227">
        <f>IF(AG20&lt;0,0,$AG20*Control!$D$77)</f>
        <v>0</v>
      </c>
      <c r="AK20" s="227"/>
      <c r="AL20" s="227"/>
      <c r="AM20" s="227">
        <f>IF(I20="Corpus Christi",Control!$D$76,0)</f>
        <v>0</v>
      </c>
      <c r="AN20" s="227">
        <v>0</v>
      </c>
      <c r="AO20" s="227">
        <f>Control!$D$78</f>
        <v>0</v>
      </c>
      <c r="AP20" s="227">
        <f>Control!$D$79</f>
        <v>6.7299999999999999E-2</v>
      </c>
      <c r="AQ20" s="227">
        <f>IF(INDEX(Control!$Q$3:$S$62,MATCH($Z20,Control!$Q$3:$Q$62,0),MATCH(AQ$8,Control!$Q$3:$S$3,0))=1,Control!$D$81*Control!$E$81,0)</f>
        <v>0</v>
      </c>
      <c r="AR20" s="227">
        <f>IF(INDEX(Control!$Q$3:$S$62,MATCH($Z20,Control!$Q$3:$Q$62,0),MATCH(AR$8,Control!$Q$3:$S$3,0))=1,Control!$D$82/$AB20,0)</f>
        <v>0</v>
      </c>
      <c r="AS20" s="227"/>
      <c r="AT20" s="227">
        <f>IF(AND(L20="Chiriqui Grande",V20="Puerto Armuelles"),Control!$G$93,0)</f>
        <v>0</v>
      </c>
      <c r="AU20" s="225">
        <f t="shared" si="6"/>
        <v>6.7299999999999999E-2</v>
      </c>
      <c r="AV20" s="225">
        <f t="shared" si="2"/>
        <v>2.5302458333333333</v>
      </c>
      <c r="AW20" s="225">
        <f t="shared" si="18"/>
        <v>0</v>
      </c>
      <c r="AX20" s="225"/>
      <c r="AY20" s="498">
        <f t="shared" si="4"/>
        <v>-18.469754166666668</v>
      </c>
      <c r="BA20" s="220"/>
      <c r="BB20" s="229">
        <f>+INDEX('[1]Transit Time'!$A:$DZ,MATCH(V20,'[1]Transit Time'!$A:$A,0),MATCH(Z20,'[1]Transit Time'!$A$1:$DZ$1,0))</f>
        <v>8</v>
      </c>
      <c r="BC20" s="230">
        <f t="shared" si="12"/>
        <v>46349</v>
      </c>
      <c r="BD20" s="230">
        <f t="shared" si="19"/>
        <v>46351</v>
      </c>
      <c r="BE20" s="230" t="s">
        <v>155</v>
      </c>
      <c r="BF20" s="489">
        <f t="shared" si="20"/>
        <v>46356</v>
      </c>
      <c r="BG20" s="489">
        <f t="shared" si="21"/>
        <v>46356</v>
      </c>
      <c r="BH20" s="514"/>
      <c r="BJ20" s="268"/>
      <c r="BK20" s="268"/>
      <c r="BL20" s="268"/>
      <c r="BM20" s="268"/>
      <c r="BR20" s="34"/>
    </row>
    <row r="21" spans="1:72" ht="16" thickBot="1" x14ac:dyDescent="0.4">
      <c r="A21" s="163">
        <f t="shared" si="16"/>
        <v>46341</v>
      </c>
      <c r="B21" s="163">
        <f t="shared" si="0"/>
        <v>46343</v>
      </c>
      <c r="D21" s="153">
        <f>IF(AL21=0,0,VLOOKUP(Y21,Control!$G$41:$J$44,4,FALSE))</f>
        <v>0</v>
      </c>
      <c r="E21" s="518">
        <f t="shared" si="17"/>
        <v>46342</v>
      </c>
      <c r="F21"/>
      <c r="G21"/>
      <c r="H21"/>
      <c r="I21"/>
      <c r="J21"/>
      <c r="K21"/>
      <c r="L21"/>
      <c r="M21"/>
      <c r="N21"/>
      <c r="O21"/>
      <c r="P21"/>
      <c r="Q21"/>
      <c r="T21" s="138">
        <v>11.99</v>
      </c>
      <c r="U21" s="138">
        <f>INDEX(Control!$E$17:$J$21,MATCH(Y21,Control!$E$17:$E$21,0),MATCH(V21,Control!$E$17:$J$17,0))</f>
        <v>0</v>
      </c>
      <c r="V21" s="138" t="s">
        <v>45</v>
      </c>
      <c r="W21" s="116">
        <f>INDEX(Vessel_Minimum_MT,MATCH(Y21,Control!$E$11:$E$15,0),MATCH(V21,Control!$E$11:$J$11,0))</f>
        <v>70000</v>
      </c>
      <c r="X21" s="140">
        <f>AB21/Control!$D$84</f>
        <v>92671.167048054922</v>
      </c>
      <c r="Y21" s="147" t="s">
        <v>23</v>
      </c>
      <c r="Z21" s="142" t="s">
        <v>53</v>
      </c>
      <c r="AA21" s="142" t="str">
        <f t="shared" si="1"/>
        <v>USGC/ECC</v>
      </c>
      <c r="AB21" s="141">
        <v>720000</v>
      </c>
      <c r="AC21" s="141"/>
      <c r="AD21" s="151">
        <v>190</v>
      </c>
      <c r="AE21" s="149">
        <f t="shared" si="5"/>
        <v>2.2148194444444442</v>
      </c>
      <c r="AF21" s="144">
        <v>1</v>
      </c>
      <c r="AG21" s="141">
        <f>IF(INDEX(Index,MATCH(Z21,TVM_PortList,0),MATCH("Type",Control!$Q$3:$U$3,0))="BL",INDEX(Index,MATCH(Z21,TVM_PortList,0),MATCH("Payment",Control!$Q$3:$U$3,0))-INDEX(Index,MATCH(V21,TVM_PortList,0),MATCH("Payment",Control!$Q$3:$U$3,0)),BB21+INDEX(Index,MATCH(Z21,TVM_PortList,0),MATCH("Payment",Control!$Q$3:$U$3,0))-INDEX(Index,MATCH(V21,TVM_PortList,0),MATCH("Payment",Control!$Q$3:$U$3,0)))</f>
        <v>0</v>
      </c>
      <c r="AH21" s="141"/>
      <c r="AI21" s="143">
        <f>ABF365*VLOOKUP($Y21,Control!$F$75:$H$79,3,FALSE)/$AB21</f>
        <v>0</v>
      </c>
      <c r="AJ21" s="143">
        <f>IF(AG21&lt;0,0,$AG21*Control!$D$77)</f>
        <v>0</v>
      </c>
      <c r="AK21" s="143"/>
      <c r="AL21" s="143"/>
      <c r="AM21" s="143">
        <f>IF(I21="Corpus Christi",Control!$D$76,0)</f>
        <v>0</v>
      </c>
      <c r="AN21" s="143">
        <v>0</v>
      </c>
      <c r="AO21" s="143">
        <f>Control!$D$78</f>
        <v>0</v>
      </c>
      <c r="AP21" s="143">
        <f>Control!$D$79</f>
        <v>6.7299999999999999E-2</v>
      </c>
      <c r="AQ21" s="143">
        <f>IF(INDEX(Control!$Q$3:$S$62,MATCH($Z21,Control!$Q$3:$Q$62,0),MATCH(AQ$8,Control!$Q$3:$S$3,0))=1,Control!$D$81*Control!$E$81,0)</f>
        <v>0</v>
      </c>
      <c r="AR21" s="143">
        <f>IF(INDEX(Control!$Q$3:$S$62,MATCH($Z21,Control!$Q$3:$Q$62,0),MATCH(AR$8,Control!$Q$3:$S$3,0))=1,Control!$D$82/$AB21,0)</f>
        <v>0</v>
      </c>
      <c r="AS21" s="143"/>
      <c r="AT21" s="143">
        <f>IF(AND(L21="Chiriqui Grande",V21="Puerto Armuelles"),Control!$G$93,0)</f>
        <v>0</v>
      </c>
      <c r="AU21" s="149">
        <f t="shared" si="6"/>
        <v>6.7299999999999999E-2</v>
      </c>
      <c r="AV21" s="149">
        <f t="shared" si="2"/>
        <v>2.2821194444444441</v>
      </c>
      <c r="AW21" s="149">
        <f t="shared" si="18"/>
        <v>0</v>
      </c>
      <c r="AX21" s="149"/>
      <c r="AY21" s="497">
        <f t="shared" si="4"/>
        <v>-18.717880555555556</v>
      </c>
      <c r="BB21" s="153">
        <f>+INDEX('[1]Transit Time'!$A:$DZ,MATCH(V21,'[1]Transit Time'!$A:$A,0),MATCH(Z21,'[1]Transit Time'!$A$1:$DZ$1,0))</f>
        <v>8</v>
      </c>
      <c r="BC21" s="163">
        <f>IF(ISBLANK(A21),"",A21+$BB21+D21)</f>
        <v>46349</v>
      </c>
      <c r="BD21" s="163">
        <f t="shared" si="19"/>
        <v>46351</v>
      </c>
      <c r="BE21" s="163" t="s">
        <v>155</v>
      </c>
      <c r="BF21" s="490">
        <f t="shared" si="20"/>
        <v>46356</v>
      </c>
      <c r="BG21" s="490">
        <f t="shared" si="21"/>
        <v>46356</v>
      </c>
      <c r="BH21" s="133"/>
      <c r="BJ21" s="268"/>
      <c r="BK21" s="268"/>
      <c r="BL21" s="268"/>
      <c r="BM21" s="268"/>
      <c r="BR21" s="34"/>
    </row>
    <row r="22" spans="1:72" ht="19.5" customHeight="1" thickBot="1" x14ac:dyDescent="0.5">
      <c r="A22"/>
      <c r="B22"/>
      <c r="D22"/>
      <c r="E22" s="520"/>
      <c r="F22"/>
      <c r="G22"/>
      <c r="H22"/>
      <c r="I22"/>
      <c r="J22"/>
      <c r="K22"/>
      <c r="L22"/>
      <c r="M22"/>
      <c r="N22"/>
      <c r="O22"/>
      <c r="P22"/>
      <c r="Q22"/>
      <c r="T22" s="9"/>
      <c r="U22" s="9"/>
      <c r="V22" s="9"/>
      <c r="W22" s="129"/>
      <c r="X22" s="9"/>
      <c r="Y22" s="999" t="s">
        <v>168</v>
      </c>
      <c r="Z22" s="1000"/>
      <c r="AA22" s="1000"/>
      <c r="AB22" s="1000"/>
      <c r="AC22" s="1000"/>
      <c r="AD22" s="1000"/>
      <c r="AE22" s="1000"/>
      <c r="AF22" s="1000"/>
      <c r="AG22" s="1000"/>
      <c r="AH22" s="1000"/>
      <c r="AI22" s="1000"/>
      <c r="AJ22" s="1000"/>
      <c r="AK22" s="1000"/>
      <c r="AL22" s="1000"/>
      <c r="AM22" s="1000"/>
      <c r="AN22" s="1000"/>
      <c r="AO22" s="1000"/>
      <c r="AP22" s="1000"/>
      <c r="AQ22" s="1000"/>
      <c r="AR22" s="1000"/>
      <c r="AS22" s="1000"/>
      <c r="AT22" s="1000"/>
      <c r="AU22" s="1000"/>
      <c r="AV22" s="1000"/>
      <c r="AW22" s="1000"/>
      <c r="AX22" s="1000"/>
      <c r="AY22" s="1001"/>
      <c r="BB22"/>
      <c r="BC22"/>
      <c r="BD22"/>
      <c r="BE22"/>
      <c r="BF22"/>
      <c r="BG22"/>
      <c r="BI22" s="124"/>
    </row>
    <row r="23" spans="1:72" ht="29.5" customHeight="1" x14ac:dyDescent="0.35">
      <c r="A23" s="1013" t="s">
        <v>167</v>
      </c>
      <c r="B23" s="1014"/>
      <c r="D23" s="137" t="str">
        <f t="shared" ref="D23:E23" si="22">D8</f>
        <v>STS Time</v>
      </c>
      <c r="E23" s="521" t="str">
        <f t="shared" si="22"/>
        <v>Depart</v>
      </c>
      <c r="F23"/>
      <c r="G23"/>
      <c r="H23"/>
      <c r="I23"/>
      <c r="J23"/>
      <c r="K23"/>
      <c r="L23"/>
      <c r="M23"/>
      <c r="N23"/>
      <c r="O23"/>
      <c r="P23"/>
      <c r="Q23"/>
      <c r="T23" s="120" t="s">
        <v>172</v>
      </c>
      <c r="U23" s="120" t="e">
        <f>INDEX(Control!$E$17:$J$21,MATCH(Y23,Control!$E$17:$E$21,0),MATCH(V23,Control!$E$17:$J$17,0))</f>
        <v>#N/A</v>
      </c>
      <c r="V23" s="120" t="s">
        <v>173</v>
      </c>
      <c r="W23" s="152" t="str">
        <f>$W$8</f>
        <v>Vessel MT</v>
      </c>
      <c r="X23" s="120" t="s">
        <v>175</v>
      </c>
      <c r="Y23" s="571" t="s">
        <v>176</v>
      </c>
      <c r="Z23" s="571" t="s">
        <v>177</v>
      </c>
      <c r="AA23" s="571" t="s">
        <v>178</v>
      </c>
      <c r="AB23" s="571" t="s">
        <v>200</v>
      </c>
      <c r="AC23" s="578" t="s">
        <v>201</v>
      </c>
      <c r="AD23" s="128" t="s">
        <v>202</v>
      </c>
      <c r="AE23" s="579" t="s">
        <v>203</v>
      </c>
      <c r="AF23" s="580" t="s">
        <v>204</v>
      </c>
      <c r="AG23" s="578" t="s">
        <v>205</v>
      </c>
      <c r="AH23" s="578" t="str">
        <f t="shared" ref="AH23" si="23">AH8</f>
        <v>Ext. TVM</v>
      </c>
      <c r="AI23" s="580" t="s">
        <v>206</v>
      </c>
      <c r="AJ23" s="783" t="str">
        <f t="shared" ref="AJ23:AK23" si="24">AG23</f>
        <v>ATA tvm</v>
      </c>
      <c r="AK23" s="783" t="str">
        <f t="shared" si="24"/>
        <v>Ext. TVM</v>
      </c>
      <c r="AL23" s="580" t="str">
        <f>AL8</f>
        <v>STS</v>
      </c>
      <c r="AM23" s="580" t="s">
        <v>186</v>
      </c>
      <c r="AN23" s="580" t="s">
        <v>187</v>
      </c>
      <c r="AO23" s="580" t="s">
        <v>141</v>
      </c>
      <c r="AP23" s="580" t="s">
        <v>188</v>
      </c>
      <c r="AQ23" s="580" t="s">
        <v>17</v>
      </c>
      <c r="AR23" s="580" t="s">
        <v>207</v>
      </c>
      <c r="AS23" s="580" t="s">
        <v>143</v>
      </c>
      <c r="AT23" s="580" t="s">
        <v>152</v>
      </c>
      <c r="AU23" s="579" t="s">
        <v>208</v>
      </c>
      <c r="AV23" s="579" t="s">
        <v>209</v>
      </c>
      <c r="AW23" s="579" t="s">
        <v>210</v>
      </c>
      <c r="AX23" s="579" t="str">
        <f>AX8</f>
        <v>Basis</v>
      </c>
      <c r="AY23" s="137" t="s">
        <v>211</v>
      </c>
      <c r="BB23" s="137" t="s">
        <v>195</v>
      </c>
      <c r="BC23" s="1005" t="s">
        <v>196</v>
      </c>
      <c r="BD23" s="1005"/>
      <c r="BE23" s="488" t="str">
        <f>BE8</f>
        <v>Basis</v>
      </c>
      <c r="BF23" s="582" t="str">
        <f>BF8</f>
        <v>Pricing Month</v>
      </c>
      <c r="BG23" s="582" t="str">
        <f>BG8</f>
        <v>Delivery Month</v>
      </c>
      <c r="BJ23" s="35"/>
      <c r="BK23" s="35"/>
      <c r="BL23" s="35"/>
      <c r="BM23" s="35"/>
      <c r="BN23" s="735" t="s">
        <v>212</v>
      </c>
      <c r="BO23" s="2" t="s">
        <v>213</v>
      </c>
      <c r="BQ23" s="2" t="s">
        <v>126</v>
      </c>
      <c r="BR23" s="2" t="s">
        <v>10</v>
      </c>
    </row>
    <row r="24" spans="1:72" ht="18" customHeight="1" x14ac:dyDescent="0.35">
      <c r="A24" s="701">
        <f>A21</f>
        <v>46341</v>
      </c>
      <c r="B24" s="702">
        <f>B8</f>
        <v>46343</v>
      </c>
      <c r="C24" s="270"/>
      <c r="D24" s="703"/>
      <c r="E24" s="704">
        <f t="shared" ref="E24:E47" si="25">AVERAGE(A24:B24)+D24</f>
        <v>46342</v>
      </c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665">
        <f>INDEX('[2]Flat Rates 2025'!$A:$DZ,MATCH(V24,'[2]Flat Rates 2025'!$A:$A,0),MATCH(Z24,'[2]Flat Rates 2025'!$A$1:$DZ$1,0))</f>
        <v>0</v>
      </c>
      <c r="U24" s="665">
        <f>INDEX(Control!$E$17:$J$21,MATCH(Y24,Control!$E$17:$E$21,0),MATCH(V24,Control!$E$17:$J$17,0))</f>
        <v>0</v>
      </c>
      <c r="V24" s="665" t="s">
        <v>45</v>
      </c>
      <c r="W24" s="666">
        <f>INDEX(Vessel_Minimum_MT,MATCH(Y24,Control!$E$11:$E$15,0),MATCH(V24,Control!$E$11:$J$11,0))</f>
        <v>70000</v>
      </c>
      <c r="X24" s="667">
        <f>AB24/Control!$D$84</f>
        <v>96532.465675057203</v>
      </c>
      <c r="Y24" s="705" t="s">
        <v>23</v>
      </c>
      <c r="Z24" s="706" t="s">
        <v>106</v>
      </c>
      <c r="AA24" s="706" t="str">
        <f t="shared" ref="AA24:AA44" si="26">IF(Z24=V24,"",CONCATENATE(CONCATENATE(VLOOKUP(V24,Zones,2,FALSE),"/",VLOOKUP(Z24,Zones,2,FALSE))))</f>
        <v>USGC/KOREA</v>
      </c>
      <c r="AB24" s="707">
        <v>750000</v>
      </c>
      <c r="AC24" s="707">
        <v>1001</v>
      </c>
      <c r="AD24" s="708">
        <v>6700000</v>
      </c>
      <c r="AE24" s="709">
        <f t="shared" ref="AE24:AE47" si="27">IF(AC24&gt;1000,IF(AD24=0,AC24,AD24)/AB24,((W24*T24*(IF(AD24=0,AC24,AD24)/100))+IF(X24&lt;W24,0,(X24-W24)*T24*IF(AD24=0,AC24,AD24)/100*U24))/AB24)</f>
        <v>8.9333333333333336</v>
      </c>
      <c r="AF24" s="760">
        <v>5</v>
      </c>
      <c r="AG24" s="710">
        <f>IF(INDEX(Index,MATCH(Z24,TVM_PortList,0),MATCH("Type",Control!$Q$3:$U$3,0))="BL",INDEX(Index,MATCH(Z24,TVM_PortList,0),MATCH("Payment",Control!$Q$3:$U$3,0))-INDEX(Index,MATCH(V24,TVM_PortList,0),MATCH("Payment",Control!$Q$3:$U$3,0)),BB24+INDEX(Index,MATCH(Z24,TVM_PortList,0),MATCH("Payment",Control!$Q$3:$U$3,0))-INDEX(Index,MATCH(V24,TVM_PortList,0),MATCH("Payment",Control!$Q$3:$U$3,0)))</f>
        <v>19</v>
      </c>
      <c r="AH24" s="710"/>
      <c r="AI24" s="711">
        <f>AF24*VLOOKUP($Y24,Control!$F$75:$H$87,3,FALSE)/$AB24</f>
        <v>0.53333333333333333</v>
      </c>
      <c r="AJ24" s="711">
        <f>$AG24*Control!$D$77</f>
        <v>0.24768712328767126</v>
      </c>
      <c r="AK24" s="711"/>
      <c r="AL24" s="711">
        <f>IF(((AB24-VLOOKUP(Y24,Control!$J$76:$K$80,2,FALSE))/Control!$D$85)&lt;=0,0,ROUNDUP(((AB24-VLOOKUP(Y24,Control!$J$76:$K$80,2,FALSE))/Control!$D$85),0)*Control!$H$90/AB24)</f>
        <v>0</v>
      </c>
      <c r="AM24" s="711">
        <f>IF(I24="Corpus Christi",Control!$D$76,0)</f>
        <v>0</v>
      </c>
      <c r="AN24" s="711">
        <v>0</v>
      </c>
      <c r="AO24" s="711">
        <f>Control!$D$78</f>
        <v>0</v>
      </c>
      <c r="AP24" s="711">
        <f>Control!$D$79</f>
        <v>6.7299999999999999E-2</v>
      </c>
      <c r="AQ24" s="711">
        <f>IF(INDEX(Control!$Q$3:$S$62,MATCH($Z24,Control!$Q$3:$Q$62,0),MATCH(AQ$8,Control!$Q$3:$S$3,0))=1,Control!$D$81*Control!$E$81,0)</f>
        <v>0.2</v>
      </c>
      <c r="AR24" s="711"/>
      <c r="AS24" s="711">
        <f>IF(AND(Y24="VLCC",Control!$K$79=1200000),Control!$D$83/AB24,0)</f>
        <v>0</v>
      </c>
      <c r="AT24" s="711"/>
      <c r="AU24" s="712">
        <f t="shared" ref="AU24:AU25" si="28">SUM(AI24:AT24)</f>
        <v>1.0483204566210047</v>
      </c>
      <c r="AV24" s="712">
        <f t="shared" ref="AV24:AV47" si="29">+R24+AE24+AU24</f>
        <v>9.9816537899543381</v>
      </c>
      <c r="AW24" s="712">
        <f t="shared" ref="AW24:AW25" si="30">IF((MONTH(A24)=MONTH(BG24)),0,IF(((MONTH(BG24))-MONTH(A24))+12*YEAR(BF24)-YEAR(A24)&gt;1,SUMIFS($BC$4:$BF$4,$BC$3:$BF$3,"&lt;="&amp;EOMONTH(BF24,-1),$BC$3:$BF$3,"&gt;="&amp;EOMONTH(A24,0)),VLOOKUP("Spreads",$BB$3:$BF$4,MATCH(EOMONTH(A24,0),$BB$3:$BF$3,0))))</f>
        <v>0</v>
      </c>
      <c r="AX24" s="712">
        <f>+IF($BB$3=1,HLOOKUP(EOMONTH(BF24,0),$BC$3:$BG$6,4,FALSE),IF($BB$3=2,-HLOOKUP(EOMONTH(BF24,0),$BB$3:$BG$6,3,FALSE),0))</f>
        <v>-1.7</v>
      </c>
      <c r="AY24" s="713">
        <f t="shared" ref="AY24:AY47" si="31">$Y$3+AV24+AW24+AX24</f>
        <v>-12.718346210045661</v>
      </c>
      <c r="AZ24" s="329"/>
      <c r="BA24" s="329"/>
      <c r="BB24" s="703">
        <v>39</v>
      </c>
      <c r="BC24" s="702">
        <f t="shared" ref="BC24:BC47" si="32">IF(ISBLANK(A24),"",A24+$BB24+D24)</f>
        <v>46380</v>
      </c>
      <c r="BD24" s="702">
        <f>BC24+2</f>
        <v>46382</v>
      </c>
      <c r="BE24" s="702" t="str">
        <f>HLOOKUP($BB$3,$AV$4:$AX$5,2,FALSE)</f>
        <v>Dubai</v>
      </c>
      <c r="BF24" s="714">
        <f t="shared" ref="BF24:BF47" si="33">IF($BB$7=0,IF(BE24="ICE Brent",EOMONTH(BD24,2),EOMONTH(BD24,0)),IF(BE24="ICE Brent",EOMONTH(BD24,1),EOMONTH(BD24,-1)))</f>
        <v>46356</v>
      </c>
      <c r="BG24" s="715">
        <f t="shared" ref="BG24:BG47" si="34">IF($BB$7=1,EOMONTH(BD24,-1),EOMONTH(BD24,0))</f>
        <v>46356</v>
      </c>
      <c r="BI24" s="361"/>
    </row>
    <row r="25" spans="1:72" ht="18" customHeight="1" thickBot="1" x14ac:dyDescent="0.4">
      <c r="A25" s="716">
        <f t="shared" ref="A25:A47" si="35">+$A$9</f>
        <v>46341</v>
      </c>
      <c r="B25" s="717">
        <f t="shared" ref="B25:B31" si="36">IF(ISBLANK(A25),"",A25+2)</f>
        <v>46343</v>
      </c>
      <c r="C25" s="275"/>
      <c r="D25" s="718"/>
      <c r="E25" s="719">
        <f t="shared" si="25"/>
        <v>46342</v>
      </c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720">
        <f>INDEX('[2]Flat Rates 2025'!$A:$DZ,MATCH(V25,'[2]Flat Rates 2025'!$A:$A,0),MATCH(Z25,'[2]Flat Rates 2025'!$A$1:$DZ$1,0))</f>
        <v>0</v>
      </c>
      <c r="U25" s="720">
        <f>INDEX(Control!$E$17:$J$21,MATCH(Y25,Control!$E$17:$E$21,0),MATCH(V25,Control!$E$17:$J$17,0))</f>
        <v>0.5</v>
      </c>
      <c r="V25" s="720" t="s">
        <v>45</v>
      </c>
      <c r="W25" s="721">
        <f>INDEX(Vessel_Minimum_MT,MATCH(Y25,Control!$E$11:$E$15,0),MATCH(V25,Control!$E$11:$J$11,0))</f>
        <v>145000</v>
      </c>
      <c r="X25" s="722">
        <f>AB25/Control!$D$84</f>
        <v>109403.46109839817</v>
      </c>
      <c r="Y25" s="723" t="s">
        <v>24</v>
      </c>
      <c r="Z25" s="724" t="s">
        <v>106</v>
      </c>
      <c r="AA25" s="724" t="str">
        <f t="shared" si="26"/>
        <v>USGC/KOREA</v>
      </c>
      <c r="AB25" s="725">
        <v>850000</v>
      </c>
      <c r="AC25" s="725">
        <v>1001</v>
      </c>
      <c r="AD25" s="726">
        <v>7500000</v>
      </c>
      <c r="AE25" s="727">
        <f t="shared" si="27"/>
        <v>8.8235294117647065</v>
      </c>
      <c r="AF25" s="761">
        <v>2</v>
      </c>
      <c r="AG25" s="725">
        <f>IF(INDEX(Index,MATCH(Z25,TVM_PortList,0),MATCH("Type",Control!$Q$3:$U$3,0))="BL",INDEX(Index,MATCH(Z25,TVM_PortList,0),MATCH("Payment",Control!$Q$3:$U$3,0))-INDEX(Index,MATCH(V25,TVM_PortList,0),MATCH("Payment",Control!$Q$3:$U$3,0)),BB25+INDEX(Index,MATCH(Z25,TVM_PortList,0),MATCH("Payment",Control!$Q$3:$U$3,0))-INDEX(Index,MATCH(V25,TVM_PortList,0),MATCH("Payment",Control!$Q$3:$U$3,0)))</f>
        <v>21</v>
      </c>
      <c r="AH25" s="725"/>
      <c r="AI25" s="728">
        <f>AF25*VLOOKUP($Y25,Control!$F$75:$H$87,3,FALSE)/$AB25</f>
        <v>0.22352941176470589</v>
      </c>
      <c r="AJ25" s="728">
        <f>$AG25*Control!$D$77</f>
        <v>0.27375945205479457</v>
      </c>
      <c r="AK25" s="728"/>
      <c r="AL25" s="728">
        <f>IF(((AB25-VLOOKUP(Y25,Control!$J$76:$K$80,2,FALSE))/Control!$D$85)&lt;=0,0,ROUNDUP(((AB25-VLOOKUP(Y25,Control!$J$76:$K$80,2,FALSE))/Control!$D$85),0)*Control!$H$90/AB25)</f>
        <v>0</v>
      </c>
      <c r="AM25" s="728">
        <f>IF(I25="Corpus Christi",Control!$D$76,0)</f>
        <v>0</v>
      </c>
      <c r="AN25" s="728">
        <v>0</v>
      </c>
      <c r="AO25" s="728">
        <f>Control!$D$78</f>
        <v>0</v>
      </c>
      <c r="AP25" s="728">
        <f>Control!$D$79</f>
        <v>6.7299999999999999E-2</v>
      </c>
      <c r="AQ25" s="728">
        <f>IF(INDEX(Control!$Q$3:$S$62,MATCH($Z25,Control!$Q$3:$Q$62,0),MATCH(AQ$8,Control!$Q$3:$S$3,0))=1,Control!$D$81*Control!$E$81,0)</f>
        <v>0.2</v>
      </c>
      <c r="AR25" s="728"/>
      <c r="AS25" s="728">
        <f>IF(AND(Y25="VLCC",Control!$K$79=1200000),Control!$D$83/AB25,0)</f>
        <v>0</v>
      </c>
      <c r="AT25" s="728"/>
      <c r="AU25" s="727">
        <f t="shared" si="28"/>
        <v>0.76458886381950042</v>
      </c>
      <c r="AV25" s="727">
        <f t="shared" si="29"/>
        <v>9.5881182755842076</v>
      </c>
      <c r="AW25" s="727">
        <f t="shared" si="30"/>
        <v>0</v>
      </c>
      <c r="AX25" s="727">
        <f t="shared" ref="AX25:AX40" si="37">+IF($BB$3=1,HLOOKUP(EOMONTH(BF25,0),$BC$3:$BG$6,4,FALSE),IF($BB$3=2,-HLOOKUP(EOMONTH(BF25,0),$BB$3:$BG$6,3,FALSE),0))</f>
        <v>-1.7</v>
      </c>
      <c r="AY25" s="729">
        <f t="shared" si="31"/>
        <v>-13.111881724415792</v>
      </c>
      <c r="AZ25" s="350"/>
      <c r="BA25" s="720"/>
      <c r="BB25" s="718">
        <f>BB24+AF25</f>
        <v>41</v>
      </c>
      <c r="BC25" s="717">
        <f t="shared" si="32"/>
        <v>46382</v>
      </c>
      <c r="BD25" s="717">
        <f t="shared" ref="BD25:BD47" si="38">BC25+2</f>
        <v>46384</v>
      </c>
      <c r="BE25" s="717" t="str">
        <f t="shared" ref="BE25:BE45" si="39">HLOOKUP($BB$3,$AV$4:$AX$5,2,FALSE)</f>
        <v>Dubai</v>
      </c>
      <c r="BF25" s="730">
        <f t="shared" si="33"/>
        <v>46356</v>
      </c>
      <c r="BG25" s="731">
        <f t="shared" si="34"/>
        <v>46356</v>
      </c>
      <c r="BH25"/>
      <c r="BI25"/>
      <c r="BJ25"/>
      <c r="BK25"/>
      <c r="BL25"/>
      <c r="BM25"/>
      <c r="BO25"/>
      <c r="BP25"/>
      <c r="BQ25"/>
      <c r="BR25"/>
      <c r="BS25"/>
      <c r="BT25"/>
    </row>
    <row r="26" spans="1:72" ht="18" customHeight="1" thickBot="1" x14ac:dyDescent="0.5">
      <c r="A26" s="659"/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T26" s="220"/>
      <c r="U26" s="220"/>
      <c r="V26" s="220"/>
      <c r="W26" s="524"/>
      <c r="X26" s="525"/>
      <c r="Y26" s="1022" t="s">
        <v>214</v>
      </c>
      <c r="Z26" s="1023"/>
      <c r="AA26" s="1023"/>
      <c r="AB26" s="1023"/>
      <c r="AC26" s="1023"/>
      <c r="AD26" s="1023"/>
      <c r="AE26" s="1023"/>
      <c r="AF26" s="1023"/>
      <c r="AG26" s="1020"/>
      <c r="AH26" s="1020"/>
      <c r="AI26" s="1023"/>
      <c r="AJ26" s="1020"/>
      <c r="AK26" s="1020"/>
      <c r="AL26" s="1023"/>
      <c r="AM26" s="1023"/>
      <c r="AN26" s="1023"/>
      <c r="AO26" s="1023"/>
      <c r="AP26" s="1023"/>
      <c r="AQ26" s="1023"/>
      <c r="AR26" s="1023"/>
      <c r="AS26" s="1023"/>
      <c r="AT26" s="1023"/>
      <c r="AU26" s="1023"/>
      <c r="AV26" s="1023"/>
      <c r="AW26" s="1023"/>
      <c r="AX26" s="1023"/>
      <c r="AY26" s="1025"/>
      <c r="BA26" s="220"/>
      <c r="BB26" s="659"/>
      <c r="BC26" s="659"/>
      <c r="BD26" s="659"/>
      <c r="BE26" s="659"/>
      <c r="BF26" s="660"/>
      <c r="BG26" s="660"/>
      <c r="BH26" t="s">
        <v>203</v>
      </c>
      <c r="BI26" t="s">
        <v>137</v>
      </c>
      <c r="BJ26" t="s">
        <v>98</v>
      </c>
      <c r="BK26" t="s">
        <v>127</v>
      </c>
      <c r="BL26" t="s">
        <v>128</v>
      </c>
      <c r="BM26" t="s">
        <v>215</v>
      </c>
      <c r="BO26"/>
      <c r="BP26"/>
      <c r="BQ26"/>
      <c r="BR26"/>
      <c r="BS26"/>
      <c r="BT26"/>
    </row>
    <row r="27" spans="1:72" ht="18" customHeight="1" x14ac:dyDescent="0.35">
      <c r="A27" s="661">
        <f t="shared" si="35"/>
        <v>46341</v>
      </c>
      <c r="B27" s="662">
        <f t="shared" si="36"/>
        <v>46343</v>
      </c>
      <c r="C27" s="270"/>
      <c r="D27" s="663">
        <f>IF(AL27=0,0,VLOOKUP(Y27,Control!$G$41:$J$44,4,FALSE))</f>
        <v>3</v>
      </c>
      <c r="E27" s="664">
        <f t="shared" si="25"/>
        <v>46345</v>
      </c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665">
        <v>0</v>
      </c>
      <c r="U27" s="665" t="e">
        <f>INDEX(Control!$E$17:$J$21,MATCH(Y27,Control!$E$17:$E$21,0),MATCH(V27,Control!$E$17:$J$17,0))</f>
        <v>#N/A</v>
      </c>
      <c r="V27" s="665" t="s">
        <v>38</v>
      </c>
      <c r="W27" s="666">
        <v>270000</v>
      </c>
      <c r="X27" s="667">
        <f>AB27/Control!$D$84</f>
        <v>257419.90846681921</v>
      </c>
      <c r="Y27" s="566" t="s">
        <v>26</v>
      </c>
      <c r="Z27" s="138" t="s">
        <v>51</v>
      </c>
      <c r="AA27" s="566">
        <f>AA38</f>
        <v>0</v>
      </c>
      <c r="AB27" s="526">
        <v>2000000</v>
      </c>
      <c r="AC27" s="744">
        <v>1001</v>
      </c>
      <c r="AD27" s="745">
        <f>AD28</f>
        <v>55000000</v>
      </c>
      <c r="AE27" s="529">
        <f t="shared" si="27"/>
        <v>27.5</v>
      </c>
      <c r="AF27" s="762">
        <v>2</v>
      </c>
      <c r="AG27" s="793">
        <f>AG40</f>
        <v>-9.5</v>
      </c>
      <c r="AH27" s="794">
        <f>INDEX(Control!$AS$36:$AY$118,MATCH('CLK1'!$Z27,Control!$AS$36:$AS$118,0),MATCH('CLK1'!AH$23,Control!$AS$36:$AY$36,0))-6</f>
        <v>30.5</v>
      </c>
      <c r="AI27" s="812">
        <f>AF27*VLOOKUP($Y27,Control!$F$75:$H$87,3,FALSE)/$AB27</f>
        <v>0.45</v>
      </c>
      <c r="AJ27" s="785">
        <f>IF($AK$3=1,$AG27*Control!$D$77,0)</f>
        <v>0</v>
      </c>
      <c r="AK27" s="786">
        <f>IF($AK$4=1,$AH27*Control!$D$77,0)</f>
        <v>0.39760301369863016</v>
      </c>
      <c r="AL27" s="748">
        <f>IF(((AB27-VLOOKUP(Y27,Control!$J$76:$K$82,2,FALSE))/AN27)&lt;=0,0,ROUNDUP(((AB27-VLOOKUP(Y27,Control!$J$76:$K$82,2,FALSE))/Control!$D$86),0)*IF(AN27=Control!$D$86,Control!$H$91,Control!$H$90)/AB27)</f>
        <v>0.92500000000000004</v>
      </c>
      <c r="AM27" s="744">
        <f>IF(I27="Corpus Christi",Control!$D$76,0)</f>
        <v>0</v>
      </c>
      <c r="AN27" s="744">
        <f>IF(AND(Control!$D$85-ROUNDUP(((AB27-VLOOKUP(Y27,Control!$J$76:$K$82,2,FALSE))),0)&gt;0,Control!$D$85-ROUNDUP(((AB27-VLOOKUP(Y27,Control!$J$76:$K$82,2,FALSE))),0)&lt;Control!$D$86-ROUNDUP(((AB27-VLOOKUP(Y27,Control!$J$76:$K$82,2,FALSE))),0)),Control!$D$85,Control!$D$86)</f>
        <v>750000</v>
      </c>
      <c r="AO27" s="748">
        <f>Control!$D$78</f>
        <v>0</v>
      </c>
      <c r="AP27" s="748">
        <f>Control!$D$79</f>
        <v>6.7299999999999999E-2</v>
      </c>
      <c r="AQ27" s="748">
        <f>IF(INDEX(Control!$Q$3:$S$62,MATCH($Z27,Control!$Q$3:$Q$62,0),MATCH(AQ$8,Control!$Q$3:$S$3,0))=1,Control!$D$81*Control!$E$81,0)</f>
        <v>0.2</v>
      </c>
      <c r="AR27" s="748"/>
      <c r="AS27" s="748">
        <f>Control!$D$83/AB27</f>
        <v>0.15</v>
      </c>
      <c r="AT27" s="748"/>
      <c r="AU27" s="529">
        <f>SUM(AI27:AM27,AO27:AT27)</f>
        <v>2.1899030136986299</v>
      </c>
      <c r="AV27" s="529">
        <f t="shared" si="29"/>
        <v>29.689903013698629</v>
      </c>
      <c r="AW27" s="529">
        <f>IF((MONTH(A27)=MONTH(BG27)),0,IF(((MONTH(BG27))-MONTH(A27))+12*YEAR(BF27)-YEAR(A27)&gt;1,SUMIFS($BC$4:$BG$4,$BC$3:$BG$3,"&lt;="&amp;EOMONTH(BF27,-1),$BC$3:$BG$3,"&gt;="&amp;EOMONTH(A27,0)),VLOOKUP("Spreads",$BB$3:$BG$4,MATCH(EOMONTH(A27,0),$BB$3:$BG$3,0))))</f>
        <v>2.9</v>
      </c>
      <c r="AX27" s="529">
        <f t="shared" si="37"/>
        <v>-0.9</v>
      </c>
      <c r="AY27" s="750">
        <f t="shared" si="31"/>
        <v>10.689903013698629</v>
      </c>
      <c r="AZ27" s="329"/>
      <c r="BA27" s="329"/>
      <c r="BB27" s="663">
        <f>BB40</f>
        <v>52</v>
      </c>
      <c r="BC27" s="662">
        <f>IF(ISBLANK(A27),"",A27+$BB27+D27)</f>
        <v>46396</v>
      </c>
      <c r="BD27" s="662">
        <f t="shared" si="38"/>
        <v>46398</v>
      </c>
      <c r="BE27" s="662" t="str">
        <f t="shared" si="39"/>
        <v>Dubai</v>
      </c>
      <c r="BF27" s="669">
        <f t="shared" si="33"/>
        <v>46387</v>
      </c>
      <c r="BG27" s="670">
        <f t="shared" si="34"/>
        <v>46387</v>
      </c>
      <c r="BH27" s="735">
        <f>AE27*AB27</f>
        <v>55000000</v>
      </c>
      <c r="BI27" s="735">
        <f>AI27*AB27</f>
        <v>900000</v>
      </c>
      <c r="BJ27" s="735">
        <f>AL27*AB27</f>
        <v>1850000</v>
      </c>
      <c r="BK27" s="735">
        <f>AJ27*AB27</f>
        <v>0</v>
      </c>
      <c r="BL27" s="735">
        <f>AK27*AB27</f>
        <v>795206.0273972603</v>
      </c>
      <c r="BM27" s="735">
        <f>(AU27-AL27-AK27-AJ27-AI27)*AB27</f>
        <v>834599.99999999942</v>
      </c>
      <c r="BN27" s="776">
        <f t="shared" ref="BN27:BN47" si="40">SUM(BH27:BK27)</f>
        <v>57750000</v>
      </c>
      <c r="BO27" s="776">
        <f t="shared" ref="BO27:BO72" si="41">BN27-BK27</f>
        <v>57750000</v>
      </c>
    </row>
    <row r="28" spans="1:72" ht="18" customHeight="1" x14ac:dyDescent="0.35">
      <c r="A28" s="671">
        <f t="shared" si="35"/>
        <v>46341</v>
      </c>
      <c r="B28" s="551">
        <f t="shared" si="36"/>
        <v>46343</v>
      </c>
      <c r="C28" s="552"/>
      <c r="D28" s="553">
        <f>IF(AL28=0,0,VLOOKUP(Y28,Control!$G$41:$J$44,4,FALSE))</f>
        <v>3</v>
      </c>
      <c r="E28" s="554">
        <f t="shared" si="25"/>
        <v>46345</v>
      </c>
      <c r="F28"/>
      <c r="G28"/>
      <c r="H28"/>
      <c r="I28"/>
      <c r="J28"/>
      <c r="K28"/>
      <c r="L28"/>
      <c r="M28"/>
      <c r="N28"/>
      <c r="O28"/>
      <c r="P28"/>
      <c r="Q28"/>
      <c r="T28" s="556">
        <v>0</v>
      </c>
      <c r="U28" s="556" t="e">
        <f>INDEX(Control!$E$17:$J$21,MATCH(Y28,Control!$E$17:$E$21,0),MATCH(V28,Control!$E$17:$J$17,0))</f>
        <v>#N/A</v>
      </c>
      <c r="V28" s="556" t="s">
        <v>38</v>
      </c>
      <c r="W28" s="557">
        <v>270000</v>
      </c>
      <c r="X28" s="558">
        <f>AB28/Control!$D$84</f>
        <v>250984.41075514874</v>
      </c>
      <c r="Y28" s="559" t="s">
        <v>26</v>
      </c>
      <c r="Z28" s="572" t="s">
        <v>106</v>
      </c>
      <c r="AA28" s="556" t="str">
        <f>AA43</f>
        <v>USGC/KOREA</v>
      </c>
      <c r="AB28" s="304">
        <f>AB43</f>
        <v>1950000</v>
      </c>
      <c r="AC28" s="557">
        <v>1001</v>
      </c>
      <c r="AD28" s="734">
        <f>AD43</f>
        <v>55000000</v>
      </c>
      <c r="AE28" s="561">
        <f t="shared" si="27"/>
        <v>28.205128205128204</v>
      </c>
      <c r="AF28" s="763">
        <v>2</v>
      </c>
      <c r="AG28" s="795">
        <f>AG43</f>
        <v>-9.5</v>
      </c>
      <c r="AH28" s="796">
        <f>INDEX(Control!$AS$36:$AY$118,MATCH('CLK1'!$Z28,Control!$AS$36:$AS$118,0),MATCH('CLK1'!AH$23,Control!$AS$36:$AY$36,0))-6</f>
        <v>32.5</v>
      </c>
      <c r="AI28" s="811">
        <f>AF28*VLOOKUP($Y28,Control!$F$75:$H$87,3,FALSE)/$AB28</f>
        <v>0.46153846153846156</v>
      </c>
      <c r="AJ28" s="787">
        <f>IF($AK$3=1,$AG28*Control!$D$77,0)</f>
        <v>0</v>
      </c>
      <c r="AK28" s="788">
        <f>IF($AK$4=1,$AH28*Control!$D$77,0)</f>
        <v>0.4236753424657535</v>
      </c>
      <c r="AL28" s="562">
        <f>IF(((AB28-VLOOKUP(Y28,Control!$J$76:$K$82,2,FALSE))/AN28)&lt;=0,0,ROUNDUP(((AB28-VLOOKUP(Y28,Control!$J$76:$K$82,2,FALSE))/Control!$D$86),0)*IF(AN28=Control!$D$86,Control!$H$91,Control!$H$90)/AB28)</f>
        <v>0.94871794871794868</v>
      </c>
      <c r="AM28" s="557">
        <f>IF(I28="Corpus Christi",Control!$D$76,0)</f>
        <v>0</v>
      </c>
      <c r="AN28" s="557">
        <f>IF(AND(Control!$D$85-ROUNDUP(((AB28-VLOOKUP(Y28,Control!$J$76:$K$82,2,FALSE))),0)&gt;0,Control!$D$85-ROUNDUP(((AB28-VLOOKUP(Y28,Control!$J$76:$K$82,2,FALSE))),0)&lt;Control!$D$86-ROUNDUP(((AB28-VLOOKUP(Y28,Control!$J$76:$K$82,2,FALSE))),0)),Control!$D$85,Control!$D$86)</f>
        <v>750000</v>
      </c>
      <c r="AO28" s="562">
        <f>Control!$D$78</f>
        <v>0</v>
      </c>
      <c r="AP28" s="562">
        <f>Control!$D$79</f>
        <v>6.7299999999999999E-2</v>
      </c>
      <c r="AQ28" s="562"/>
      <c r="AR28" s="562"/>
      <c r="AS28" s="562">
        <f>Control!$D$83/AB28</f>
        <v>0.15384615384615385</v>
      </c>
      <c r="AT28" s="562"/>
      <c r="AU28" s="561">
        <f t="shared" ref="AU28:AU31" si="42">SUM(AI28:AM28,AO28:AT28)</f>
        <v>2.0550779065683176</v>
      </c>
      <c r="AV28" s="561">
        <f t="shared" si="29"/>
        <v>30.260206111696522</v>
      </c>
      <c r="AW28" s="561">
        <f t="shared" ref="AW28:AW31" si="43">IF((MONTH(A28)=MONTH(BG28)),0,IF(((MONTH(BG28))-MONTH(A28))+12*YEAR(BF28)-YEAR(A28)&gt;1,SUMIFS($BC$4:$BG$4,$BC$3:$BG$3,"&lt;="&amp;EOMONTH(BF28,-1),$BC$3:$BG$3,"&gt;="&amp;EOMONTH(A28,0)),VLOOKUP("Spreads",$BB$3:$BG$4,MATCH(EOMONTH(A28,0),$BB$3:$BG$3,0))))</f>
        <v>2.9</v>
      </c>
      <c r="AX28" s="588">
        <f t="shared" si="37"/>
        <v>-0.9</v>
      </c>
      <c r="AY28" s="563">
        <f t="shared" si="31"/>
        <v>11.260206111696522</v>
      </c>
      <c r="AZ28" s="555"/>
      <c r="BA28" s="556"/>
      <c r="BB28" s="553">
        <f>BB43</f>
        <v>54</v>
      </c>
      <c r="BC28" s="551">
        <f t="shared" si="32"/>
        <v>46398</v>
      </c>
      <c r="BD28" s="551">
        <f t="shared" si="38"/>
        <v>46400</v>
      </c>
      <c r="BE28" s="649" t="str">
        <f t="shared" si="39"/>
        <v>Dubai</v>
      </c>
      <c r="BF28" s="564">
        <f t="shared" si="33"/>
        <v>46387</v>
      </c>
      <c r="BG28" s="672">
        <f t="shared" si="34"/>
        <v>46387</v>
      </c>
      <c r="BH28" s="735">
        <f>AE28*AB28</f>
        <v>55000000</v>
      </c>
      <c r="BI28" s="735">
        <f>AI28*AB28</f>
        <v>900000</v>
      </c>
      <c r="BJ28" s="735">
        <f t="shared" ref="BJ28:BJ47" si="44">AL28*AB28</f>
        <v>1850000</v>
      </c>
      <c r="BK28" s="735">
        <f t="shared" ref="BK28:BK47" si="45">AJ28*AB28</f>
        <v>0</v>
      </c>
      <c r="BL28" s="735">
        <f t="shared" ref="BL28:BL47" si="46">AK28*AB28</f>
        <v>826166.91780821932</v>
      </c>
      <c r="BM28" s="735">
        <f t="shared" ref="BM28:BM47" si="47">(AU28-AL28-AK28-AJ28-AI28)*AB28</f>
        <v>431234.99999999983</v>
      </c>
      <c r="BN28" s="777">
        <f t="shared" si="40"/>
        <v>57750000</v>
      </c>
      <c r="BO28" s="777">
        <f t="shared" si="41"/>
        <v>57750000</v>
      </c>
      <c r="BP28" s="2">
        <f>+BO28/2100000</f>
        <v>27.5</v>
      </c>
    </row>
    <row r="29" spans="1:72" ht="18" customHeight="1" x14ac:dyDescent="0.35">
      <c r="A29" s="673">
        <f t="shared" si="35"/>
        <v>46341</v>
      </c>
      <c r="B29" s="530">
        <f t="shared" si="36"/>
        <v>46343</v>
      </c>
      <c r="D29" s="531">
        <f>IF(AL29=0,0,VLOOKUP(Y29,Control!$G$41:$J$44,4,FALSE))</f>
        <v>3</v>
      </c>
      <c r="E29" s="532">
        <f t="shared" si="25"/>
        <v>46345</v>
      </c>
      <c r="F29"/>
      <c r="G29"/>
      <c r="H29"/>
      <c r="I29"/>
      <c r="J29"/>
      <c r="K29"/>
      <c r="L29"/>
      <c r="M29"/>
      <c r="N29"/>
      <c r="O29"/>
      <c r="P29"/>
      <c r="Q29"/>
      <c r="T29" s="138">
        <v>0</v>
      </c>
      <c r="U29" s="138" t="e">
        <f>INDEX(Control!$E$17:$J$21,MATCH(Y29,Control!$E$17:$E$21,0),MATCH(V29,Control!$E$17:$J$17,0))</f>
        <v>#N/A</v>
      </c>
      <c r="V29" s="138" t="s">
        <v>38</v>
      </c>
      <c r="W29" s="526">
        <v>270000</v>
      </c>
      <c r="X29" s="527">
        <f>AB29/Control!$D$84</f>
        <v>250984.41075514874</v>
      </c>
      <c r="Y29" s="48" t="s">
        <v>26</v>
      </c>
      <c r="Z29" s="674" t="s">
        <v>114</v>
      </c>
      <c r="AA29" s="138" t="str">
        <f>AA44</f>
        <v>USGC/Singapore</v>
      </c>
      <c r="AB29" s="526">
        <f>AB28</f>
        <v>1950000</v>
      </c>
      <c r="AC29" s="526">
        <v>1001</v>
      </c>
      <c r="AD29" s="481">
        <f>AD28-1000000</f>
        <v>54000000</v>
      </c>
      <c r="AE29" s="529">
        <f t="shared" si="27"/>
        <v>27.692307692307693</v>
      </c>
      <c r="AF29" s="762">
        <v>2</v>
      </c>
      <c r="AG29" s="797">
        <f>AG44</f>
        <v>-9.5</v>
      </c>
      <c r="AH29" s="798">
        <f>INDEX(Control!$AS$36:$AY$118,MATCH('CLK1'!$Z29,Control!$AS$36:$AS$118,0),MATCH('CLK1'!AH$23,Control!$AS$36:$AY$36,0))-6</f>
        <v>22.5</v>
      </c>
      <c r="AI29" s="812">
        <f>AF29*VLOOKUP($Y29,Control!$F$75:$H$87,3,FALSE)/$AB29</f>
        <v>0.46153846153846156</v>
      </c>
      <c r="AJ29" s="789">
        <f>IF($AK$3=1,$AG29*Control!$D$77,0)</f>
        <v>0</v>
      </c>
      <c r="AK29" s="790">
        <f>IF($AK$4=1,$AH29*Control!$D$77,0)</f>
        <v>0.29331369863013701</v>
      </c>
      <c r="AL29" s="533">
        <f>IF(((AB29-VLOOKUP(Y29,Control!$J$76:$K$82,2,FALSE))/AN29)&lt;=0,0,ROUNDUP(((AB29-VLOOKUP(Y29,Control!$J$76:$K$82,2,FALSE))/Control!$D$86),0)*IF(AN29=Control!$D$86,Control!$H$91,Control!$H$90)/AB29)</f>
        <v>0.94871794871794868</v>
      </c>
      <c r="AM29" s="744">
        <f>IF(I29="Corpus Christi",Control!$D$76,0)</f>
        <v>0</v>
      </c>
      <c r="AN29" s="744">
        <f>IF(AND(Control!$D$85-ROUNDUP(((AB29-VLOOKUP(Y29,Control!$J$76:$K$82,2,FALSE))),0)&gt;0,Control!$D$85-ROUNDUP(((AB29-VLOOKUP(Y29,Control!$J$76:$K$82,2,FALSE))),0)&lt;Control!$D$86-ROUNDUP(((AB29-VLOOKUP(Y29,Control!$J$76:$K$82,2,FALSE))),0)),Control!$D$85,Control!$D$86)</f>
        <v>750000</v>
      </c>
      <c r="AO29" s="533">
        <f>Control!$D$78</f>
        <v>0</v>
      </c>
      <c r="AP29" s="533">
        <f>Control!$D$79</f>
        <v>6.7299999999999999E-2</v>
      </c>
      <c r="AQ29" s="533">
        <f>IF(INDEX(Control!$Q$3:$S$62,MATCH($Z29,Control!$Q$3:$Q$62,0),MATCH(AQ$8,Control!$Q$3:$S$3,0))=1,Control!$D$81*Control!$E$81,0)</f>
        <v>0.2</v>
      </c>
      <c r="AR29" s="533"/>
      <c r="AS29" s="533">
        <f>Control!$D$83/AB29</f>
        <v>0.15384615384615385</v>
      </c>
      <c r="AT29" s="533"/>
      <c r="AU29" s="529">
        <f t="shared" si="42"/>
        <v>2.1247162627327012</v>
      </c>
      <c r="AV29" s="529">
        <f t="shared" si="29"/>
        <v>29.817023955040394</v>
      </c>
      <c r="AW29" s="529">
        <f t="shared" si="43"/>
        <v>5.15</v>
      </c>
      <c r="AX29" s="529">
        <f>-HLOOKUP(EOMONTH(BF29,0),$BB$3:$BG$6,3,FALSE)</f>
        <v>-2.93</v>
      </c>
      <c r="AY29" s="534">
        <f t="shared" si="31"/>
        <v>11.037023955040395</v>
      </c>
      <c r="BB29" s="531">
        <f t="shared" ref="BB29" si="48">BB44</f>
        <v>44</v>
      </c>
      <c r="BC29" s="530">
        <f t="shared" si="32"/>
        <v>46388</v>
      </c>
      <c r="BD29" s="530">
        <f t="shared" si="38"/>
        <v>46390</v>
      </c>
      <c r="BE29" s="650" t="s">
        <v>157</v>
      </c>
      <c r="BF29" s="675">
        <f>IF($BG$7=0,IF(BE29="ICE Brent",EOMONTH(BD29,2),EOMONTH(BD29,0)),IF(BE29="ICE Brent",EOMONTH(BD29,1),EOMONTH(BD29,-1)))</f>
        <v>46418</v>
      </c>
      <c r="BG29" s="676">
        <f t="shared" ref="BG29" si="49">BF29</f>
        <v>46418</v>
      </c>
      <c r="BH29" s="735">
        <f>AE29*AB29</f>
        <v>54000000</v>
      </c>
      <c r="BI29" s="735">
        <f>AI29*AB29</f>
        <v>900000</v>
      </c>
      <c r="BJ29" s="735">
        <f t="shared" si="44"/>
        <v>1850000</v>
      </c>
      <c r="BK29" s="735">
        <f t="shared" si="45"/>
        <v>0</v>
      </c>
      <c r="BL29" s="735">
        <f t="shared" si="46"/>
        <v>571961.71232876717</v>
      </c>
      <c r="BM29" s="735">
        <f t="shared" si="47"/>
        <v>821235.00000000023</v>
      </c>
      <c r="BN29" s="778">
        <f t="shared" si="40"/>
        <v>56750000</v>
      </c>
      <c r="BO29" s="778">
        <f t="shared" si="41"/>
        <v>56750000</v>
      </c>
    </row>
    <row r="30" spans="1:72" ht="18" customHeight="1" x14ac:dyDescent="0.35">
      <c r="A30" s="671">
        <f t="shared" si="35"/>
        <v>46341</v>
      </c>
      <c r="B30" s="551">
        <f t="shared" si="36"/>
        <v>46343</v>
      </c>
      <c r="C30" s="552"/>
      <c r="D30" s="553">
        <f>IF(AL30=0,0,VLOOKUP(Y30,Control!$G$41:$J$44,4,FALSE))</f>
        <v>3</v>
      </c>
      <c r="E30" s="554">
        <f t="shared" si="25"/>
        <v>46345</v>
      </c>
      <c r="F30"/>
      <c r="G30"/>
      <c r="H30"/>
      <c r="I30"/>
      <c r="J30"/>
      <c r="K30"/>
      <c r="L30"/>
      <c r="M30"/>
      <c r="N30"/>
      <c r="O30"/>
      <c r="P30"/>
      <c r="Q30"/>
      <c r="T30" s="556">
        <v>0</v>
      </c>
      <c r="U30" s="556" t="e">
        <f>INDEX(Control!$E$17:$J$21,MATCH(Y30,Control!$E$17:$E$21,0),MATCH(V30,Control!$E$17:$J$17,0))</f>
        <v>#N/A</v>
      </c>
      <c r="V30" s="556" t="s">
        <v>38</v>
      </c>
      <c r="W30" s="557">
        <v>270000</v>
      </c>
      <c r="X30" s="558">
        <f>AB30/Control!$D$84</f>
        <v>250984.41075514874</v>
      </c>
      <c r="Y30" s="559" t="s">
        <v>26</v>
      </c>
      <c r="Z30" s="573" t="s">
        <v>86</v>
      </c>
      <c r="AA30" s="556" t="str">
        <f>AA46</f>
        <v>USGC/INDIA</v>
      </c>
      <c r="AB30" s="557">
        <f>AB46</f>
        <v>1950000</v>
      </c>
      <c r="AC30" s="557">
        <v>1001</v>
      </c>
      <c r="AD30" s="560">
        <f>AD29</f>
        <v>54000000</v>
      </c>
      <c r="AE30" s="561">
        <f t="shared" si="27"/>
        <v>27.692307692307693</v>
      </c>
      <c r="AF30" s="763">
        <v>2</v>
      </c>
      <c r="AG30" s="795">
        <f>AG46</f>
        <v>-9.5</v>
      </c>
      <c r="AH30" s="796">
        <f>INDEX(Control!$AS$36:$AY$118,MATCH('CLK1'!$Z30,Control!$AS$36:$AS$118,0),MATCH('CLK1'!AH$23,Control!$AS$36:$AY$36,0))-6</f>
        <v>19.5</v>
      </c>
      <c r="AI30" s="811">
        <f>AF30*VLOOKUP($Y30,Control!$F$75:$H$87,3,FALSE)/$AB30</f>
        <v>0.46153846153846156</v>
      </c>
      <c r="AJ30" s="787">
        <f>IF($AK$3=1,$AG30*Control!$D$77,0)</f>
        <v>0</v>
      </c>
      <c r="AK30" s="788">
        <f>IF($AK$4=1,$AH30*Control!$D$77,0)</f>
        <v>0.25420520547945208</v>
      </c>
      <c r="AL30" s="562">
        <f>IF(((AB30-VLOOKUP(Y30,Control!$J$76:$K$82,2,FALSE))/AN30)&lt;=0,0,ROUNDUP(((AB30-VLOOKUP(Y30,Control!$J$76:$K$82,2,FALSE))/Control!$D$86),0)*IF(AN30=Control!$D$86,Control!$H$91,Control!$H$90)/AB30)</f>
        <v>0.94871794871794868</v>
      </c>
      <c r="AM30" s="557">
        <f>IF(I30="Corpus Christi",Control!$D$76,0)</f>
        <v>0</v>
      </c>
      <c r="AN30" s="557">
        <f>IF(AND(Control!$D$85-ROUNDUP(((AB30-VLOOKUP(Y30,Control!$J$76:$K$82,2,FALSE))),0)&gt;0,Control!$D$85-ROUNDUP(((AB30-VLOOKUP(Y30,Control!$J$76:$K$82,2,FALSE))),0)&lt;Control!$D$86-ROUNDUP(((AB30-VLOOKUP(Y30,Control!$J$76:$K$82,2,FALSE))),0)),Control!$D$85,Control!$D$86)</f>
        <v>750000</v>
      </c>
      <c r="AO30" s="562">
        <f>Control!$D$78</f>
        <v>0</v>
      </c>
      <c r="AP30" s="562">
        <f>Control!$D$79</f>
        <v>6.7299999999999999E-2</v>
      </c>
      <c r="AQ30" s="562">
        <f>IF(INDEX(Control!$Q$3:$S$62,MATCH($Z30,Control!$Q$3:$Q$62,0),MATCH(AQ$8,Control!$Q$3:$S$3,0))=1,Control!$D$81*Control!$E$81,0)</f>
        <v>0.2</v>
      </c>
      <c r="AR30" s="562"/>
      <c r="AS30" s="562">
        <f>Control!$D$83/AB30</f>
        <v>0.15384615384615385</v>
      </c>
      <c r="AT30" s="562"/>
      <c r="AU30" s="561">
        <f t="shared" si="42"/>
        <v>2.0856077695820159</v>
      </c>
      <c r="AV30" s="561">
        <f t="shared" si="29"/>
        <v>29.777915461889709</v>
      </c>
      <c r="AW30" s="561">
        <f t="shared" si="43"/>
        <v>0</v>
      </c>
      <c r="AX30" s="588">
        <f>-HLOOKUP(EOMONTH(BF30,0),$BB$3:$BG$6,3,FALSE)</f>
        <v>-5.28</v>
      </c>
      <c r="AY30" s="565">
        <f t="shared" si="31"/>
        <v>3.4979154618897086</v>
      </c>
      <c r="AZ30" s="555"/>
      <c r="BA30" s="556"/>
      <c r="BB30" s="553">
        <f>BB46</f>
        <v>41</v>
      </c>
      <c r="BC30" s="551">
        <f t="shared" si="32"/>
        <v>46385</v>
      </c>
      <c r="BD30" s="551">
        <f t="shared" si="38"/>
        <v>46387</v>
      </c>
      <c r="BE30" s="651" t="s">
        <v>157</v>
      </c>
      <c r="BF30" s="564">
        <f t="shared" ref="BF30" si="50">IF($BB$7=0,IF(BE30="ICE Brent",EOMONTH(BD30,2),EOMONTH(BD30,0)),IF(BE30="ICE Brent",EOMONTH(BD30,1),EOMONTH(BD30,-1)))</f>
        <v>46356</v>
      </c>
      <c r="BG30" s="672">
        <f t="shared" ref="BG30" si="51">IF($BB$7=1,EOMONTH(BD30,-1),EOMONTH(BD30,0))</f>
        <v>46356</v>
      </c>
      <c r="BH30" s="735">
        <f>AE30*AB30</f>
        <v>54000000</v>
      </c>
      <c r="BI30" s="735">
        <f>AI30*AB30</f>
        <v>900000</v>
      </c>
      <c r="BJ30" s="735">
        <f t="shared" si="44"/>
        <v>1850000</v>
      </c>
      <c r="BK30" s="735">
        <f t="shared" si="45"/>
        <v>0</v>
      </c>
      <c r="BL30" s="735">
        <f t="shared" si="46"/>
        <v>495700.15068493155</v>
      </c>
      <c r="BM30" s="735">
        <f t="shared" si="47"/>
        <v>821234.9999999993</v>
      </c>
      <c r="BN30" s="779">
        <f t="shared" si="40"/>
        <v>56750000</v>
      </c>
      <c r="BO30" s="779">
        <f t="shared" si="41"/>
        <v>56750000</v>
      </c>
    </row>
    <row r="31" spans="1:72" ht="18" customHeight="1" thickBot="1" x14ac:dyDescent="0.4">
      <c r="A31" s="677">
        <f t="shared" si="35"/>
        <v>46341</v>
      </c>
      <c r="B31" s="678">
        <f t="shared" si="36"/>
        <v>46343</v>
      </c>
      <c r="C31" s="275"/>
      <c r="D31" s="679">
        <f>IF(AL31=0,0,VLOOKUP(Y31,Control!$G$41:$J$44,4,FALSE))</f>
        <v>3</v>
      </c>
      <c r="E31" s="680">
        <f t="shared" si="25"/>
        <v>46345</v>
      </c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351">
        <v>0</v>
      </c>
      <c r="U31" s="351" t="e">
        <f>INDEX(Control!$E$17:$J$21,MATCH(Y31,Control!$E$17:$E$21,0),MATCH(V31,Control!$E$17:$J$17,0))</f>
        <v>#N/A</v>
      </c>
      <c r="V31" s="351" t="s">
        <v>38</v>
      </c>
      <c r="W31" s="344">
        <v>270000</v>
      </c>
      <c r="X31" s="352">
        <f>AB31/Control!$D$84</f>
        <v>250984.41075514874</v>
      </c>
      <c r="Y31" s="48" t="s">
        <v>26</v>
      </c>
      <c r="Z31" s="751" t="s">
        <v>43</v>
      </c>
      <c r="AA31" s="138" t="str">
        <f>AA43</f>
        <v>USGC/KOREA</v>
      </c>
      <c r="AB31" s="526">
        <f>AB37</f>
        <v>1950000</v>
      </c>
      <c r="AC31" s="526">
        <v>1001</v>
      </c>
      <c r="AD31" s="481">
        <f>AD47</f>
        <v>54650000</v>
      </c>
      <c r="AE31" s="529">
        <f t="shared" si="27"/>
        <v>28.025641025641026</v>
      </c>
      <c r="AF31" s="762">
        <v>2</v>
      </c>
      <c r="AG31" s="799">
        <f>AG47</f>
        <v>-9.5</v>
      </c>
      <c r="AH31" s="800">
        <f>INDEX(Control!$AS$36:$AY$118,MATCH('CLK1'!$Z31,Control!$AS$36:$AS$118,0),MATCH('CLK1'!AH$23,Control!$AS$36:$AY$36,0))-6</f>
        <v>24.5</v>
      </c>
      <c r="AI31" s="813">
        <f>AF31*VLOOKUP($Y31,Control!$F$75:$H$87,3,FALSE)/$AB31</f>
        <v>0.46153846153846156</v>
      </c>
      <c r="AJ31" s="791">
        <f>IF($AK$3=1,$AG31*Control!$D$77,0)</f>
        <v>0</v>
      </c>
      <c r="AK31" s="792">
        <f>IF($AK$4=1,$AH31*Control!$D$77,0)</f>
        <v>0.3193860273972603</v>
      </c>
      <c r="AL31" s="547">
        <f>IF(((AB31-VLOOKUP(Y31,Control!$J$76:$K$82,2,FALSE))/AN31)&lt;=0,0,ROUNDUP(((AB31-VLOOKUP(Y31,Control!$J$76:$K$82,2,FALSE))/Control!$D$86),0)*IF(AN31=Control!$D$86,Control!$H$91,Control!$H$90)/AB31)</f>
        <v>0.94871794871794868</v>
      </c>
      <c r="AM31" s="526">
        <f>IF(I31="Corpus Christi",Control!$D$76,0)</f>
        <v>0</v>
      </c>
      <c r="AN31" s="526">
        <f>IF(AND(Control!$D$85-ROUNDUP(((AB31-VLOOKUP(Y31,Control!$J$76:$K$82,2,FALSE))),0)&gt;0,Control!$D$85-ROUNDUP(((AB31-VLOOKUP(Y31,Control!$J$76:$K$82,2,FALSE))),0)&lt;Control!$D$86-ROUNDUP(((AB31-VLOOKUP(Y31,Control!$J$76:$K$82,2,FALSE))),0)),Control!$D$85,Control!$D$86)</f>
        <v>750000</v>
      </c>
      <c r="AO31" s="533">
        <f>Control!$D$78</f>
        <v>0</v>
      </c>
      <c r="AP31" s="562">
        <f>Control!$D$79</f>
        <v>6.7299999999999999E-2</v>
      </c>
      <c r="AQ31" s="533"/>
      <c r="AR31" s="533"/>
      <c r="AS31" s="533">
        <f>Control!$D$83/AB31</f>
        <v>0.15384615384615385</v>
      </c>
      <c r="AT31" s="533"/>
      <c r="AU31" s="529">
        <f t="shared" si="42"/>
        <v>1.9507885914998244</v>
      </c>
      <c r="AV31" s="529">
        <f t="shared" si="29"/>
        <v>29.976429617140852</v>
      </c>
      <c r="AW31" s="529">
        <f t="shared" si="43"/>
        <v>2.9</v>
      </c>
      <c r="AX31" s="754">
        <f>-HLOOKUP(EOMONTH(BF31,0),$BB$3:$BG$6,3,FALSE)</f>
        <v>-3.98</v>
      </c>
      <c r="AY31" s="752">
        <f t="shared" si="31"/>
        <v>7.8964296171408517</v>
      </c>
      <c r="AZ31" s="350"/>
      <c r="BA31" s="350"/>
      <c r="BB31" s="679">
        <v>54</v>
      </c>
      <c r="BC31" s="678">
        <f t="shared" si="32"/>
        <v>46398</v>
      </c>
      <c r="BD31" s="678">
        <f t="shared" si="38"/>
        <v>46400</v>
      </c>
      <c r="BE31" s="756" t="s">
        <v>157</v>
      </c>
      <c r="BF31" s="757">
        <f t="shared" si="33"/>
        <v>46387</v>
      </c>
      <c r="BG31" s="690">
        <f t="shared" si="34"/>
        <v>46387</v>
      </c>
      <c r="BH31" s="735">
        <f>AE31*AB31</f>
        <v>54650000</v>
      </c>
      <c r="BI31" s="735">
        <f>AI31*AB31</f>
        <v>900000</v>
      </c>
      <c r="BJ31" s="735">
        <f t="shared" si="44"/>
        <v>1850000</v>
      </c>
      <c r="BK31" s="735">
        <f t="shared" si="45"/>
        <v>0</v>
      </c>
      <c r="BL31" s="735">
        <f t="shared" si="46"/>
        <v>622802.75342465763</v>
      </c>
      <c r="BM31" s="735">
        <f t="shared" si="47"/>
        <v>431235.00000000006</v>
      </c>
      <c r="BN31" s="780">
        <f t="shared" si="40"/>
        <v>57400000</v>
      </c>
      <c r="BO31" s="780">
        <f t="shared" si="41"/>
        <v>57400000</v>
      </c>
    </row>
    <row r="32" spans="1:72" ht="18" customHeight="1" thickBot="1" x14ac:dyDescent="0.5">
      <c r="A32" s="535"/>
      <c r="B32" s="530"/>
      <c r="D32" s="531"/>
      <c r="E32" s="532"/>
      <c r="F32"/>
      <c r="G32"/>
      <c r="H32"/>
      <c r="I32"/>
      <c r="J32"/>
      <c r="K32"/>
      <c r="L32"/>
      <c r="M32"/>
      <c r="N32"/>
      <c r="O32"/>
      <c r="P32"/>
      <c r="Q32"/>
      <c r="T32" s="138"/>
      <c r="U32" s="138"/>
      <c r="V32" s="138"/>
      <c r="W32" s="526"/>
      <c r="X32" s="527"/>
      <c r="Y32" s="1022" t="s">
        <v>256</v>
      </c>
      <c r="Z32" s="1023"/>
      <c r="AA32" s="1023"/>
      <c r="AB32" s="1023"/>
      <c r="AC32" s="1023"/>
      <c r="AD32" s="1023"/>
      <c r="AE32" s="1023"/>
      <c r="AF32" s="1023"/>
      <c r="AG32" s="1024"/>
      <c r="AH32" s="1024"/>
      <c r="AI32" s="1023"/>
      <c r="AJ32" s="1024"/>
      <c r="AK32" s="1024"/>
      <c r="AL32" s="1023"/>
      <c r="AM32" s="1023"/>
      <c r="AN32" s="1023"/>
      <c r="AO32" s="1023"/>
      <c r="AP32" s="1023"/>
      <c r="AQ32" s="1023"/>
      <c r="AR32" s="1023"/>
      <c r="AS32" s="1023"/>
      <c r="AT32" s="1023"/>
      <c r="AU32" s="1023"/>
      <c r="AV32" s="1023"/>
      <c r="AW32" s="1023"/>
      <c r="AX32" s="1023"/>
      <c r="AY32" s="1025"/>
      <c r="AZ32" s="529"/>
      <c r="BA32" s="529"/>
      <c r="BB32" s="531"/>
      <c r="BC32" s="530"/>
      <c r="BD32" s="530"/>
      <c r="BE32" s="530"/>
      <c r="BF32" s="658"/>
      <c r="BG32" s="536"/>
      <c r="BH32" s="735"/>
      <c r="BI32" s="735"/>
      <c r="BJ32" s="735"/>
      <c r="BK32" s="735"/>
      <c r="BL32" s="735"/>
      <c r="BM32" s="735"/>
      <c r="BN32" s="267">
        <f t="shared" si="40"/>
        <v>0</v>
      </c>
      <c r="BO32" s="267"/>
    </row>
    <row r="33" spans="1:72" ht="18" customHeight="1" x14ac:dyDescent="0.35">
      <c r="A33" s="661">
        <f t="shared" si="35"/>
        <v>46341</v>
      </c>
      <c r="B33" s="662">
        <f t="shared" ref="B33:B38" si="52">IF(ISBLANK(A33),"",A33+2)</f>
        <v>46343</v>
      </c>
      <c r="C33" s="270"/>
      <c r="D33" s="663">
        <f>D27</f>
        <v>3</v>
      </c>
      <c r="E33" s="664">
        <f t="shared" ref="E33:E38" si="53">AVERAGE(A33:B33)+D33</f>
        <v>46345</v>
      </c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665">
        <v>0</v>
      </c>
      <c r="U33" s="665" t="e">
        <f>INDEX(Control!$E$17:$J$21,MATCH(Y33,Control!$E$17:$E$21,0),MATCH(V33,Control!$E$17:$J$17,0))</f>
        <v>#N/A</v>
      </c>
      <c r="V33" s="665" t="s">
        <v>41</v>
      </c>
      <c r="W33" s="666">
        <v>270000</v>
      </c>
      <c r="X33" s="667">
        <f>AB33/Control!$D$84</f>
        <v>250984.41075514874</v>
      </c>
      <c r="Y33" s="566" t="s">
        <v>27</v>
      </c>
      <c r="Z33" s="138" t="s">
        <v>51</v>
      </c>
      <c r="AA33" s="566" t="str">
        <f>AA44</f>
        <v>USGC/Singapore</v>
      </c>
      <c r="AB33" s="526">
        <f>AB34</f>
        <v>1950000</v>
      </c>
      <c r="AC33" s="744">
        <v>1001</v>
      </c>
      <c r="AD33" s="745">
        <v>8300000</v>
      </c>
      <c r="AE33" s="529">
        <f t="shared" ref="AE33:AE38" si="54">IF(AC33&gt;1000,IF(AD33=0,AC33,AD33)/AB33,((W33*T33*(IF(AD33=0,AC33,AD33)/100))+IF(X33&lt;W33,0,(X33-W33)*T33*IF(AD33=0,AC33,AD33)/100*U33))/AB33)</f>
        <v>4.2564102564102564</v>
      </c>
      <c r="AF33" s="762"/>
      <c r="AG33" s="793">
        <f t="shared" ref="AG33:AG37" si="55">AG27</f>
        <v>-9.5</v>
      </c>
      <c r="AH33" s="794">
        <f>INDEX(Control!$AS$36:$AY$118,MATCH('CLK1'!$Z33,Control!$AS$36:$AS$118,0),MATCH('CLK1'!AH$23,Control!$AS$36:$AY$36,0))-6</f>
        <v>30.5</v>
      </c>
      <c r="AI33" s="812">
        <f>AF33*VLOOKUP($Y33,Control!$F$75:$H$87,3,FALSE)/$AB33</f>
        <v>0</v>
      </c>
      <c r="AJ33" s="785">
        <v>0.05</v>
      </c>
      <c r="AK33" s="786">
        <f>IF($AK$4=1,$AH33*Control!$D$77,0)</f>
        <v>0.39760301369863016</v>
      </c>
      <c r="AL33" s="748">
        <f>IF(((AB33-VLOOKUP(Y33,Control!$J$76:$K$82,2,FALSE))/AN33)&lt;=0,0,ROUNDUP(((AB33-VLOOKUP(Y33,Control!$J$76:$K$82,2,FALSE))/Control!$D$86),0)*IF(AN33=Control!$D$86,Control!$H$91,Control!$H$90)/AB33)</f>
        <v>0.94871794871794868</v>
      </c>
      <c r="AM33" s="748">
        <f>IF(I33="Corpus Christi",Control!$D$76,0)</f>
        <v>0</v>
      </c>
      <c r="AN33" s="749">
        <f>IF(AND(Control!$D$85-ROUNDUP(((AB33-VLOOKUP(Y33,Control!$J$76:$K$82,2,FALSE))),0)&gt;0,Control!$D$85-ROUNDUP(((AB33-VLOOKUP(Y33,Control!$J$76:$K$82,2,FALSE))),0)&lt;Control!$D$86-ROUNDUP(((AB33-VLOOKUP(Y33,Control!$J$76:$K$82,2,FALSE))),0)),Control!$D$85,Control!$D$86)</f>
        <v>750000</v>
      </c>
      <c r="AO33" s="748">
        <f>Control!$D$78</f>
        <v>0</v>
      </c>
      <c r="AP33" s="748"/>
      <c r="AQ33" s="748"/>
      <c r="AR33" s="748"/>
      <c r="AS33" s="748">
        <f>Control!$D$83/AB33</f>
        <v>0.15384615384615385</v>
      </c>
      <c r="AT33" s="748"/>
      <c r="AU33" s="529">
        <f>SUM(AI33:AM33,AO33:AT33)</f>
        <v>1.5501671162627328</v>
      </c>
      <c r="AV33" s="529">
        <f t="shared" ref="AV33:AV38" si="56">+R33+AE33+AU33</f>
        <v>5.8065773726729892</v>
      </c>
      <c r="AW33" s="529">
        <f t="shared" ref="AW33:AW37" si="57">IF((MONTH(A33)=MONTH(BG33)),0,IF(((MONTH(BG33))-MONTH(A33))+12*YEAR(BF33)-YEAR(A33)&gt;1,SUMIFS($BC$4:$BG$4,$BC$3:$BG$3,"&lt;="&amp;EOMONTH(BF33,-1),$BC$3:$BG$3,"&gt;="&amp;EOMONTH(A33,0)),VLOOKUP("Spreads",$BB$3:$BG$4,MATCH(EOMONTH(A33,0),$BB$3:$BG$3,0))))</f>
        <v>2.9</v>
      </c>
      <c r="AX33" s="529">
        <f t="shared" si="37"/>
        <v>-0.9</v>
      </c>
      <c r="AY33" s="750">
        <f t="shared" ref="AY33:AY38" si="58">$Y$3+AV33+AW33+AX33</f>
        <v>-13.19342262732701</v>
      </c>
      <c r="AZ33" s="329"/>
      <c r="BA33" s="329"/>
      <c r="BB33" s="663">
        <f>BB27</f>
        <v>52</v>
      </c>
      <c r="BC33" s="662">
        <f t="shared" ref="BC33:BC38" si="59">IF(ISBLANK(A33),"",A33+$BB33+D33)</f>
        <v>46396</v>
      </c>
      <c r="BD33" s="662">
        <f t="shared" ref="BD33:BD38" si="60">BC33+2</f>
        <v>46398</v>
      </c>
      <c r="BE33" s="662" t="str">
        <f t="shared" si="39"/>
        <v>Dubai</v>
      </c>
      <c r="BF33" s="669">
        <f t="shared" ref="BF33:BF38" si="61">IF($BB$7=0,IF(BE33="ICE Brent",EOMONTH(BD33,2),EOMONTH(BD33,0)),IF(BE33="ICE Brent",EOMONTH(BD33,1),EOMONTH(BD33,-1)))</f>
        <v>46387</v>
      </c>
      <c r="BG33" s="670">
        <f t="shared" ref="BG33:BG38" si="62">IF($BB$7=1,EOMONTH(BD33,-1),EOMONTH(BD33,0))</f>
        <v>46387</v>
      </c>
      <c r="BH33" s="735">
        <f>AE33*AB33</f>
        <v>8300000</v>
      </c>
      <c r="BI33" s="735">
        <f>AI33*AB33</f>
        <v>0</v>
      </c>
      <c r="BJ33" s="735">
        <f t="shared" si="44"/>
        <v>1850000</v>
      </c>
      <c r="BK33" s="735">
        <f t="shared" si="45"/>
        <v>97500</v>
      </c>
      <c r="BL33" s="735">
        <f t="shared" si="46"/>
        <v>775325.87671232875</v>
      </c>
      <c r="BM33" s="735">
        <f t="shared" si="47"/>
        <v>300000.00000000035</v>
      </c>
      <c r="BN33" s="776">
        <f t="shared" si="40"/>
        <v>10247500</v>
      </c>
      <c r="BO33" s="776">
        <f t="shared" si="41"/>
        <v>10150000</v>
      </c>
    </row>
    <row r="34" spans="1:72" ht="18" customHeight="1" x14ac:dyDescent="0.35">
      <c r="A34" s="671">
        <f t="shared" si="35"/>
        <v>46341</v>
      </c>
      <c r="B34" s="551">
        <f t="shared" si="52"/>
        <v>46343</v>
      </c>
      <c r="C34" s="552"/>
      <c r="D34" s="553">
        <v>3</v>
      </c>
      <c r="E34" s="554">
        <f t="shared" si="53"/>
        <v>46345</v>
      </c>
      <c r="F34"/>
      <c r="G34"/>
      <c r="H34"/>
      <c r="I34"/>
      <c r="J34"/>
      <c r="K34"/>
      <c r="L34"/>
      <c r="M34"/>
      <c r="N34"/>
      <c r="O34"/>
      <c r="P34"/>
      <c r="Q34"/>
      <c r="T34" s="556">
        <v>0</v>
      </c>
      <c r="U34" s="556" t="e">
        <f>INDEX(Control!$E$17:$J$21,MATCH(Y34,Control!$E$17:$E$21,0),MATCH(V34,Control!$E$17:$J$17,0))</f>
        <v>#N/A</v>
      </c>
      <c r="V34" s="556" t="s">
        <v>41</v>
      </c>
      <c r="W34" s="557">
        <v>270000</v>
      </c>
      <c r="X34" s="558">
        <f>AB34/Control!$D$84</f>
        <v>250984.41075514874</v>
      </c>
      <c r="Y34" s="559" t="s">
        <v>27</v>
      </c>
      <c r="Z34" s="572" t="s">
        <v>106</v>
      </c>
      <c r="AA34" s="556" t="str">
        <f>AA47</f>
        <v>USGC/KOREA</v>
      </c>
      <c r="AB34" s="304">
        <f>AB43</f>
        <v>1950000</v>
      </c>
      <c r="AC34" s="557">
        <v>1001</v>
      </c>
      <c r="AD34" s="734">
        <f>AD43</f>
        <v>55000000</v>
      </c>
      <c r="AE34" s="561">
        <f t="shared" si="54"/>
        <v>28.205128205128204</v>
      </c>
      <c r="AF34" s="763"/>
      <c r="AG34" s="795">
        <f t="shared" si="55"/>
        <v>-9.5</v>
      </c>
      <c r="AH34" s="796">
        <f>INDEX(Control!$AS$36:$AY$118,MATCH('CLK1'!$Z34,Control!$AS$36:$AS$118,0),MATCH('CLK1'!AH$23,Control!$AS$36:$AY$36,0))-6</f>
        <v>32.5</v>
      </c>
      <c r="AI34" s="811">
        <f>AF34*VLOOKUP($Y34,Control!$F$75:$H$87,3,FALSE)/$AB34</f>
        <v>0</v>
      </c>
      <c r="AJ34" s="787">
        <f>IF($AK$3=1,$AG34*Control!$D$77,0)</f>
        <v>0</v>
      </c>
      <c r="AK34" s="788">
        <f>IF($AK$4=1,$AH34*Control!$D$77,0)</f>
        <v>0.4236753424657535</v>
      </c>
      <c r="AL34" s="562">
        <f>IF(((AB34-VLOOKUP(Y34,Control!$J$76:$K$82,2,FALSE))/AN34)&lt;=0,0,ROUNDUP(((AB34-VLOOKUP(Y34,Control!$J$76:$K$82,2,FALSE))/Control!$D$86),0)*IF(AN34=Control!$D$86,Control!$H$91,Control!$H$90)/AB34)</f>
        <v>0.94871794871794868</v>
      </c>
      <c r="AM34" s="562">
        <f>IF(I34="Corpus Christi",Control!$D$76,0)</f>
        <v>0</v>
      </c>
      <c r="AN34" s="584">
        <f>IF(AND(Control!$D$85-ROUNDUP(((AB34-VLOOKUP(Y34,Control!$J$76:$K$82,2,FALSE))),0)&gt;0,Control!$D$85-ROUNDUP(((AB34-VLOOKUP(Y34,Control!$J$76:$K$82,2,FALSE))),0)&lt;Control!$D$86-ROUNDUP(((AB34-VLOOKUP(Y34,Control!$J$76:$K$82,2,FALSE))),0)),Control!$D$85,Control!$D$86)</f>
        <v>750000</v>
      </c>
      <c r="AO34" s="562">
        <f>Control!$D$78</f>
        <v>0</v>
      </c>
      <c r="AP34" s="562"/>
      <c r="AQ34" s="562"/>
      <c r="AR34" s="562"/>
      <c r="AS34" s="562">
        <f>Control!$D$83/AB34</f>
        <v>0.15384615384615385</v>
      </c>
      <c r="AT34" s="562"/>
      <c r="AU34" s="561">
        <f t="shared" ref="AU34:AU38" si="63">SUM(AI34:AM34,AO34:AT34)</f>
        <v>1.526239445029856</v>
      </c>
      <c r="AV34" s="561">
        <f t="shared" si="56"/>
        <v>29.731367650158059</v>
      </c>
      <c r="AW34" s="561">
        <f t="shared" si="57"/>
        <v>2.9</v>
      </c>
      <c r="AX34" s="588">
        <f t="shared" si="37"/>
        <v>-0.9</v>
      </c>
      <c r="AY34" s="563">
        <f t="shared" si="58"/>
        <v>10.731367650158059</v>
      </c>
      <c r="AZ34" s="555"/>
      <c r="BA34" s="556"/>
      <c r="BB34" s="553">
        <f>BB28</f>
        <v>54</v>
      </c>
      <c r="BC34" s="551">
        <f t="shared" si="59"/>
        <v>46398</v>
      </c>
      <c r="BD34" s="551">
        <f t="shared" si="60"/>
        <v>46400</v>
      </c>
      <c r="BE34" s="649" t="str">
        <f t="shared" si="39"/>
        <v>Dubai</v>
      </c>
      <c r="BF34" s="564">
        <f t="shared" si="61"/>
        <v>46387</v>
      </c>
      <c r="BG34" s="672">
        <f t="shared" si="62"/>
        <v>46387</v>
      </c>
      <c r="BH34" s="735">
        <f>AE34*AB34</f>
        <v>55000000</v>
      </c>
      <c r="BI34" s="735">
        <f>AI34*AB34</f>
        <v>0</v>
      </c>
      <c r="BJ34" s="735">
        <f t="shared" si="44"/>
        <v>1850000</v>
      </c>
      <c r="BK34" s="735">
        <f t="shared" si="45"/>
        <v>0</v>
      </c>
      <c r="BL34" s="735">
        <f t="shared" si="46"/>
        <v>826166.91780821932</v>
      </c>
      <c r="BM34" s="735">
        <f t="shared" si="47"/>
        <v>299999.99999999988</v>
      </c>
      <c r="BN34" s="777">
        <f t="shared" si="40"/>
        <v>56850000</v>
      </c>
      <c r="BO34" s="777">
        <f t="shared" si="41"/>
        <v>56850000</v>
      </c>
    </row>
    <row r="35" spans="1:72" ht="18" customHeight="1" x14ac:dyDescent="0.35">
      <c r="A35" s="673">
        <f t="shared" si="35"/>
        <v>46341</v>
      </c>
      <c r="B35" s="530">
        <f t="shared" si="52"/>
        <v>46343</v>
      </c>
      <c r="D35" s="531">
        <f>D29</f>
        <v>3</v>
      </c>
      <c r="E35" s="532">
        <f t="shared" si="53"/>
        <v>46345</v>
      </c>
      <c r="F35"/>
      <c r="G35"/>
      <c r="H35"/>
      <c r="I35"/>
      <c r="J35"/>
      <c r="K35"/>
      <c r="L35"/>
      <c r="M35"/>
      <c r="N35"/>
      <c r="O35"/>
      <c r="P35"/>
      <c r="Q35"/>
      <c r="T35" s="138">
        <v>0</v>
      </c>
      <c r="U35" s="138" t="e">
        <f>INDEX(Control!$E$17:$J$21,MATCH(Y35,Control!$E$17:$E$21,0),MATCH(V35,Control!$E$17:$J$17,0))</f>
        <v>#N/A</v>
      </c>
      <c r="V35" s="138" t="s">
        <v>41</v>
      </c>
      <c r="W35" s="526">
        <v>270000</v>
      </c>
      <c r="X35" s="527">
        <f>AB35/Control!$D$84</f>
        <v>250984.41075514874</v>
      </c>
      <c r="Y35" s="48" t="s">
        <v>27</v>
      </c>
      <c r="Z35" s="674" t="s">
        <v>114</v>
      </c>
      <c r="AA35" s="138" t="str">
        <f>AA42</f>
        <v>USGC/INDIA</v>
      </c>
      <c r="AB35" s="526">
        <f>AB34</f>
        <v>1950000</v>
      </c>
      <c r="AC35" s="526">
        <v>1001</v>
      </c>
      <c r="AD35" s="481">
        <f>AD29</f>
        <v>54000000</v>
      </c>
      <c r="AE35" s="529">
        <f t="shared" si="54"/>
        <v>27.692307692307693</v>
      </c>
      <c r="AF35" s="762">
        <v>2</v>
      </c>
      <c r="AG35" s="801">
        <f t="shared" si="55"/>
        <v>-9.5</v>
      </c>
      <c r="AH35" s="802">
        <f>INDEX(Control!$AS$36:$AY$118,MATCH('CLK1'!$Z35,Control!$AS$36:$AS$118,0),MATCH('CLK1'!AH$23,Control!$AS$36:$AY$36,0))-6</f>
        <v>22.5</v>
      </c>
      <c r="AI35" s="812">
        <f>AF35*VLOOKUP($Y35,Control!$F$75:$H$87,3,FALSE)/$AB35</f>
        <v>0.46153846153846156</v>
      </c>
      <c r="AJ35" s="803">
        <f>IF($AK$3=1,$AG35*Control!$D$77,0)</f>
        <v>0</v>
      </c>
      <c r="AK35" s="790">
        <f>IF($AK$4=1,$AH35*Control!$D$77,0)</f>
        <v>0.29331369863013701</v>
      </c>
      <c r="AL35" s="533">
        <f>IF(((AB35-VLOOKUP(Y35,Control!$J$76:$K$82,2,FALSE))/AN35)&lt;=0,0,ROUNDUP(((AB35-VLOOKUP(Y35,Control!$J$76:$K$82,2,FALSE))/Control!$D$86),0)*IF(AN35=Control!$D$86,Control!$H$91,Control!$H$90)/AB35)</f>
        <v>0.94871794871794868</v>
      </c>
      <c r="AM35" s="533">
        <f>IF(I35="Corpus Christi",Control!$D$76,0)</f>
        <v>0</v>
      </c>
      <c r="AN35" s="585">
        <f>IF(AND(Control!$D$85-ROUNDUP(((AB35-VLOOKUP(Y35,Control!$J$76:$K$82,2,FALSE))),0)&gt;0,Control!$D$85-ROUNDUP(((AB35-VLOOKUP(Y35,Control!$J$76:$K$82,2,FALSE))),0)&lt;Control!$D$86-ROUNDUP(((AB35-VLOOKUP(Y35,Control!$J$76:$K$82,2,FALSE))),0)),Control!$D$85,Control!$D$86)</f>
        <v>750000</v>
      </c>
      <c r="AO35" s="533">
        <f>Control!$D$78</f>
        <v>0</v>
      </c>
      <c r="AP35" s="533">
        <f>Control!$D$79</f>
        <v>6.7299999999999999E-2</v>
      </c>
      <c r="AQ35" s="533">
        <f>IF(INDEX(Control!$Q$3:$S$62,MATCH($Z35,Control!$Q$3:$Q$62,0),MATCH(AQ$8,Control!$Q$3:$S$3,0))=1,Control!$D$81*Control!$E$81,0)</f>
        <v>0.2</v>
      </c>
      <c r="AR35" s="533"/>
      <c r="AS35" s="533">
        <f>Control!$D$83/AB35</f>
        <v>0.15384615384615385</v>
      </c>
      <c r="AT35" s="533"/>
      <c r="AU35" s="529">
        <f t="shared" si="63"/>
        <v>2.1247162627327012</v>
      </c>
      <c r="AV35" s="529">
        <f t="shared" si="56"/>
        <v>29.817023955040394</v>
      </c>
      <c r="AW35" s="529">
        <f t="shared" si="57"/>
        <v>5.15</v>
      </c>
      <c r="AX35" s="647">
        <f t="shared" ref="AX35" si="64">-HLOOKUP(EOMONTH(BF35,0),$BB$3:$BG$6,3,FALSE)</f>
        <v>-2.93</v>
      </c>
      <c r="AY35" s="534">
        <f t="shared" si="58"/>
        <v>11.037023955040395</v>
      </c>
      <c r="BB35" s="531">
        <f>BB29</f>
        <v>44</v>
      </c>
      <c r="BC35" s="530">
        <f t="shared" si="59"/>
        <v>46388</v>
      </c>
      <c r="BD35" s="530">
        <f t="shared" si="60"/>
        <v>46390</v>
      </c>
      <c r="BE35" s="650" t="s">
        <v>157</v>
      </c>
      <c r="BF35" s="675">
        <f>IF($BG$7=0,IF(BE35="ICE Brent",EOMONTH(BD35,2),EOMONTH(BD35,0)),IF(BE35="ICE Brent",EOMONTH(BD35,1),EOMONTH(BD35,-1)))</f>
        <v>46418</v>
      </c>
      <c r="BG35" s="676">
        <f t="shared" si="62"/>
        <v>46387</v>
      </c>
      <c r="BH35" s="735">
        <f>AE35*AB35</f>
        <v>54000000</v>
      </c>
      <c r="BI35" s="735">
        <f>AI35*AB35</f>
        <v>900000</v>
      </c>
      <c r="BJ35" s="735">
        <f t="shared" si="44"/>
        <v>1850000</v>
      </c>
      <c r="BK35" s="735">
        <f t="shared" si="45"/>
        <v>0</v>
      </c>
      <c r="BL35" s="735">
        <f t="shared" si="46"/>
        <v>571961.71232876717</v>
      </c>
      <c r="BM35" s="735">
        <f t="shared" si="47"/>
        <v>821235.00000000023</v>
      </c>
      <c r="BN35" s="778">
        <f t="shared" si="40"/>
        <v>56750000</v>
      </c>
      <c r="BO35" s="778">
        <f t="shared" si="41"/>
        <v>56750000</v>
      </c>
    </row>
    <row r="36" spans="1:72" ht="18" customHeight="1" x14ac:dyDescent="0.35">
      <c r="A36" s="671">
        <f t="shared" si="35"/>
        <v>46341</v>
      </c>
      <c r="B36" s="551">
        <f t="shared" si="52"/>
        <v>46343</v>
      </c>
      <c r="C36" s="552"/>
      <c r="D36" s="553">
        <v>6</v>
      </c>
      <c r="E36" s="554">
        <f t="shared" si="53"/>
        <v>46348</v>
      </c>
      <c r="F36"/>
      <c r="G36"/>
      <c r="H36"/>
      <c r="I36"/>
      <c r="J36"/>
      <c r="K36"/>
      <c r="L36"/>
      <c r="M36"/>
      <c r="N36"/>
      <c r="O36"/>
      <c r="P36"/>
      <c r="Q36"/>
      <c r="T36" s="556">
        <v>0</v>
      </c>
      <c r="U36" s="556" t="e">
        <f>INDEX(Control!$E$17:$J$21,MATCH(Y36,Control!$E$17:$E$21,0),MATCH(V36,Control!$E$17:$J$17,0))</f>
        <v>#N/A</v>
      </c>
      <c r="V36" s="556" t="s">
        <v>41</v>
      </c>
      <c r="W36" s="557">
        <v>270000</v>
      </c>
      <c r="X36" s="558">
        <f>AB36/Control!$D$84</f>
        <v>115838.95881006865</v>
      </c>
      <c r="Y36" s="559" t="s">
        <v>24</v>
      </c>
      <c r="Z36" s="573" t="s">
        <v>86</v>
      </c>
      <c r="AA36" s="556" t="str">
        <f>AA46</f>
        <v>USGC/INDIA</v>
      </c>
      <c r="AB36" s="557">
        <v>900000</v>
      </c>
      <c r="AC36" s="557">
        <v>1001</v>
      </c>
      <c r="AD36" s="560">
        <v>29000000</v>
      </c>
      <c r="AE36" s="561">
        <f t="shared" si="54"/>
        <v>32.222222222222221</v>
      </c>
      <c r="AF36" s="763">
        <v>6</v>
      </c>
      <c r="AG36" s="795">
        <f t="shared" si="55"/>
        <v>-9.5</v>
      </c>
      <c r="AH36" s="796">
        <f>INDEX(Control!$AS$36:$AY$118,MATCH('CLK1'!$Z36,Control!$AS$36:$AS$118,0),MATCH('CLK1'!AH$23,Control!$AS$36:$AY$36,0))-6</f>
        <v>19.5</v>
      </c>
      <c r="AI36" s="811">
        <f>AF36*VLOOKUP($Y36,Control!$F$75:$H$87,3,FALSE)/$AB36</f>
        <v>0.6333333333333333</v>
      </c>
      <c r="AJ36" s="787">
        <f>IF($AK$3=1,$AG36*Control!$D$77,0)</f>
        <v>0</v>
      </c>
      <c r="AK36" s="788">
        <f>IF($AK$4=1,$AH36*Control!$D$77,0)</f>
        <v>0.25420520547945208</v>
      </c>
      <c r="AL36" s="562">
        <f>IF(((AB36-VLOOKUP(Y36,Control!$J$76:$K$82,2,FALSE))/AN36)&lt;=0,0,ROUNDUP(((AB36-VLOOKUP(Y36,Control!$J$76:$K$82,2,FALSE))/Control!$D$86),0)*IF(AN36=Control!$D$86,Control!$H$91,Control!$H$90)/AB36)</f>
        <v>2.0555555555555554</v>
      </c>
      <c r="AM36" s="562">
        <f>IF(I36="Corpus Christi",Control!$D$76,0)</f>
        <v>0</v>
      </c>
      <c r="AN36" s="584">
        <f>IF(AND(Control!$D$85-ROUNDUP(((AB36-VLOOKUP(Y36,Control!$J$76:$K$82,2,FALSE))),0)&gt;0,Control!$D$85-ROUNDUP(((AB36-VLOOKUP(Y36,Control!$J$76:$K$82,2,FALSE))),0)&lt;Control!$D$86-ROUNDUP(((AB36-VLOOKUP(Y36,Control!$J$76:$K$82,2,FALSE))),0)),Control!$D$85,Control!$D$86)</f>
        <v>750000</v>
      </c>
      <c r="AO36" s="562">
        <f>Control!$D$78</f>
        <v>0</v>
      </c>
      <c r="AP36" s="562">
        <f>Control!$D$79</f>
        <v>6.7299999999999999E-2</v>
      </c>
      <c r="AQ36" s="562">
        <f>IF(INDEX(Control!$Q$3:$S$62,MATCH($Z36,Control!$Q$3:$Q$62,0),MATCH(AQ$8,Control!$Q$3:$S$3,0))=1,Control!$D$81*Control!$E$81,0)</f>
        <v>0.2</v>
      </c>
      <c r="AR36" s="562"/>
      <c r="AS36" s="562">
        <f>Control!$D$83/AB36</f>
        <v>0.33333333333333331</v>
      </c>
      <c r="AT36" s="562"/>
      <c r="AU36" s="561">
        <f t="shared" si="63"/>
        <v>3.5437274277016746</v>
      </c>
      <c r="AV36" s="561">
        <f t="shared" si="56"/>
        <v>35.765949649923897</v>
      </c>
      <c r="AW36" s="561">
        <f t="shared" si="57"/>
        <v>2.9</v>
      </c>
      <c r="AX36" s="652">
        <f>-HLOOKUP(EOMONTH(BF36,0),$BB$3:$BG$6,3,FALSE)</f>
        <v>-3.98</v>
      </c>
      <c r="AY36" s="565">
        <f>$Y$3+AV36+AW36+AX36</f>
        <v>13.685949649923895</v>
      </c>
      <c r="AZ36" s="555"/>
      <c r="BA36" s="556"/>
      <c r="BB36" s="553">
        <f>BB30</f>
        <v>41</v>
      </c>
      <c r="BC36" s="551">
        <f t="shared" si="59"/>
        <v>46388</v>
      </c>
      <c r="BD36" s="551">
        <f t="shared" si="60"/>
        <v>46390</v>
      </c>
      <c r="BE36" s="505" t="s">
        <v>157</v>
      </c>
      <c r="BF36" s="564">
        <f t="shared" si="61"/>
        <v>46387</v>
      </c>
      <c r="BG36" s="672">
        <f t="shared" si="62"/>
        <v>46387</v>
      </c>
      <c r="BH36" s="735">
        <f>AE36*AB36</f>
        <v>29000000</v>
      </c>
      <c r="BI36" s="735">
        <f>AI36*AB36</f>
        <v>570000</v>
      </c>
      <c r="BJ36" s="735">
        <f t="shared" si="44"/>
        <v>1849999.9999999998</v>
      </c>
      <c r="BK36" s="735">
        <f t="shared" si="45"/>
        <v>0</v>
      </c>
      <c r="BL36" s="735">
        <f t="shared" si="46"/>
        <v>228784.68493150687</v>
      </c>
      <c r="BM36" s="735">
        <f t="shared" si="47"/>
        <v>540570.00000000047</v>
      </c>
      <c r="BN36" s="779">
        <f t="shared" si="40"/>
        <v>31420000</v>
      </c>
      <c r="BO36" s="779">
        <f t="shared" si="41"/>
        <v>31420000</v>
      </c>
    </row>
    <row r="37" spans="1:72" ht="18" customHeight="1" thickBot="1" x14ac:dyDescent="0.4">
      <c r="A37" s="691">
        <f t="shared" si="35"/>
        <v>46341</v>
      </c>
      <c r="B37" s="537">
        <f t="shared" si="52"/>
        <v>46343</v>
      </c>
      <c r="C37" s="538"/>
      <c r="D37" s="539">
        <f>D31</f>
        <v>3</v>
      </c>
      <c r="E37" s="540">
        <f t="shared" si="53"/>
        <v>46345</v>
      </c>
      <c r="F37"/>
      <c r="G37"/>
      <c r="H37"/>
      <c r="I37"/>
      <c r="J37"/>
      <c r="K37"/>
      <c r="L37"/>
      <c r="M37"/>
      <c r="N37"/>
      <c r="O37"/>
      <c r="P37"/>
      <c r="Q37"/>
      <c r="T37" s="542">
        <v>0</v>
      </c>
      <c r="U37" s="542" t="e">
        <f>INDEX(Control!$E$17:$J$21,MATCH(Y37,Control!$E$17:$E$21,0),MATCH(V37,Control!$E$17:$J$17,0))</f>
        <v>#N/A</v>
      </c>
      <c r="V37" s="542" t="s">
        <v>41</v>
      </c>
      <c r="W37" s="543">
        <v>270000</v>
      </c>
      <c r="X37" s="544">
        <f>AB37/Control!$D$84</f>
        <v>250984.41075514874</v>
      </c>
      <c r="Y37" s="545" t="s">
        <v>27</v>
      </c>
      <c r="Z37" s="574" t="s">
        <v>43</v>
      </c>
      <c r="AA37" s="542" t="str">
        <f>AA47</f>
        <v>USGC/KOREA</v>
      </c>
      <c r="AB37" s="543">
        <f>AB34</f>
        <v>1950000</v>
      </c>
      <c r="AC37" s="543">
        <v>1001</v>
      </c>
      <c r="AD37" s="550">
        <f>AD31</f>
        <v>54650000</v>
      </c>
      <c r="AE37" s="546">
        <f t="shared" si="54"/>
        <v>28.025641025641026</v>
      </c>
      <c r="AF37" s="764">
        <v>2</v>
      </c>
      <c r="AG37" s="799">
        <f t="shared" si="55"/>
        <v>-9.5</v>
      </c>
      <c r="AH37" s="800">
        <f>INDEX(Control!$AS$36:$AY$118,MATCH('CLK1'!$Z37,Control!$AS$36:$AS$118,0),MATCH('CLK1'!AH$23,Control!$AS$36:$AY$36,0))-6</f>
        <v>24.5</v>
      </c>
      <c r="AI37" s="813">
        <f>AF37*VLOOKUP($Y37,Control!$F$75:$H$87,3,FALSE)/$AB37</f>
        <v>0.46153846153846156</v>
      </c>
      <c r="AJ37" s="791">
        <f>IF($AK$3=1,$AG37*Control!$D$77,0)</f>
        <v>0</v>
      </c>
      <c r="AK37" s="792">
        <f>IF($AK$4=1,$AH37*Control!$D$77,0)</f>
        <v>0.3193860273972603</v>
      </c>
      <c r="AL37" s="547">
        <f>IF(((AB37-VLOOKUP(Y37,Control!$J$76:$K$82,2,FALSE))/AN37)&lt;=0,0,ROUNDUP(((AB37-VLOOKUP(Y37,Control!$J$76:$K$82,2,FALSE))/Control!$D$86),0)*IF(AN37=Control!$D$86,Control!$H$91,Control!$H$90)/AB37)</f>
        <v>0.94871794871794868</v>
      </c>
      <c r="AM37" s="547">
        <f>IF(I37="Corpus Christi",Control!$D$76,0)</f>
        <v>0</v>
      </c>
      <c r="AN37" s="586">
        <f>IF(AND(Control!$D$85-ROUNDUP(((AB37-VLOOKUP(Y37,Control!$J$76:$K$82,2,FALSE))),0)&gt;0,Control!$D$85-ROUNDUP(((AB37-VLOOKUP(Y37,Control!$J$76:$K$82,2,FALSE))),0)&lt;Control!$D$86-ROUNDUP(((AB37-VLOOKUP(Y37,Control!$J$76:$K$82,2,FALSE))),0)),Control!$D$85,Control!$D$86)</f>
        <v>750000</v>
      </c>
      <c r="AO37" s="547">
        <f>Control!$D$78</f>
        <v>0</v>
      </c>
      <c r="AP37" s="547">
        <f>Control!$D$79</f>
        <v>6.7299999999999999E-2</v>
      </c>
      <c r="AQ37" s="547"/>
      <c r="AR37" s="547"/>
      <c r="AS37" s="547">
        <f>Control!$D$83/AB37</f>
        <v>0.15384615384615385</v>
      </c>
      <c r="AT37" s="547"/>
      <c r="AU37" s="546">
        <f t="shared" si="63"/>
        <v>1.9507885914998244</v>
      </c>
      <c r="AV37" s="546">
        <f t="shared" si="56"/>
        <v>29.976429617140852</v>
      </c>
      <c r="AW37" s="546">
        <f t="shared" si="57"/>
        <v>2.9</v>
      </c>
      <c r="AX37" s="546">
        <f t="shared" ref="AX37" si="65">-HLOOKUP(EOMONTH(BF37,0),$BB$3:$BG$6,3,FALSE)</f>
        <v>-3.98</v>
      </c>
      <c r="AY37" s="528">
        <f t="shared" si="58"/>
        <v>7.8964296171408517</v>
      </c>
      <c r="AZ37" s="541"/>
      <c r="BA37" s="541"/>
      <c r="BB37" s="539">
        <f>BB31</f>
        <v>54</v>
      </c>
      <c r="BC37" s="537">
        <f t="shared" si="59"/>
        <v>46398</v>
      </c>
      <c r="BD37" s="537">
        <f t="shared" si="60"/>
        <v>46400</v>
      </c>
      <c r="BE37" s="755" t="s">
        <v>157</v>
      </c>
      <c r="BF37" s="548">
        <f t="shared" si="61"/>
        <v>46387</v>
      </c>
      <c r="BG37" s="692">
        <f t="shared" si="62"/>
        <v>46387</v>
      </c>
      <c r="BH37" s="735">
        <f>AE37*AB37</f>
        <v>54650000</v>
      </c>
      <c r="BI37" s="735">
        <f>AI37*AB37</f>
        <v>900000</v>
      </c>
      <c r="BJ37" s="735">
        <f t="shared" si="44"/>
        <v>1850000</v>
      </c>
      <c r="BK37" s="735">
        <f t="shared" si="45"/>
        <v>0</v>
      </c>
      <c r="BL37" s="735">
        <f t="shared" si="46"/>
        <v>622802.75342465763</v>
      </c>
      <c r="BM37" s="735">
        <f t="shared" si="47"/>
        <v>431235.00000000006</v>
      </c>
      <c r="BN37" s="780">
        <f t="shared" si="40"/>
        <v>57400000</v>
      </c>
      <c r="BO37" s="780">
        <f t="shared" si="41"/>
        <v>57400000</v>
      </c>
      <c r="BS37" s="3">
        <v>8763085</v>
      </c>
      <c r="BT37" s="2">
        <v>8258129</v>
      </c>
    </row>
    <row r="38" spans="1:72" ht="18" hidden="1" customHeight="1" thickBot="1" x14ac:dyDescent="0.4">
      <c r="A38" s="677">
        <f t="shared" si="35"/>
        <v>46341</v>
      </c>
      <c r="B38" s="678">
        <f t="shared" si="52"/>
        <v>46343</v>
      </c>
      <c r="C38" s="275"/>
      <c r="D38" s="679">
        <f t="shared" ref="D38" si="66">D33</f>
        <v>3</v>
      </c>
      <c r="E38" s="680">
        <f t="shared" si="53"/>
        <v>46345</v>
      </c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351">
        <v>0</v>
      </c>
      <c r="U38" s="351" t="e">
        <f>INDEX(Control!$E$17:$J$21,MATCH(Y38,Control!$E$17:$E$21,0),MATCH(V38,Control!$E$17:$J$17,0))</f>
        <v>#N/A</v>
      </c>
      <c r="V38" s="351" t="s">
        <v>41</v>
      </c>
      <c r="W38" s="344">
        <v>270000</v>
      </c>
      <c r="X38" s="352">
        <f>AB38/Control!$D$84</f>
        <v>250984.41075514874</v>
      </c>
      <c r="Y38" s="681" t="s">
        <v>27</v>
      </c>
      <c r="Z38" s="682" t="s">
        <v>43</v>
      </c>
      <c r="AA38" s="351">
        <f>AA48</f>
        <v>0</v>
      </c>
      <c r="AB38" s="344">
        <f>AB35</f>
        <v>1950000</v>
      </c>
      <c r="AC38" s="344">
        <v>1001</v>
      </c>
      <c r="AD38" s="683">
        <f t="shared" ref="AD38" si="67">AD33</f>
        <v>8300000</v>
      </c>
      <c r="AE38" s="684">
        <f t="shared" si="54"/>
        <v>4.2564102564102564</v>
      </c>
      <c r="AF38" s="685">
        <v>2</v>
      </c>
      <c r="AG38" s="344">
        <f t="shared" ref="AG38" si="68">AG33</f>
        <v>-9.5</v>
      </c>
      <c r="AH38" s="344"/>
      <c r="AI38" s="352">
        <f>AF38*VLOOKUP($Y38,Control!$F$75:$H$87,3,FALSE)/$AB38</f>
        <v>0.46153846153846156</v>
      </c>
      <c r="AJ38" s="686">
        <f>$AG38*Control!$D$77</f>
        <v>-0.12384356164383563</v>
      </c>
      <c r="AK38" s="686"/>
      <c r="AL38" s="686">
        <f>IF(((AB38-VLOOKUP(Y38,Control!$J$76:$K$82,2,FALSE))/AN38)&lt;=0,0,ROUNDUP(((AB38-VLOOKUP(Y38,Control!$J$76:$K$82,2,FALSE))/Control!$D$86),0)*IF(AN38=Control!$D$86,Control!$H$91,Control!$H$90)/AB38)</f>
        <v>0.94871794871794868</v>
      </c>
      <c r="AM38" s="686">
        <f>IF(I38="Corpus Christi",Control!$D$76,0)</f>
        <v>0</v>
      </c>
      <c r="AN38" s="687">
        <f>IF(AND(Control!$D$85-ROUNDUP(((AB38-VLOOKUP(Y38,Control!$J$76:$K$82,2,FALSE))),0)&gt;0,Control!$D$85-ROUNDUP(((AB38-VLOOKUP(Y38,Control!$J$76:$K$82,2,FALSE))),0)&lt;Control!$D$86-ROUNDUP(((AB38-VLOOKUP(Y38,Control!$J$76:$K$82,2,FALSE))),0)),Control!$D$85,Control!$D$86)</f>
        <v>750000</v>
      </c>
      <c r="AO38" s="686">
        <f>Control!$D$78</f>
        <v>0</v>
      </c>
      <c r="AP38" s="686">
        <f>Control!$D$79</f>
        <v>6.7299999999999999E-2</v>
      </c>
      <c r="AQ38" s="686">
        <f>AQ35</f>
        <v>0.2</v>
      </c>
      <c r="AR38" s="686"/>
      <c r="AS38" s="686">
        <f>Control!$D$83/AB38</f>
        <v>0.15384615384615385</v>
      </c>
      <c r="AT38" s="686"/>
      <c r="AU38" s="684">
        <f t="shared" si="63"/>
        <v>1.7075590024587282</v>
      </c>
      <c r="AV38" s="684">
        <f t="shared" si="56"/>
        <v>5.9639692588689845</v>
      </c>
      <c r="AW38" s="684">
        <f t="shared" ref="AW38" si="69">IF((MONTH(A38)=MONTH(BG38)),0,IF(((MONTH(BG38))-MONTH(A38))+12*YEAR(BF38)-YEAR(A38)&gt;1,SUMIFS($BC$4:$BF$4,$BC$3:$BF$3,"&lt;="&amp;EOMONTH(BF38,-1),$BC$3:$BF$3,"&gt;="&amp;EOMONTH(A38,0)),VLOOKUP("Spreads",$BB$3:$BF$4,MATCH(EOMONTH(A38,0),$BB$3:$BF$3,0))))</f>
        <v>2.9</v>
      </c>
      <c r="AX38" s="684">
        <f t="shared" si="37"/>
        <v>-0.9</v>
      </c>
      <c r="AY38" s="688">
        <f t="shared" si="58"/>
        <v>-13.036030741131015</v>
      </c>
      <c r="AZ38" s="350"/>
      <c r="BA38" s="350"/>
      <c r="BB38" s="679">
        <f t="shared" ref="BB38" si="70">BB33</f>
        <v>52</v>
      </c>
      <c r="BC38" s="678">
        <f t="shared" si="59"/>
        <v>46396</v>
      </c>
      <c r="BD38" s="678">
        <f t="shared" si="60"/>
        <v>46398</v>
      </c>
      <c r="BE38" s="678" t="str">
        <f t="shared" si="39"/>
        <v>Dubai</v>
      </c>
      <c r="BF38" s="689">
        <f t="shared" si="61"/>
        <v>46387</v>
      </c>
      <c r="BG38" s="690">
        <f t="shared" si="62"/>
        <v>46387</v>
      </c>
      <c r="BJ38" s="735">
        <f t="shared" si="44"/>
        <v>1850000</v>
      </c>
      <c r="BK38" s="735">
        <f t="shared" si="45"/>
        <v>-241494.94520547948</v>
      </c>
      <c r="BL38" s="735">
        <f t="shared" si="46"/>
        <v>0</v>
      </c>
      <c r="BM38" s="735">
        <f t="shared" si="47"/>
        <v>821234.9999999993</v>
      </c>
      <c r="BN38" s="735">
        <f t="shared" si="40"/>
        <v>1608505.0547945206</v>
      </c>
      <c r="BO38" s="769">
        <f t="shared" si="41"/>
        <v>1850000</v>
      </c>
      <c r="BS38" s="3"/>
    </row>
    <row r="39" spans="1:72" ht="18" customHeight="1" thickBot="1" x14ac:dyDescent="0.5">
      <c r="A39" s="530"/>
      <c r="B39" s="530"/>
      <c r="D39" s="531"/>
      <c r="E39" s="532"/>
      <c r="F39"/>
      <c r="G39"/>
      <c r="H39"/>
      <c r="I39"/>
      <c r="J39"/>
      <c r="K39"/>
      <c r="L39"/>
      <c r="M39"/>
      <c r="N39"/>
      <c r="O39"/>
      <c r="P39"/>
      <c r="Q39"/>
      <c r="T39" s="138"/>
      <c r="U39" s="138"/>
      <c r="V39" s="138"/>
      <c r="W39" s="526"/>
      <c r="X39" s="527"/>
      <c r="Y39" s="1022" t="s">
        <v>218</v>
      </c>
      <c r="Z39" s="1023"/>
      <c r="AA39" s="1023"/>
      <c r="AB39" s="1023"/>
      <c r="AC39" s="1023"/>
      <c r="AD39" s="1023"/>
      <c r="AE39" s="1023"/>
      <c r="AF39" s="1023"/>
      <c r="AG39" s="1023"/>
      <c r="AH39" s="1023"/>
      <c r="AI39" s="1023"/>
      <c r="AJ39" s="1023"/>
      <c r="AK39" s="1023"/>
      <c r="AL39" s="1023"/>
      <c r="AM39" s="1023"/>
      <c r="AN39" s="1023"/>
      <c r="AO39" s="1023"/>
      <c r="AP39" s="1023"/>
      <c r="AQ39" s="1023"/>
      <c r="AR39" s="1023"/>
      <c r="AS39" s="1023"/>
      <c r="AT39" s="1023"/>
      <c r="AU39" s="1023"/>
      <c r="AV39" s="1023"/>
      <c r="AW39" s="1023"/>
      <c r="AX39" s="1023"/>
      <c r="AY39" s="1025"/>
      <c r="AZ39" s="529"/>
      <c r="BA39" s="529"/>
      <c r="BB39" s="529"/>
      <c r="BC39" s="530"/>
      <c r="BD39" s="530"/>
      <c r="BE39" s="530"/>
      <c r="BF39" s="658"/>
      <c r="BG39" s="658"/>
      <c r="BH39" s="735"/>
      <c r="BI39" s="735"/>
      <c r="BJ39" s="735"/>
      <c r="BK39" s="735"/>
      <c r="BL39" s="735"/>
      <c r="BM39" s="735"/>
      <c r="BN39" s="735">
        <f t="shared" si="40"/>
        <v>0</v>
      </c>
      <c r="BO39" s="735"/>
      <c r="BP39" s="735"/>
      <c r="BS39" s="3">
        <v>7323624</v>
      </c>
      <c r="BT39" s="2">
        <v>8423085</v>
      </c>
    </row>
    <row r="40" spans="1:72" ht="18" customHeight="1" x14ac:dyDescent="0.35">
      <c r="A40" s="319">
        <f t="shared" si="35"/>
        <v>46341</v>
      </c>
      <c r="B40" s="320">
        <f t="shared" ref="B40:B44" si="71">IF(ISBLANK(A40),"",A40+2)</f>
        <v>46343</v>
      </c>
      <c r="C40" s="270"/>
      <c r="D40" s="338">
        <f>IF(AL40=0,0,VLOOKUP(Y40,Control!$G$41:$J$44,4,FALSE))</f>
        <v>9</v>
      </c>
      <c r="E40" s="515">
        <f t="shared" ref="E40:E43" si="72">AVERAGE(A40:B40)+D40</f>
        <v>46351</v>
      </c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330">
        <f>INDEX('[2]Flat Rates 2025'!$A:$DZ,MATCH(V40,'[2]Flat Rates 2025'!$A:$A,0),MATCH(Z40,'[2]Flat Rates 2025'!$A$1:$DZ$1,0))</f>
        <v>0</v>
      </c>
      <c r="U40" s="330">
        <f>INDEX(Control!$E$17:$J$21,MATCH(Y40,Control!$E$17:$E$21,0),MATCH(V40,Control!$E$17:$J$17,0))</f>
        <v>0.5</v>
      </c>
      <c r="V40" s="330" t="s">
        <v>45</v>
      </c>
      <c r="W40" s="323">
        <f>INDEX(Vessel_Minimum_MT,MATCH(Y40,Control!$E$11:$E$15,0),MATCH(V40,Control!$E$11:$J$11,0))</f>
        <v>270000</v>
      </c>
      <c r="X40" s="331">
        <f>AB40/Control!$D$84</f>
        <v>257419.90846681921</v>
      </c>
      <c r="Y40" s="258" t="s">
        <v>25</v>
      </c>
      <c r="Z40" s="311" t="s">
        <v>51</v>
      </c>
      <c r="AA40" s="311" t="str">
        <f t="shared" ref="AA40:AA43" si="73">IF(Z40=V40,"",CONCATENATE(CONCATENATE(VLOOKUP(V40,Zones,2,FALSE),"/",VLOOKUP(Z40,Zones,2,FALSE))))</f>
        <v>USGC/JAPAN</v>
      </c>
      <c r="AB40" s="312">
        <v>2000000</v>
      </c>
      <c r="AC40" s="312">
        <v>1001</v>
      </c>
      <c r="AD40" s="524">
        <f>AD43</f>
        <v>55000000</v>
      </c>
      <c r="AE40" s="314">
        <f t="shared" ref="AE40:AE43" si="74">IF(AC40&gt;1000,IF(AD40=0,AC40,AD40)/AB40,((W40*T40*(IF(AD40=0,AC40,AD40)/100))+IF(X40&lt;W40,0,(X40-W40)*T40*IF(AD40=0,AC40,AD40)/100*U40))/AB40)</f>
        <v>27.5</v>
      </c>
      <c r="AF40" s="765">
        <v>12</v>
      </c>
      <c r="AG40" s="815">
        <f>INDEX(Control!$AS$36:$AY$118,MATCH('CLK1'!$Z40,Control!$AS$36:$AS$118,0),MATCH('CLK1'!AG$23,Control!$AS$36:$AY$36,0))</f>
        <v>-9.5</v>
      </c>
      <c r="AH40" s="816">
        <f>INDEX(Control!$AS$36:$AY$118,MATCH('CLK1'!$Z40,Control!$AS$36:$AS$118,0),MATCH('CLK1'!AH$23,Control!$AS$36:$AY$36,0))</f>
        <v>36.5</v>
      </c>
      <c r="AI40" s="814">
        <f>AF40*VLOOKUP($Y40,Control!$F$75:$H$87,3,FALSE)/$AB40</f>
        <v>2.7</v>
      </c>
      <c r="AJ40" s="817">
        <f>IF($AK$3=1,$AG40*Control!$D$77,0)</f>
        <v>0</v>
      </c>
      <c r="AK40" s="818">
        <f>IF($AK$4=1,$AH40*Control!$D$77,0)</f>
        <v>0.47582000000000008</v>
      </c>
      <c r="AL40" s="316">
        <f>4*Control!$H$90/AB40</f>
        <v>3.7</v>
      </c>
      <c r="AM40" s="316">
        <f>IF(I40="Corpus Christi",Control!$D$76,0)</f>
        <v>0</v>
      </c>
      <c r="AN40" s="316">
        <v>0</v>
      </c>
      <c r="AO40" s="316">
        <f>Control!$D$78</f>
        <v>0</v>
      </c>
      <c r="AP40" s="316">
        <f>Control!$D$79</f>
        <v>6.7299999999999999E-2</v>
      </c>
      <c r="AQ40" s="316">
        <f>IF(INDEX(Control!$Q$3:$S$62,MATCH($Z40,Control!$Q$3:$Q$62,0),MATCH(AQ$8,Control!$Q$3:$S$3,0))=1,Control!$D$81*Control!$E$81,0)</f>
        <v>0.2</v>
      </c>
      <c r="AR40" s="316"/>
      <c r="AS40" s="316">
        <f>IF(AND(Y40="VLCC",Control!$K$79=1200000),Control!$D$83/AB40,0)</f>
        <v>0</v>
      </c>
      <c r="AT40" s="316"/>
      <c r="AU40" s="314">
        <f t="shared" ref="AU40:AU47" si="75">SUM(AI40:AT40)</f>
        <v>7.1431200000000015</v>
      </c>
      <c r="AV40" s="314">
        <f t="shared" si="29"/>
        <v>34.643120000000003</v>
      </c>
      <c r="AW40" s="314">
        <f t="shared" ref="AW40:AW47" si="76">IF((MONTH(A40)=MONTH(BG40)),0,IF(((MONTH(BG40))-MONTH(A40))+12*YEAR(BF40)-YEAR(A40)&gt;1,SUMIFS($BC$4:$BG$4,$BC$3:$BG$3,"&lt;="&amp;EOMONTH(BF40,-1),$BC$3:$BG$3,"&gt;="&amp;EOMONTH(A40,0)),VLOOKUP("Spreads",$BB$3:$BG$4,MATCH(EOMONTH(A40,0),$BB$3:$BG$3,0))))</f>
        <v>2.9</v>
      </c>
      <c r="AX40" s="845">
        <f t="shared" si="37"/>
        <v>-0.9</v>
      </c>
      <c r="AY40" s="500">
        <f t="shared" si="31"/>
        <v>15.643120000000001</v>
      </c>
      <c r="AZ40" s="329"/>
      <c r="BA40" s="330"/>
      <c r="BB40" s="338">
        <f>+INDEX('[1]Transit Time'!$A:$DZ,MATCH(V40,'[1]Transit Time'!$A:$A,0),MATCH(Z40,'[1]Transit Time'!$A$1:$DZ$1,0))</f>
        <v>52</v>
      </c>
      <c r="BC40" s="320">
        <f t="shared" si="32"/>
        <v>46402</v>
      </c>
      <c r="BD40" s="320">
        <f t="shared" ref="BD40:BD43" si="77">BC40+2</f>
        <v>46404</v>
      </c>
      <c r="BE40" s="320" t="str">
        <f t="shared" si="39"/>
        <v>Dubai</v>
      </c>
      <c r="BF40" s="694">
        <f t="shared" si="33"/>
        <v>46387</v>
      </c>
      <c r="BG40" s="491">
        <f t="shared" si="34"/>
        <v>46387</v>
      </c>
      <c r="BH40" s="735">
        <f t="shared" ref="BH40:BH47" si="78">AE40*AB40</f>
        <v>55000000</v>
      </c>
      <c r="BI40" s="735">
        <f t="shared" ref="BI40:BI47" si="79">AI40*AB40</f>
        <v>5400000</v>
      </c>
      <c r="BJ40" s="735">
        <f t="shared" si="44"/>
        <v>7400000</v>
      </c>
      <c r="BK40" s="735">
        <f t="shared" si="45"/>
        <v>0</v>
      </c>
      <c r="BL40" s="735">
        <f t="shared" si="46"/>
        <v>951640.00000000012</v>
      </c>
      <c r="BM40" s="735">
        <f t="shared" si="47"/>
        <v>534600.00000000198</v>
      </c>
      <c r="BN40" s="770">
        <f t="shared" si="40"/>
        <v>67800000</v>
      </c>
      <c r="BO40" s="770">
        <f t="shared" si="41"/>
        <v>67800000</v>
      </c>
      <c r="BS40" s="2">
        <v>8964648</v>
      </c>
    </row>
    <row r="41" spans="1:72" ht="18" customHeight="1" x14ac:dyDescent="0.35">
      <c r="A41" s="695">
        <f t="shared" si="35"/>
        <v>46341</v>
      </c>
      <c r="B41" s="163">
        <f t="shared" si="71"/>
        <v>46343</v>
      </c>
      <c r="D41" s="153">
        <f>IF(AL41=0,0,VLOOKUP(Y41,Control!$G$41:$J$44,4,FALSE))</f>
        <v>3</v>
      </c>
      <c r="E41" s="518">
        <f t="shared" si="72"/>
        <v>46345</v>
      </c>
      <c r="F41"/>
      <c r="G41"/>
      <c r="H41"/>
      <c r="I41"/>
      <c r="J41"/>
      <c r="K41"/>
      <c r="L41"/>
      <c r="M41"/>
      <c r="N41"/>
      <c r="O41"/>
      <c r="P41"/>
      <c r="Q41"/>
      <c r="T41" s="138">
        <f>INDEX('[2]Flat Rates 2025'!$A:$DZ,MATCH(V41,'[2]Flat Rates 2025'!$A:$A,0),MATCH(Z41,'[2]Flat Rates 2025'!$A$1:$DZ$1,0))</f>
        <v>0</v>
      </c>
      <c r="U41" s="138">
        <f>INDEX(Control!$E$17:$J$21,MATCH(Y41,Control!$E$17:$E$21,0),MATCH(V41,Control!$E$17:$J$17,0))</f>
        <v>0.5</v>
      </c>
      <c r="V41" s="138" t="s">
        <v>45</v>
      </c>
      <c r="W41" s="526">
        <f>INDEX(Vessel_Minimum_MT,MATCH(Y41,Control!$E$11:$E$15,0),MATCH(V41,Control!$E$11:$J$11,0))</f>
        <v>145000</v>
      </c>
      <c r="X41" s="527">
        <f>AB41/Control!$D$84</f>
        <v>128709.9542334096</v>
      </c>
      <c r="Y41" s="147" t="s">
        <v>24</v>
      </c>
      <c r="Z41" s="142" t="s">
        <v>114</v>
      </c>
      <c r="AA41" s="142" t="str">
        <f t="shared" si="73"/>
        <v>USGC/Singapore</v>
      </c>
      <c r="AB41" s="15">
        <v>1000000</v>
      </c>
      <c r="AC41" s="141">
        <v>1001</v>
      </c>
      <c r="AD41" s="481">
        <v>5350000</v>
      </c>
      <c r="AE41" s="149">
        <f t="shared" si="74"/>
        <v>5.35</v>
      </c>
      <c r="AF41" s="17">
        <f>$AF$38</f>
        <v>2</v>
      </c>
      <c r="AG41" s="804">
        <f>INDEX(Control!$AS$36:$AY$118,MATCH('CLK1'!$Z41,Control!$AS$36:$AS$118,0),MATCH('CLK1'!AG$23,Control!$AS$36:$AY$36,0))</f>
        <v>-9.5</v>
      </c>
      <c r="AH41" s="805">
        <f>INDEX(Control!$AS$36:$AY$118,MATCH('CLK1'!$Z41,Control!$AS$36:$AS$118,0),MATCH('CLK1'!AH$23,Control!$AS$36:$AY$36,0))-6</f>
        <v>22.5</v>
      </c>
      <c r="AI41" s="812">
        <f>AF41*VLOOKUP($Y41,Control!$F$75:$H$87,3,FALSE)/$AB41</f>
        <v>0.19</v>
      </c>
      <c r="AJ41" s="803">
        <f>IF($AK$3=1,$AG41*Control!$D$77,0)</f>
        <v>0</v>
      </c>
      <c r="AK41" s="790">
        <f>IF($AK$4=1,$AH41*Control!$D$77,0)</f>
        <v>0.29331369863013701</v>
      </c>
      <c r="AL41" s="143">
        <f>IF(((AB41-VLOOKUP(Y41,Control!$J$76:$K$82,2,FALSE))/Control!$D$85)&lt;=0,0,ROUNDUP(((AB41-VLOOKUP(Y41,Control!$J$76:$K$82,2,FALSE))/Control!$D$85),0)*Control!$H$90/AB41)</f>
        <v>1.85</v>
      </c>
      <c r="AM41" s="143">
        <f>IF(I41="Corpus Christi",Control!$D$76,0)</f>
        <v>0</v>
      </c>
      <c r="AN41" s="143">
        <v>0</v>
      </c>
      <c r="AO41" s="143">
        <f>Control!$D$78</f>
        <v>0</v>
      </c>
      <c r="AP41" s="143">
        <f>Control!$D$79</f>
        <v>6.7299999999999999E-2</v>
      </c>
      <c r="AQ41" s="143">
        <f>IF(INDEX(Control!$Q$3:$S$62,MATCH($Z41,Control!$Q$3:$Q$62,0),MATCH(AQ$8,Control!$Q$3:$S$3,0))=1,Control!$D$81*Control!$E$81,0)</f>
        <v>0.2</v>
      </c>
      <c r="AR41" s="143"/>
      <c r="AS41" s="143">
        <f>IF(AND(Y41="VLCC",Control!$K$79=1200000),Control!$D$83/AB41,0)</f>
        <v>0</v>
      </c>
      <c r="AT41" s="143"/>
      <c r="AU41" s="149">
        <f t="shared" si="75"/>
        <v>2.6006136986301374</v>
      </c>
      <c r="AV41" s="199">
        <f t="shared" si="29"/>
        <v>7.9506136986301374</v>
      </c>
      <c r="AW41" s="199">
        <f t="shared" si="76"/>
        <v>2.9</v>
      </c>
      <c r="AX41" s="847">
        <f t="shared" ref="AX41:AX42" si="80">-HLOOKUP(EOMONTH(BF41,0),$BB$3:$BG$6,3,FALSE)</f>
        <v>-3.98</v>
      </c>
      <c r="AY41" s="499">
        <f t="shared" si="31"/>
        <v>-14.129386301369863</v>
      </c>
      <c r="BB41" s="153">
        <f>+INDEX('[1]Transit Time'!$A:$DZ,MATCH(V41,'[1]Transit Time'!$A:$A,0),MATCH(Z41,'[1]Transit Time'!$A$1:$DZ$1,0))</f>
        <v>44</v>
      </c>
      <c r="BC41" s="163">
        <f t="shared" si="32"/>
        <v>46388</v>
      </c>
      <c r="BD41" s="163">
        <f t="shared" si="77"/>
        <v>46390</v>
      </c>
      <c r="BE41" s="163" t="str">
        <f>BE44</f>
        <v>Dated</v>
      </c>
      <c r="BF41" s="490">
        <f t="shared" si="33"/>
        <v>46387</v>
      </c>
      <c r="BG41" s="696">
        <f t="shared" si="34"/>
        <v>46387</v>
      </c>
      <c r="BH41" s="735">
        <f t="shared" si="78"/>
        <v>5350000</v>
      </c>
      <c r="BI41" s="735">
        <f t="shared" si="79"/>
        <v>190000</v>
      </c>
      <c r="BJ41" s="735">
        <f t="shared" si="44"/>
        <v>1850000</v>
      </c>
      <c r="BK41" s="735">
        <f t="shared" si="45"/>
        <v>0</v>
      </c>
      <c r="BL41" s="735">
        <f t="shared" si="46"/>
        <v>293313.69863013702</v>
      </c>
      <c r="BM41" s="735">
        <f t="shared" si="47"/>
        <v>267300.00000000023</v>
      </c>
      <c r="BN41" s="771">
        <f t="shared" si="40"/>
        <v>7390000</v>
      </c>
      <c r="BO41" s="771">
        <f t="shared" si="41"/>
        <v>7390000</v>
      </c>
    </row>
    <row r="42" spans="1:72" ht="18" customHeight="1" thickBot="1" x14ac:dyDescent="0.4">
      <c r="A42" s="697">
        <f t="shared" si="35"/>
        <v>46341</v>
      </c>
      <c r="B42" s="230">
        <f>IF(ISBLANK(A42),"",A42+2)</f>
        <v>46343</v>
      </c>
      <c r="C42" s="210"/>
      <c r="D42" s="229">
        <f>IF(AL42=0,0,VLOOKUP(Y42,Control!$G$41:$J$44,4,FALSE))</f>
        <v>0</v>
      </c>
      <c r="E42" s="519">
        <f>AVERAGE(A42:B42)+D42</f>
        <v>46342</v>
      </c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20">
        <f>INDEX('[2]Flat Rates 2025'!$A:$DZ,MATCH(V42,'[2]Flat Rates 2025'!$A:$A,0),MATCH(Z42,'[2]Flat Rates 2025'!$A$1:$DZ$1,0))</f>
        <v>0</v>
      </c>
      <c r="U42" s="220" t="e">
        <f>INDEX(Control!$E$17:$J$21,MATCH(Y42,Control!$E$17:$E$21,0),MATCH(V42,Control!$E$17:$J$17,0))</f>
        <v>#N/A</v>
      </c>
      <c r="V42" s="220" t="s">
        <v>45</v>
      </c>
      <c r="W42" s="524" t="e">
        <f>INDEX(Vessel_Minimum_MT,MATCH(Y42,Control!$E$11:$E$15,0),MATCH(V42,Control!$E$11:$J$11,0))</f>
        <v>#N/A</v>
      </c>
      <c r="X42" s="525">
        <f>AB42/Control!$D$84</f>
        <v>128709.9542334096</v>
      </c>
      <c r="Y42" s="215" t="s">
        <v>28</v>
      </c>
      <c r="Z42" s="311" t="s">
        <v>86</v>
      </c>
      <c r="AA42" s="212" t="str">
        <f>IF(Z42=V42,"",CONCATENATE(CONCATENATE(VLOOKUP(V42,Zones,2,FALSE),"/",VLOOKUP(Z42,Zones,2,FALSE))))</f>
        <v>USGC/INDIA</v>
      </c>
      <c r="AB42" s="312">
        <v>1000000</v>
      </c>
      <c r="AC42" s="214">
        <v>1001</v>
      </c>
      <c r="AD42" s="262">
        <f>AD41</f>
        <v>5350000</v>
      </c>
      <c r="AE42" s="225">
        <f>IF(AC42&gt;1000,IF(AD42=0,AC42,AD42)/AB42,((W42*T42*(IF(AD42=0,AC42,AD42)/100))+IF(X42&lt;W42,0,(X42-W42)*T42*IF(AD42=0,AC42,AD42)/100*U42))/AB42)</f>
        <v>5.35</v>
      </c>
      <c r="AF42" s="765">
        <f>$AF$38</f>
        <v>2</v>
      </c>
      <c r="AG42" s="806">
        <f>INDEX(Control!$AS$36:$AY$118,MATCH('CLK1'!$Z42,Control!$AS$36:$AS$118,0),MATCH('CLK1'!AG$23,Control!$AS$36:$AY$36,0))</f>
        <v>-9.5</v>
      </c>
      <c r="AH42" s="807">
        <f>INDEX(Control!$AS$36:$AY$118,MATCH('CLK1'!$Z42,Control!$AS$36:$AS$118,0),MATCH('CLK1'!AH$23,Control!$AS$36:$AY$36,0))-9</f>
        <v>16.5</v>
      </c>
      <c r="AI42" s="819">
        <f>AF42*VLOOKUP($Y42,Control!$F$75:$H$87,3,FALSE)/$AB42</f>
        <v>0.19</v>
      </c>
      <c r="AJ42" s="820">
        <f>IF($AK$3=1,$AG42*Control!$D$77,0)</f>
        <v>0</v>
      </c>
      <c r="AK42" s="821">
        <f>IF($AK$4=1,$AH42*Control!$D$77,0)</f>
        <v>0.21509671232876715</v>
      </c>
      <c r="AL42" s="227">
        <f>AL58</f>
        <v>0</v>
      </c>
      <c r="AM42" s="227">
        <f>IF(I42="Corpus Christi",Control!$D$76,0)</f>
        <v>0</v>
      </c>
      <c r="AN42" s="227">
        <v>0</v>
      </c>
      <c r="AO42" s="227">
        <f>Control!$D$78</f>
        <v>0</v>
      </c>
      <c r="AP42" s="227">
        <f>Control!$D$79</f>
        <v>6.7299999999999999E-2</v>
      </c>
      <c r="AQ42" s="227">
        <f>IF(INDEX(Control!$Q$3:$S$62,MATCH($Z42,Control!$Q$3:$Q$62,0),MATCH(AQ$8,Control!$Q$3:$S$3,0))=1,Control!$D$81*Control!$E$81,0)</f>
        <v>0.2</v>
      </c>
      <c r="AR42" s="227"/>
      <c r="AS42" s="227">
        <f>IF(AND(Y42="VLCC",Control!$K$79=1200000),Control!$D$83/AB42,0)</f>
        <v>0</v>
      </c>
      <c r="AT42" s="227"/>
      <c r="AU42" s="225">
        <f>SUM(AI42:AT42)</f>
        <v>0.67239671232876708</v>
      </c>
      <c r="AV42" s="314">
        <f>+R42+AE42+AU42</f>
        <v>6.0223967123287672</v>
      </c>
      <c r="AW42" s="314">
        <f t="shared" si="76"/>
        <v>0</v>
      </c>
      <c r="AX42" s="652">
        <f t="shared" si="80"/>
        <v>-5.28</v>
      </c>
      <c r="AY42" s="498">
        <f>$Y$3+AV42+AW42+AX42</f>
        <v>-20.257603287671234</v>
      </c>
      <c r="AZ42" s="220"/>
      <c r="BA42" s="220"/>
      <c r="BB42" s="229">
        <f>+INDEX('[1]Transit Time'!$A:$DZ,MATCH(V42,'[1]Transit Time'!$A:$A,0),MATCH(Z42,'[1]Transit Time'!$A$1:$DZ$1,0))</f>
        <v>41</v>
      </c>
      <c r="BC42" s="230">
        <f>IF(ISBLANK(A42),"",A42+$BB42+D42)</f>
        <v>46382</v>
      </c>
      <c r="BD42" s="230">
        <f>BC42+2</f>
        <v>46384</v>
      </c>
      <c r="BE42" s="822" t="str">
        <f>BE46</f>
        <v>Dated</v>
      </c>
      <c r="BF42" s="489">
        <f t="shared" si="33"/>
        <v>46356</v>
      </c>
      <c r="BG42" s="698">
        <f t="shared" si="34"/>
        <v>46356</v>
      </c>
      <c r="BH42" s="735">
        <f>AE42*AB42</f>
        <v>5350000</v>
      </c>
      <c r="BI42" s="735">
        <f>AI42*AB42</f>
        <v>190000</v>
      </c>
      <c r="BJ42" s="735">
        <f t="shared" si="44"/>
        <v>0</v>
      </c>
      <c r="BK42" s="735">
        <f t="shared" si="45"/>
        <v>0</v>
      </c>
      <c r="BL42" s="735">
        <f t="shared" si="46"/>
        <v>215096.71232876714</v>
      </c>
      <c r="BM42" s="735">
        <f t="shared" si="47"/>
        <v>267299.99999999994</v>
      </c>
      <c r="BN42" s="771">
        <f>SUM(BH42:BK42)</f>
        <v>5540000</v>
      </c>
      <c r="BO42" s="771">
        <f>BN42-BK42</f>
        <v>5540000</v>
      </c>
    </row>
    <row r="43" spans="1:72" ht="18" customHeight="1" thickBot="1" x14ac:dyDescent="0.4">
      <c r="A43" s="823">
        <f t="shared" si="35"/>
        <v>46341</v>
      </c>
      <c r="B43" s="824">
        <f t="shared" si="71"/>
        <v>46343</v>
      </c>
      <c r="C43" s="364"/>
      <c r="D43" s="825">
        <f>AF43</f>
        <v>15</v>
      </c>
      <c r="E43" s="826">
        <f t="shared" si="72"/>
        <v>46357</v>
      </c>
      <c r="F43" s="364"/>
      <c r="G43" s="364"/>
      <c r="H43" s="364"/>
      <c r="I43" s="364"/>
      <c r="J43" s="364"/>
      <c r="K43" s="364"/>
      <c r="L43" s="364"/>
      <c r="M43" s="364"/>
      <c r="N43" s="364"/>
      <c r="O43" s="364"/>
      <c r="P43" s="364"/>
      <c r="Q43" s="364"/>
      <c r="R43" s="364"/>
      <c r="S43" s="364"/>
      <c r="T43" s="365">
        <f>INDEX('[2]Flat Rates 2025'!$A:$DZ,MATCH(V43,'[2]Flat Rates 2025'!$A:$A,0),MATCH(Z43,'[2]Flat Rates 2025'!$A$1:$DZ$1,0))</f>
        <v>0</v>
      </c>
      <c r="U43" s="365">
        <f>INDEX(Control!$E$17:$J$21,MATCH(Y43,Control!$E$17:$E$21,0),MATCH(V43,Control!$E$17:$J$17,0))</f>
        <v>0.5</v>
      </c>
      <c r="V43" s="365" t="s">
        <v>45</v>
      </c>
      <c r="W43" s="827">
        <f>INDEX(Vessel_Minimum_MT,MATCH(Y43,Control!$E$11:$E$15,0),MATCH(V43,Control!$E$11:$J$11,0))</f>
        <v>270000</v>
      </c>
      <c r="X43" s="828">
        <f>AB43/Control!$D$84</f>
        <v>250984.41075514874</v>
      </c>
      <c r="Y43" s="829" t="s">
        <v>25</v>
      </c>
      <c r="Z43" s="575" t="s">
        <v>106</v>
      </c>
      <c r="AA43" s="830" t="str">
        <f t="shared" si="73"/>
        <v>USGC/KOREA</v>
      </c>
      <c r="AB43" s="831">
        <v>1950000</v>
      </c>
      <c r="AC43" s="832">
        <v>1001</v>
      </c>
      <c r="AD43" s="833">
        <f>WTI!AD43</f>
        <v>55000000</v>
      </c>
      <c r="AE43" s="834">
        <f t="shared" si="74"/>
        <v>28.205128205128204</v>
      </c>
      <c r="AF43" s="835">
        <v>15</v>
      </c>
      <c r="AG43" s="836">
        <f>INDEX(Control!$AS$36:$AY$118,MATCH('CLK1'!$Z43,Control!$AS$36:$AS$118,0),MATCH('CLK1'!AG$23,Control!$AS$36:$AY$36,0))</f>
        <v>-9.5</v>
      </c>
      <c r="AH43" s="837">
        <f>INDEX(Control!$AS$36:$AY$118,MATCH('CLK1'!$Z43,Control!$AS$36:$AS$118,0),MATCH('CLK1'!AH$23,Control!$AS$36:$AY$36,0))</f>
        <v>38.5</v>
      </c>
      <c r="AI43" s="838">
        <f>AF43*VLOOKUP($Y43,Control!$F$75:$H$87,3,FALSE)/$AB43</f>
        <v>3.4615384615384617</v>
      </c>
      <c r="AJ43" s="839">
        <f>IF($AK$3=1,$AG43*Control!$D$77,0)</f>
        <v>0</v>
      </c>
      <c r="AK43" s="840">
        <f>IF($AK$4=1,$AH43*Control!$D$77,0)</f>
        <v>0.50189232876712331</v>
      </c>
      <c r="AL43" s="841">
        <f>4*Control!$H$90/AB43</f>
        <v>3.7948717948717947</v>
      </c>
      <c r="AM43" s="841">
        <f>IF(I43="Corpus Christi",Control!$D$76,0)</f>
        <v>0</v>
      </c>
      <c r="AN43" s="841">
        <v>0</v>
      </c>
      <c r="AO43" s="841">
        <f>Control!$D$78</f>
        <v>0</v>
      </c>
      <c r="AP43" s="841">
        <f>Control!$D$79</f>
        <v>6.7299999999999999E-2</v>
      </c>
      <c r="AQ43" s="841">
        <f>IF(INDEX(Control!$Q$3:$S$62,MATCH($Z43,Control!$Q$3:$Q$62,0),MATCH(AQ$8,Control!$Q$3:$S$3,0))=1,Control!$D$81*Control!$E$81,0)</f>
        <v>0.2</v>
      </c>
      <c r="AR43" s="841"/>
      <c r="AS43" s="841">
        <f>IF(AND(Y43="VLCC",Control!$K$79=1200000),Control!$D$83/AB43,0)</f>
        <v>0</v>
      </c>
      <c r="AT43" s="841"/>
      <c r="AU43" s="834">
        <f t="shared" si="75"/>
        <v>8.0256025851773796</v>
      </c>
      <c r="AV43" s="834">
        <f t="shared" si="29"/>
        <v>36.230730790305586</v>
      </c>
      <c r="AW43" s="834">
        <f t="shared" si="76"/>
        <v>2.9</v>
      </c>
      <c r="AX43" s="846">
        <f>+IF($BB$3=1,HLOOKUP(EOMONTH(BF43,0),$BC$3:$BG$6,4,FALSE),IF($BB$3=2,-HLOOKUP(EOMONTH(BF43,0),$BB$3:$BG$6,3,FALSE),0))</f>
        <v>-0.9</v>
      </c>
      <c r="AY43" s="502">
        <f t="shared" si="31"/>
        <v>17.230730790305586</v>
      </c>
      <c r="AZ43" s="365"/>
      <c r="BA43" s="365"/>
      <c r="BB43" s="825">
        <f>+INDEX('[1]Transit Time'!$A:$DZ,MATCH(V43,'[1]Transit Time'!$A:$A,0),MATCH(Z43,'[1]Transit Time'!$A$1:$DZ$1,0))</f>
        <v>54</v>
      </c>
      <c r="BC43" s="824">
        <f t="shared" si="32"/>
        <v>46410</v>
      </c>
      <c r="BD43" s="824">
        <f t="shared" si="77"/>
        <v>46412</v>
      </c>
      <c r="BE43" s="842" t="str">
        <f t="shared" si="39"/>
        <v>Dubai</v>
      </c>
      <c r="BF43" s="843">
        <f t="shared" si="33"/>
        <v>46387</v>
      </c>
      <c r="BG43" s="844">
        <f t="shared" si="34"/>
        <v>46387</v>
      </c>
      <c r="BH43" s="735">
        <f t="shared" si="78"/>
        <v>55000000</v>
      </c>
      <c r="BI43" s="735">
        <f t="shared" si="79"/>
        <v>6750000</v>
      </c>
      <c r="BJ43" s="735">
        <f t="shared" si="44"/>
        <v>7400000</v>
      </c>
      <c r="BK43" s="735">
        <f t="shared" si="45"/>
        <v>0</v>
      </c>
      <c r="BL43" s="735">
        <f t="shared" si="46"/>
        <v>978690.04109589045</v>
      </c>
      <c r="BM43" s="735">
        <f t="shared" si="47"/>
        <v>521234.9999999993</v>
      </c>
      <c r="BN43" s="772">
        <f t="shared" si="40"/>
        <v>69150000</v>
      </c>
      <c r="BO43" s="772">
        <f t="shared" si="41"/>
        <v>69150000</v>
      </c>
    </row>
    <row r="44" spans="1:72" ht="18" customHeight="1" x14ac:dyDescent="0.35">
      <c r="A44" s="697">
        <f t="shared" si="35"/>
        <v>46341</v>
      </c>
      <c r="B44" s="230">
        <f t="shared" si="71"/>
        <v>46343</v>
      </c>
      <c r="D44" s="229">
        <f t="shared" ref="D44:D47" si="81">AF44</f>
        <v>15</v>
      </c>
      <c r="E44" s="519">
        <f t="shared" si="25"/>
        <v>46357</v>
      </c>
      <c r="F44"/>
      <c r="G44"/>
      <c r="H44"/>
      <c r="I44"/>
      <c r="J44"/>
      <c r="K44"/>
      <c r="L44"/>
      <c r="M44"/>
      <c r="N44"/>
      <c r="O44"/>
      <c r="P44"/>
      <c r="Q44"/>
      <c r="T44" s="220">
        <f>INDEX('[2]Flat Rates 2025'!$A:$DZ,MATCH(V44,'[2]Flat Rates 2025'!$A:$A,0),MATCH(Z44,'[2]Flat Rates 2025'!$A$1:$DZ$1,0))</f>
        <v>0</v>
      </c>
      <c r="U44" s="220">
        <f>INDEX(Control!$E$17:$J$21,MATCH(Y44,Control!$E$17:$E$21,0),MATCH(V44,Control!$E$17:$J$17,0))</f>
        <v>0.5</v>
      </c>
      <c r="V44" s="220" t="s">
        <v>45</v>
      </c>
      <c r="W44" s="524">
        <f>INDEX(Vessel_Minimum_MT,MATCH(Y44,Control!$E$11:$E$15,0),MATCH(V44,Control!$E$11:$J$11,0))</f>
        <v>270000</v>
      </c>
      <c r="X44" s="525">
        <f>AB44/Control!$D$84</f>
        <v>250984.41075514874</v>
      </c>
      <c r="Y44" s="215" t="s">
        <v>25</v>
      </c>
      <c r="Z44" s="576" t="s">
        <v>114</v>
      </c>
      <c r="AA44" s="212" t="str">
        <f t="shared" si="26"/>
        <v>USGC/Singapore</v>
      </c>
      <c r="AB44" s="214">
        <f>$AB$43</f>
        <v>1950000</v>
      </c>
      <c r="AC44" s="214">
        <v>1001</v>
      </c>
      <c r="AD44" s="224">
        <f>AD43-1000000</f>
        <v>54000000</v>
      </c>
      <c r="AE44" s="225">
        <f t="shared" si="27"/>
        <v>27.692307692307693</v>
      </c>
      <c r="AF44" s="217">
        <f t="shared" ref="AF44:AF47" si="82">$AF$43</f>
        <v>15</v>
      </c>
      <c r="AG44" s="815">
        <f>INDEX(Control!$AS$36:$AY$118,MATCH('CLK1'!$Z44,Control!$AS$36:$AS$118,0),MATCH('CLK1'!AG$23,Control!$AS$36:$AY$36,0))</f>
        <v>-9.5</v>
      </c>
      <c r="AH44" s="807">
        <f>INDEX(Control!$AS$36:$AY$118,MATCH('CLK1'!$Z44,Control!$AS$36:$AS$118,0),MATCH('CLK1'!AH$23,Control!$AS$36:$AY$36,0))</f>
        <v>28.5</v>
      </c>
      <c r="AI44" s="814">
        <f>AF44*VLOOKUP($Y44,Control!$F$75:$H$87,3,FALSE)/$AB44</f>
        <v>3.4615384615384617</v>
      </c>
      <c r="AJ44" s="817">
        <f>IF($AK$3=1,$AG44*Control!$D$77,0)</f>
        <v>0</v>
      </c>
      <c r="AK44" s="818">
        <f>IF($AK$4=1,$AH44*Control!$D$77,0)</f>
        <v>0.37153068493150687</v>
      </c>
      <c r="AL44" s="227">
        <f>4*Control!$H$90/AB44</f>
        <v>3.7948717948717947</v>
      </c>
      <c r="AM44" s="227">
        <f>IF(I44="Corpus Christi",Control!$D$76,0)</f>
        <v>0</v>
      </c>
      <c r="AN44" s="227">
        <v>0</v>
      </c>
      <c r="AO44" s="227">
        <f>Control!$D$78</f>
        <v>0</v>
      </c>
      <c r="AP44" s="227">
        <f>Control!$D$79</f>
        <v>6.7299999999999999E-2</v>
      </c>
      <c r="AQ44" s="227">
        <f>IF(INDEX(Control!$Q$3:$S$62,MATCH($Z44,Control!$Q$3:$Q$62,0),MATCH(AQ$8,Control!$Q$3:$S$3,0))=1,Control!$D$81*Control!$E$81,0)</f>
        <v>0.2</v>
      </c>
      <c r="AR44" s="227"/>
      <c r="AS44" s="227">
        <f>IF(AND(Y44="VLCC",Control!$K$79=1200000),Control!$D$83/AB44,0)</f>
        <v>0</v>
      </c>
      <c r="AT44" s="227"/>
      <c r="AU44" s="225">
        <f t="shared" si="75"/>
        <v>7.8952409413417639</v>
      </c>
      <c r="AV44" s="225">
        <f t="shared" si="29"/>
        <v>35.587548633649455</v>
      </c>
      <c r="AW44" s="225">
        <f t="shared" si="76"/>
        <v>5.15</v>
      </c>
      <c r="AX44" s="657">
        <f t="shared" ref="AX44:AX46" si="83">-HLOOKUP(EOMONTH(BF44,0),$BB$3:$BG$6,3,FALSE)</f>
        <v>-2.93</v>
      </c>
      <c r="AY44" s="507">
        <f t="shared" si="31"/>
        <v>16.807548633649454</v>
      </c>
      <c r="BA44" s="220"/>
      <c r="BB44" s="229">
        <f>+INDEX('[1]Transit Time'!$A:$DZ,MATCH(V44,'[1]Transit Time'!$A:$A,0),MATCH(Z44,'[1]Transit Time'!$A$1:$DZ$1,0))</f>
        <v>44</v>
      </c>
      <c r="BC44" s="230">
        <f t="shared" si="32"/>
        <v>46400</v>
      </c>
      <c r="BD44" s="230">
        <f t="shared" si="38"/>
        <v>46402</v>
      </c>
      <c r="BE44" s="505" t="s">
        <v>157</v>
      </c>
      <c r="BF44" s="592">
        <f>IF($BG$7=0,IF(BE44="ICE Brent",EOMONTH(BD44,2),EOMONTH(BD44,0)),IF(BE44="ICE Brent",EOMONTH(BD44,1),EOMONTH(BD44,-1)))</f>
        <v>46418</v>
      </c>
      <c r="BG44" s="699">
        <f t="shared" ref="BG44" si="84">BF44</f>
        <v>46418</v>
      </c>
      <c r="BH44" s="735">
        <f t="shared" si="78"/>
        <v>54000000</v>
      </c>
      <c r="BI44" s="735">
        <f t="shared" si="79"/>
        <v>6750000</v>
      </c>
      <c r="BJ44" s="735">
        <f t="shared" si="44"/>
        <v>7400000</v>
      </c>
      <c r="BK44" s="735">
        <f t="shared" si="45"/>
        <v>0</v>
      </c>
      <c r="BL44" s="735">
        <f t="shared" si="46"/>
        <v>724484.83561643842</v>
      </c>
      <c r="BM44" s="735">
        <f t="shared" si="47"/>
        <v>521235.00000000105</v>
      </c>
      <c r="BN44" s="773">
        <f t="shared" si="40"/>
        <v>68150000</v>
      </c>
      <c r="BO44" s="773">
        <f t="shared" si="41"/>
        <v>68150000</v>
      </c>
    </row>
    <row r="45" spans="1:72" ht="18" customHeight="1" x14ac:dyDescent="0.35">
      <c r="A45" s="695">
        <f t="shared" si="35"/>
        <v>46341</v>
      </c>
      <c r="B45" s="163">
        <f>IF(ISBLANK(A45),"",A45+2)</f>
        <v>46343</v>
      </c>
      <c r="D45" s="153">
        <f t="shared" si="81"/>
        <v>15</v>
      </c>
      <c r="E45" s="518">
        <f>AVERAGE(A45:B45)+D45</f>
        <v>46357</v>
      </c>
      <c r="F45"/>
      <c r="G45"/>
      <c r="H45"/>
      <c r="I45"/>
      <c r="J45"/>
      <c r="K45"/>
      <c r="L45"/>
      <c r="M45"/>
      <c r="N45"/>
      <c r="O45"/>
      <c r="P45"/>
      <c r="Q45"/>
      <c r="T45" s="138">
        <f>INDEX('[2]Flat Rates 2025'!$A:$DZ,MATCH(V45,'[2]Flat Rates 2025'!$A:$A,0),MATCH(Z45,'[2]Flat Rates 2025'!$A$1:$DZ$1,0))</f>
        <v>0</v>
      </c>
      <c r="U45" s="138">
        <f>INDEX(Control!$E$17:$J$21,MATCH(Y45,Control!$E$17:$E$21,0),MATCH(V45,Control!$E$17:$J$17,0))</f>
        <v>0.5</v>
      </c>
      <c r="V45" s="138" t="s">
        <v>45</v>
      </c>
      <c r="W45" s="526">
        <f>INDEX(Vessel_Minimum_MT,MATCH(Y45,Control!$E$11:$E$15,0),MATCH(V45,Control!$E$11:$J$11,0))</f>
        <v>270000</v>
      </c>
      <c r="X45" s="527">
        <f>AB45/Control!$D$84</f>
        <v>250984.41075514874</v>
      </c>
      <c r="Y45" s="147" t="s">
        <v>25</v>
      </c>
      <c r="Z45" s="53" t="s">
        <v>114</v>
      </c>
      <c r="AA45" s="142" t="str">
        <f>IF(Z45=V45,"",CONCATENATE(CONCATENATE(VLOOKUP(V45,Zones,2,FALSE),"/",VLOOKUP(Z45,Zones,2,FALSE))))</f>
        <v>USGC/Singapore</v>
      </c>
      <c r="AB45" s="54">
        <f>AB44</f>
        <v>1950000</v>
      </c>
      <c r="AC45" s="141">
        <v>1001</v>
      </c>
      <c r="AD45" s="202">
        <f>AD44</f>
        <v>54000000</v>
      </c>
      <c r="AE45" s="149">
        <f>IF(AC45&gt;1000,IF(AD45=0,AC45,AD45)/AB45,((W45*T45*(IF(AD45=0,AC45,AD45)/100))+IF(X45&lt;W45,0,(X45-W45)*T45*IF(AD45=0,AC45,AD45)/100*U45))/AB45)</f>
        <v>27.692307692307693</v>
      </c>
      <c r="AF45" s="767">
        <f t="shared" si="82"/>
        <v>15</v>
      </c>
      <c r="AG45" s="804">
        <f>INDEX(Control!$AS$36:$AY$118,MATCH('CLK1'!$Z45,Control!$AS$36:$AS$118,0),MATCH('CLK1'!AG$23,Control!$AS$36:$AY$36,0))</f>
        <v>-9.5</v>
      </c>
      <c r="AH45" s="805">
        <f>INDEX(Control!$AS$36:$AY$118,MATCH('CLK1'!$Z45,Control!$AS$36:$AS$118,0),MATCH('CLK1'!AH$23,Control!$AS$36:$AY$36,0))-6</f>
        <v>22.5</v>
      </c>
      <c r="AI45" s="812">
        <f>AF45*VLOOKUP($Y45,Control!$F$75:$H$87,3,FALSE)/$AB45</f>
        <v>3.4615384615384617</v>
      </c>
      <c r="AJ45" s="803">
        <f>IF($AK$3=1,$AG45*Control!$D$77,0)</f>
        <v>0</v>
      </c>
      <c r="AK45" s="790">
        <f>IF($AK$4=1,$AH45*Control!$D$77,0)</f>
        <v>0.29331369863013701</v>
      </c>
      <c r="AL45" s="143">
        <f>4*Control!$H$90/AB45</f>
        <v>3.7948717948717947</v>
      </c>
      <c r="AM45" s="143">
        <f>IF(I45="Corpus Christi",Control!$D$76,0)</f>
        <v>0</v>
      </c>
      <c r="AN45" s="143">
        <v>0</v>
      </c>
      <c r="AO45" s="143">
        <f>Control!$D$78</f>
        <v>0</v>
      </c>
      <c r="AP45" s="143">
        <f>Control!$D$79</f>
        <v>6.7299999999999999E-2</v>
      </c>
      <c r="AQ45" s="143">
        <f>IF(INDEX(Control!$Q$3:$S$62,MATCH($Z45,Control!$Q$3:$Q$62,0),MATCH(AQ$8,Control!$Q$3:$S$3,0))=1,Control!$D$81*Control!$E$81,0)</f>
        <v>0.2</v>
      </c>
      <c r="AR45" s="143"/>
      <c r="AS45" s="143">
        <f>IF(AND(Y45="VLCC",Control!$K$79=1200000),Control!$D$83/AB45,0)</f>
        <v>0</v>
      </c>
      <c r="AT45" s="143"/>
      <c r="AU45" s="149">
        <f>SUM(AI45:AT45)</f>
        <v>7.8170239550403942</v>
      </c>
      <c r="AV45" s="199">
        <f>+R45+AE45+AU45</f>
        <v>35.509331647348091</v>
      </c>
      <c r="AW45" s="199">
        <f t="shared" si="76"/>
        <v>2.9</v>
      </c>
      <c r="AX45" s="648">
        <f>+IF($BB$3=1,HLOOKUP(EOMONTH(BF45,0),$BC$3:$BG$6,4,FALSE),IF($BB$3=2,-HLOOKUP(EOMONTH(BF45,0),$BB$3:$BG$6,3,FALSE),0))</f>
        <v>-0.9</v>
      </c>
      <c r="AY45" s="499">
        <f>$Y$3+AV45+AW45+AX45</f>
        <v>16.509331647348091</v>
      </c>
      <c r="BB45" s="153">
        <f>+INDEX('[1]Transit Time'!$A:$DZ,MATCH(V45,'[1]Transit Time'!$A:$A,0),MATCH(Z45,'[1]Transit Time'!$A$1:$DZ$1,0))</f>
        <v>44</v>
      </c>
      <c r="BC45" s="163">
        <f>IF(ISBLANK(A45),"",A45+$BB45+D45)</f>
        <v>46400</v>
      </c>
      <c r="BD45" s="163">
        <f>BC45+2</f>
        <v>46402</v>
      </c>
      <c r="BE45" s="506" t="str">
        <f t="shared" si="39"/>
        <v>Dubai</v>
      </c>
      <c r="BF45" s="490">
        <f>IF($BB$7=0,IF(BE45="ICE Brent",EOMONTH(BD45,2),EOMONTH(BD45,0)),IF(BE45="ICE Brent",EOMONTH(BD45,1),EOMONTH(BD45,-1)))</f>
        <v>46387</v>
      </c>
      <c r="BG45" s="696">
        <f>IF($BB$7=1,EOMONTH(BD45,-1),EOMONTH(BD45,0))</f>
        <v>46387</v>
      </c>
      <c r="BH45" s="735">
        <f>AE45*AB45</f>
        <v>54000000</v>
      </c>
      <c r="BI45" s="735">
        <f>AI45*AB45</f>
        <v>6750000</v>
      </c>
      <c r="BJ45" s="735">
        <f t="shared" si="44"/>
        <v>7400000</v>
      </c>
      <c r="BK45" s="735">
        <f t="shared" si="45"/>
        <v>0</v>
      </c>
      <c r="BL45" s="735">
        <f t="shared" si="46"/>
        <v>571961.71232876717</v>
      </c>
      <c r="BM45" s="735">
        <f t="shared" si="47"/>
        <v>521235.00000000105</v>
      </c>
      <c r="BN45" s="771">
        <f>SUM(BH45:BK45)</f>
        <v>68150000</v>
      </c>
      <c r="BO45" s="771">
        <f>BN45-BK45</f>
        <v>68150000</v>
      </c>
    </row>
    <row r="46" spans="1:72" ht="18" customHeight="1" x14ac:dyDescent="0.35">
      <c r="A46" s="697">
        <f t="shared" si="35"/>
        <v>46341</v>
      </c>
      <c r="B46" s="230">
        <f>IF(ISBLANK(A46),"",A46+2)</f>
        <v>46343</v>
      </c>
      <c r="D46" s="229">
        <f t="shared" si="81"/>
        <v>15</v>
      </c>
      <c r="E46" s="519">
        <f t="shared" si="25"/>
        <v>46357</v>
      </c>
      <c r="F46"/>
      <c r="G46"/>
      <c r="H46"/>
      <c r="I46"/>
      <c r="J46"/>
      <c r="K46"/>
      <c r="L46"/>
      <c r="M46"/>
      <c r="N46"/>
      <c r="O46"/>
      <c r="P46"/>
      <c r="Q46"/>
      <c r="T46" s="220">
        <f>INDEX('[2]Flat Rates 2025'!$A:$DZ,MATCH(V46,'[2]Flat Rates 2025'!$A:$A,0),MATCH(Z46,'[2]Flat Rates 2025'!$A$1:$DZ$1,0))</f>
        <v>0</v>
      </c>
      <c r="U46" s="220">
        <f>INDEX(Control!$E$17:$J$21,MATCH(Y46,Control!$E$17:$E$21,0),MATCH(V46,Control!$E$17:$J$17,0))</f>
        <v>0.5</v>
      </c>
      <c r="V46" s="220" t="s">
        <v>45</v>
      </c>
      <c r="W46" s="524">
        <f>INDEX(Vessel_Minimum_MT,MATCH(Y46,Control!$E$11:$E$15,0),MATCH(V46,Control!$E$11:$J$11,0))</f>
        <v>270000</v>
      </c>
      <c r="X46" s="525">
        <f>AB46/Control!$D$84</f>
        <v>250984.41075514874</v>
      </c>
      <c r="Y46" s="215" t="s">
        <v>25</v>
      </c>
      <c r="Z46" s="573" t="s">
        <v>86</v>
      </c>
      <c r="AA46" s="212" t="str">
        <f>IF(Z46=V46,"",CONCATENATE(CONCATENATE(VLOOKUP(V46,Zones,2,FALSE),"/",VLOOKUP(Z46,Zones,2,FALSE))))</f>
        <v>USGC/INDIA</v>
      </c>
      <c r="AB46" s="214">
        <f>$AB$43</f>
        <v>1950000</v>
      </c>
      <c r="AC46" s="214">
        <v>1001</v>
      </c>
      <c r="AD46" s="224">
        <f>AD44</f>
        <v>54000000</v>
      </c>
      <c r="AE46" s="225">
        <f t="shared" si="27"/>
        <v>27.692307692307693</v>
      </c>
      <c r="AF46" s="217">
        <f t="shared" si="82"/>
        <v>15</v>
      </c>
      <c r="AG46" s="815">
        <f>INDEX(Control!$AS$36:$AY$118,MATCH('CLK1'!$Z46,Control!$AS$36:$AS$118,0),MATCH('CLK1'!AG$23,Control!$AS$36:$AY$36,0))</f>
        <v>-9.5</v>
      </c>
      <c r="AH46" s="807">
        <f>INDEX(Control!$AS$36:$AY$118,MATCH('CLK1'!$Z46,Control!$AS$36:$AS$118,0),MATCH('CLK1'!AH$23,Control!$AS$36:$AY$36,0))</f>
        <v>25.5</v>
      </c>
      <c r="AI46" s="811">
        <f>AF46*VLOOKUP($Y46,Control!$F$75:$H$87,3,FALSE)/$AB46</f>
        <v>3.4615384615384617</v>
      </c>
      <c r="AJ46" s="787">
        <f>IF($AK$3=1,$AG46*Control!$D$77,0)</f>
        <v>0</v>
      </c>
      <c r="AK46" s="788">
        <f>IF($AK$4=1,$AH46*Control!$D$77,0)</f>
        <v>0.33242219178082194</v>
      </c>
      <c r="AL46" s="227">
        <f>4*Control!$H$90/AB46</f>
        <v>3.7948717948717947</v>
      </c>
      <c r="AM46" s="227">
        <f>IF(I46="Corpus Christi",Control!$D$76,0)</f>
        <v>0</v>
      </c>
      <c r="AN46" s="227">
        <v>0</v>
      </c>
      <c r="AO46" s="227">
        <f>Control!$D$78</f>
        <v>0</v>
      </c>
      <c r="AP46" s="227">
        <f>Control!$D$79</f>
        <v>6.7299999999999999E-2</v>
      </c>
      <c r="AQ46" s="227">
        <f>IF(INDEX(Control!$Q$3:$S$62,MATCH($Z46,Control!$Q$3:$Q$62,0),MATCH(AQ$8,Control!$Q$3:$S$3,0))=1,Control!$D$81*Control!$E$81,0)</f>
        <v>0.2</v>
      </c>
      <c r="AR46" s="227"/>
      <c r="AS46" s="227">
        <f>IF(AND(Y46="VLCC",Control!$K$79=1200000),Control!$D$83/AB46,0)</f>
        <v>0</v>
      </c>
      <c r="AT46" s="227"/>
      <c r="AU46" s="225">
        <f>SUM(AI46:AT46)</f>
        <v>7.8561324481910795</v>
      </c>
      <c r="AV46" s="225">
        <f t="shared" si="29"/>
        <v>35.548440140498769</v>
      </c>
      <c r="AW46" s="225">
        <f t="shared" si="76"/>
        <v>2.9</v>
      </c>
      <c r="AX46" s="589">
        <f t="shared" si="83"/>
        <v>-3.98</v>
      </c>
      <c r="AY46" s="508">
        <f t="shared" si="31"/>
        <v>13.468440140498767</v>
      </c>
      <c r="BA46" s="220"/>
      <c r="BB46" s="229">
        <f>+INDEX('[1]Transit Time'!$A:$DZ,MATCH(V46,'[1]Transit Time'!$A:$A,0),MATCH(Z46,'[1]Transit Time'!$A$1:$DZ$1,0))</f>
        <v>41</v>
      </c>
      <c r="BC46" s="230">
        <f t="shared" si="32"/>
        <v>46397</v>
      </c>
      <c r="BD46" s="230">
        <f t="shared" si="38"/>
        <v>46399</v>
      </c>
      <c r="BE46" s="505" t="s">
        <v>157</v>
      </c>
      <c r="BF46" s="489">
        <f t="shared" si="33"/>
        <v>46387</v>
      </c>
      <c r="BG46" s="698">
        <f t="shared" si="34"/>
        <v>46387</v>
      </c>
      <c r="BH46" s="735">
        <f t="shared" si="78"/>
        <v>54000000</v>
      </c>
      <c r="BI46" s="735">
        <f t="shared" si="79"/>
        <v>6750000</v>
      </c>
      <c r="BJ46" s="735">
        <f t="shared" si="44"/>
        <v>7400000</v>
      </c>
      <c r="BK46" s="735">
        <f t="shared" si="45"/>
        <v>0</v>
      </c>
      <c r="BL46" s="735">
        <f t="shared" si="46"/>
        <v>648223.27397260279</v>
      </c>
      <c r="BM46" s="735">
        <f t="shared" si="47"/>
        <v>521235.00000000192</v>
      </c>
      <c r="BN46" s="774">
        <f t="shared" si="40"/>
        <v>68150000</v>
      </c>
      <c r="BO46" s="774">
        <f t="shared" si="41"/>
        <v>68150000</v>
      </c>
    </row>
    <row r="47" spans="1:72" ht="18" customHeight="1" thickBot="1" x14ac:dyDescent="0.4">
      <c r="A47" s="340">
        <f t="shared" si="35"/>
        <v>46341</v>
      </c>
      <c r="B47" s="341">
        <f t="shared" ref="B47" si="85">IF(ISBLANK(A47),"",A47+2)</f>
        <v>46343</v>
      </c>
      <c r="C47" s="275"/>
      <c r="D47" s="359">
        <f t="shared" si="81"/>
        <v>15</v>
      </c>
      <c r="E47" s="516">
        <f t="shared" si="25"/>
        <v>46357</v>
      </c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351" t="e">
        <f>INDEX('[2]Flat Rates 2025'!$A:$DZ,MATCH(V47,'[2]Flat Rates 2025'!$A:$A,0),MATCH(Z47,'[2]Flat Rates 2025'!$A$1:$DZ$1,0))</f>
        <v>#N/A</v>
      </c>
      <c r="U47" s="351">
        <f>INDEX(Control!$E$17:$J$21,MATCH(Y47,Control!$E$17:$E$21,0),MATCH(V47,Control!$E$17:$J$17,0))</f>
        <v>0.5</v>
      </c>
      <c r="V47" s="351" t="s">
        <v>45</v>
      </c>
      <c r="W47" s="344">
        <f>INDEX(Vessel_Minimum_MT,MATCH(Y47,Control!$E$11:$E$15,0),MATCH(V47,Control!$E$11:$J$11,0))</f>
        <v>270000</v>
      </c>
      <c r="X47" s="352">
        <f>AB47/Control!$D$84</f>
        <v>263855.40617848968</v>
      </c>
      <c r="Y47" s="346" t="s">
        <v>25</v>
      </c>
      <c r="Z47" s="682" t="s">
        <v>43</v>
      </c>
      <c r="AA47" s="343" t="str">
        <f>AA43</f>
        <v>USGC/KOREA</v>
      </c>
      <c r="AB47" s="344">
        <v>2050000</v>
      </c>
      <c r="AC47" s="345">
        <v>1001</v>
      </c>
      <c r="AD47" s="683">
        <f>AD43-350000</f>
        <v>54650000</v>
      </c>
      <c r="AE47" s="355">
        <f t="shared" si="27"/>
        <v>26.658536585365855</v>
      </c>
      <c r="AF47" s="768">
        <f t="shared" si="82"/>
        <v>15</v>
      </c>
      <c r="AG47" s="808">
        <f>INDEX(Control!$AS$36:$AY$118,MATCH('CLK1'!$Z47,Control!$AS$36:$AS$118,0),MATCH('CLK1'!AG$23,Control!$AS$36:$AY$36,0))</f>
        <v>-9.5</v>
      </c>
      <c r="AH47" s="809">
        <f>INDEX(Control!$AS$36:$AY$118,MATCH('CLK1'!$Z47,Control!$AS$36:$AS$118,0),MATCH('CLK1'!AH$23,Control!$AS$36:$AY$36,0))</f>
        <v>30.5</v>
      </c>
      <c r="AI47" s="813">
        <f>AF47*VLOOKUP($Y47,Control!$F$75:$H$87,3,FALSE)/$AB47</f>
        <v>3.2926829268292681</v>
      </c>
      <c r="AJ47" s="791">
        <f>IF($AK$3=1,$AG47*Control!$D$77,0)</f>
        <v>0</v>
      </c>
      <c r="AK47" s="792">
        <f>IF($AK$4=1,$AH47*Control!$D$77,0)</f>
        <v>0.39760301369863016</v>
      </c>
      <c r="AL47" s="357">
        <f>4*Control!$H$90/AB47</f>
        <v>3.6097560975609757</v>
      </c>
      <c r="AM47" s="357">
        <f>IF(I47="Corpus Christi",Control!$D$76,0)</f>
        <v>0</v>
      </c>
      <c r="AN47" s="357">
        <v>0</v>
      </c>
      <c r="AO47" s="357">
        <f>Control!$D$78</f>
        <v>0</v>
      </c>
      <c r="AP47" s="357">
        <f>Control!$D$79</f>
        <v>6.7299999999999999E-2</v>
      </c>
      <c r="AQ47" s="357"/>
      <c r="AR47" s="357"/>
      <c r="AS47" s="357">
        <f>IF(AND(Y47="VLCC",Control!$K$79=1200000),Control!$D$83/AB47,0)</f>
        <v>0</v>
      </c>
      <c r="AT47" s="357"/>
      <c r="AU47" s="355">
        <f t="shared" si="75"/>
        <v>7.3673420380888741</v>
      </c>
      <c r="AV47" s="684">
        <f t="shared" si="29"/>
        <v>34.02587862345473</v>
      </c>
      <c r="AW47" s="684">
        <f t="shared" si="76"/>
        <v>2.9</v>
      </c>
      <c r="AX47" s="684">
        <f>-HLOOKUP(EOMONTH(BF47,0),$BB$3:$BG$6,3,FALSE)</f>
        <v>-3.98</v>
      </c>
      <c r="AY47" s="688">
        <f t="shared" si="31"/>
        <v>11.94587862345473</v>
      </c>
      <c r="AZ47" s="350"/>
      <c r="BA47" s="350"/>
      <c r="BB47" s="359">
        <v>49</v>
      </c>
      <c r="BC47" s="341">
        <f t="shared" si="32"/>
        <v>46405</v>
      </c>
      <c r="BD47" s="341">
        <f t="shared" si="38"/>
        <v>46407</v>
      </c>
      <c r="BE47" s="758" t="s">
        <v>157</v>
      </c>
      <c r="BF47" s="700">
        <f t="shared" si="33"/>
        <v>46387</v>
      </c>
      <c r="BG47" s="492">
        <f t="shared" si="34"/>
        <v>46387</v>
      </c>
      <c r="BH47" s="735">
        <f t="shared" si="78"/>
        <v>54650000</v>
      </c>
      <c r="BI47" s="735">
        <f t="shared" si="79"/>
        <v>6750000</v>
      </c>
      <c r="BJ47" s="735">
        <f t="shared" si="44"/>
        <v>7400000</v>
      </c>
      <c r="BK47" s="735">
        <f t="shared" si="45"/>
        <v>0</v>
      </c>
      <c r="BL47" s="735">
        <f t="shared" si="46"/>
        <v>815086.17808219185</v>
      </c>
      <c r="BM47" s="735">
        <f t="shared" si="47"/>
        <v>137964.99999999983</v>
      </c>
      <c r="BN47" s="775">
        <f t="shared" si="40"/>
        <v>68800000</v>
      </c>
      <c r="BO47" s="775">
        <f t="shared" si="41"/>
        <v>68800000</v>
      </c>
    </row>
    <row r="48" spans="1:72" ht="19" thickBot="1" x14ac:dyDescent="0.5">
      <c r="A48" s="439"/>
      <c r="B48" s="439"/>
      <c r="D48"/>
      <c r="E48" s="520"/>
      <c r="F48"/>
      <c r="G48"/>
      <c r="H48"/>
      <c r="I48"/>
      <c r="J48"/>
      <c r="K48"/>
      <c r="L48"/>
      <c r="M48"/>
      <c r="N48"/>
      <c r="O48"/>
      <c r="P48"/>
      <c r="Q48"/>
      <c r="T48" s="410"/>
      <c r="U48" s="410"/>
      <c r="V48" s="410"/>
      <c r="W48" s="410"/>
      <c r="X48" s="410"/>
      <c r="Y48" s="1002" t="s">
        <v>219</v>
      </c>
      <c r="Z48" s="1003"/>
      <c r="AA48" s="1003"/>
      <c r="AB48" s="1003"/>
      <c r="AC48" s="1003"/>
      <c r="AD48" s="1003"/>
      <c r="AE48" s="1003"/>
      <c r="AF48" s="1003"/>
      <c r="AG48" s="1003"/>
      <c r="AH48" s="1003"/>
      <c r="AI48" s="1003"/>
      <c r="AJ48" s="1003"/>
      <c r="AK48" s="1003"/>
      <c r="AL48" s="1003"/>
      <c r="AM48" s="1003"/>
      <c r="AN48" s="1003"/>
      <c r="AO48" s="1003"/>
      <c r="AP48" s="1003"/>
      <c r="AQ48" s="1003"/>
      <c r="AR48" s="1003"/>
      <c r="AS48" s="1003"/>
      <c r="AT48" s="1003"/>
      <c r="AU48" s="1003"/>
      <c r="AV48" s="1003"/>
      <c r="AW48" s="1003"/>
      <c r="AX48" s="1003"/>
      <c r="AY48" s="1004"/>
      <c r="BB48"/>
      <c r="BC48"/>
      <c r="BD48"/>
      <c r="BE48"/>
      <c r="BF48"/>
      <c r="BG48"/>
      <c r="BH48" s="735"/>
      <c r="BI48" s="735"/>
      <c r="BJ48" s="735"/>
      <c r="BK48" s="735"/>
      <c r="BL48" s="735"/>
      <c r="BM48" s="735"/>
      <c r="BO48" s="769">
        <f t="shared" si="41"/>
        <v>0</v>
      </c>
    </row>
    <row r="49" spans="1:72" ht="36" customHeight="1" thickBot="1" x14ac:dyDescent="0.4">
      <c r="A49" s="1015" t="s">
        <v>167</v>
      </c>
      <c r="B49" s="1016"/>
      <c r="D49" s="137" t="str">
        <f>D23</f>
        <v>STS Time</v>
      </c>
      <c r="E49" s="521" t="str">
        <f>E23</f>
        <v>Depart</v>
      </c>
      <c r="F49"/>
      <c r="G49"/>
      <c r="H49"/>
      <c r="I49"/>
      <c r="J49"/>
      <c r="K49"/>
      <c r="L49"/>
      <c r="M49"/>
      <c r="N49"/>
      <c r="O49"/>
      <c r="P49"/>
      <c r="Q49"/>
      <c r="T49" s="120" t="s">
        <v>172</v>
      </c>
      <c r="U49" s="120" t="s">
        <v>2</v>
      </c>
      <c r="V49" s="120" t="s">
        <v>173</v>
      </c>
      <c r="W49" s="152" t="str">
        <f>$W$8</f>
        <v>Vessel MT</v>
      </c>
      <c r="X49" s="120" t="s">
        <v>175</v>
      </c>
      <c r="Y49" s="571" t="s">
        <v>176</v>
      </c>
      <c r="Z49" s="571" t="s">
        <v>177</v>
      </c>
      <c r="AA49" s="571" t="s">
        <v>178</v>
      </c>
      <c r="AB49" s="571" t="s">
        <v>200</v>
      </c>
      <c r="AC49" s="578" t="str">
        <f>$AC$8</f>
        <v xml:space="preserve">Current WS Rate </v>
      </c>
      <c r="AD49" s="128" t="s">
        <v>202</v>
      </c>
      <c r="AE49" s="579" t="s">
        <v>182</v>
      </c>
      <c r="AF49" s="580" t="s">
        <v>183</v>
      </c>
      <c r="AG49" s="578" t="str">
        <f>AG8</f>
        <v>ATA TVM</v>
      </c>
      <c r="AH49" s="578" t="str">
        <f>AH8</f>
        <v>Ext. TVM</v>
      </c>
      <c r="AI49" s="580" t="s">
        <v>184</v>
      </c>
      <c r="AJ49" s="783" t="str">
        <f t="shared" ref="AJ49:AK49" si="86">AG49</f>
        <v>ATA TVM</v>
      </c>
      <c r="AK49" s="783" t="str">
        <f t="shared" si="86"/>
        <v>Ext. TVM</v>
      </c>
      <c r="AL49" s="580" t="str">
        <f>AL8</f>
        <v>STS</v>
      </c>
      <c r="AM49" s="580" t="s">
        <v>186</v>
      </c>
      <c r="AN49" s="580" t="s">
        <v>187</v>
      </c>
      <c r="AO49" s="580" t="s">
        <v>141</v>
      </c>
      <c r="AP49" s="580" t="s">
        <v>188</v>
      </c>
      <c r="AQ49" s="580" t="s">
        <v>17</v>
      </c>
      <c r="AR49" s="580" t="s">
        <v>18</v>
      </c>
      <c r="AS49" s="580" t="s">
        <v>189</v>
      </c>
      <c r="AT49" s="580" t="s">
        <v>152</v>
      </c>
      <c r="AU49" s="579" t="s">
        <v>208</v>
      </c>
      <c r="AV49" s="579" t="s">
        <v>209</v>
      </c>
      <c r="AW49" s="579" t="s">
        <v>210</v>
      </c>
      <c r="AX49" s="579" t="str">
        <f>AX8</f>
        <v>Basis</v>
      </c>
      <c r="AY49" s="137" t="s">
        <v>211</v>
      </c>
      <c r="BB49" s="137" t="s">
        <v>195</v>
      </c>
      <c r="BC49" s="522" t="s">
        <v>196</v>
      </c>
      <c r="BD49" s="522"/>
      <c r="BE49" s="487" t="str">
        <f>BE23</f>
        <v>Basis</v>
      </c>
      <c r="BF49" s="581" t="str">
        <f>BF8</f>
        <v>Pricing Month</v>
      </c>
      <c r="BG49" s="581" t="str">
        <f>BG8</f>
        <v>Delivery Month</v>
      </c>
      <c r="BH49" s="735"/>
      <c r="BI49" s="735"/>
      <c r="BJ49" s="735"/>
      <c r="BK49" s="735"/>
      <c r="BL49" s="735"/>
      <c r="BM49" s="735"/>
      <c r="BO49" s="769">
        <f t="shared" si="41"/>
        <v>0</v>
      </c>
      <c r="BS49"/>
      <c r="BT49"/>
    </row>
    <row r="50" spans="1:72" ht="18" customHeight="1" thickBot="1" x14ac:dyDescent="0.4">
      <c r="A50" s="82">
        <f>A8</f>
        <v>46341</v>
      </c>
      <c r="B50" s="82">
        <f>B8</f>
        <v>46343</v>
      </c>
      <c r="D50" s="153">
        <f>IF(AL50=0,0,VLOOKUP(Y50,Control!$G$41:$J$44,4,FALSE))</f>
        <v>0</v>
      </c>
      <c r="E50" s="518">
        <f t="shared" ref="E50:E64" si="87">AVERAGE(A50:B50)+D50</f>
        <v>46342</v>
      </c>
      <c r="F50"/>
      <c r="G50"/>
      <c r="H50"/>
      <c r="I50"/>
      <c r="J50"/>
      <c r="K50"/>
      <c r="L50"/>
      <c r="M50"/>
      <c r="N50"/>
      <c r="O50"/>
      <c r="P50"/>
      <c r="Q50"/>
      <c r="T50" s="140">
        <f>INDEX('[2]Flat Rates 2025'!$A:$DZ,MATCH(V50,'[2]Flat Rates 2025'!$A:$A,0),MATCH(Z50,'[2]Flat Rates 2025'!$A$1:$DZ$1,0))*1.04</f>
        <v>21.860800000000001</v>
      </c>
      <c r="U50" s="138">
        <f>INDEX(Control!$E$17:$J$21,MATCH(Y50,Control!$E$17:$E$21,0),MATCH(V50,Control!$E$17:$J$17,0))</f>
        <v>0</v>
      </c>
      <c r="V50" s="138" t="s">
        <v>45</v>
      </c>
      <c r="W50" s="116">
        <f>INDEX(Vessel_Minimum_MT,MATCH(Y50,Control!$E$11:$E$15,0),MATCH(V50,Control!$E$11:$J$11,0))</f>
        <v>70000</v>
      </c>
      <c r="X50" s="140">
        <f>AB50/Control!$D$84</f>
        <v>86235.669336384439</v>
      </c>
      <c r="Y50" s="48" t="s">
        <v>23</v>
      </c>
      <c r="Z50" s="639" t="s">
        <v>42</v>
      </c>
      <c r="AA50" s="142" t="str">
        <f t="shared" ref="AA50:AA55" si="88">IF(Z50=V50,"",CONCATENATE(CONCATENATE(VLOOKUP(V50,Zones,2,FALSE),"/",VLOOKUP(Z50,Zones,2,FALSE))))</f>
        <v>USGC/Nsea</v>
      </c>
      <c r="AB50" s="379">
        <v>670000</v>
      </c>
      <c r="AC50" s="141">
        <v>70</v>
      </c>
      <c r="AD50" s="654">
        <v>195</v>
      </c>
      <c r="AE50" s="149">
        <f>IF(AC50&gt;1000,IF(AD50=0,AC50,AD50)/AB50,((W50*T50*(IF(AD50=0,AC50,AD50)/100))+IF(X50&lt;W50,0,(X50-W50)*T50*IF(AD50=0,AC50,AD50)/100*U50))/AB50)</f>
        <v>4.4537301492537313</v>
      </c>
      <c r="AF50" s="141"/>
      <c r="AG50" s="155">
        <f>INDEX(Control!$AS$36:$AY$118,MATCH('CLK1'!$Z50,Control!$AS$36:$AS$118,0),MATCH('CLK1'!AG$23,Control!$AS$36:$AY$36,0))</f>
        <v>-10</v>
      </c>
      <c r="AH50" s="155">
        <f>INDEX(Control!$AS$36:$AY$118,MATCH('CLK1'!$Z50,Control!$AS$36:$AS$118,0),MATCH('CLK1'!AH$23,Control!$AS$36:$AY$36,0))</f>
        <v>0</v>
      </c>
      <c r="AI50" s="143">
        <f>AF50*VLOOKUP($Y50,Control!$F$75:$H$87,3,FALSE)/$AB50</f>
        <v>0</v>
      </c>
      <c r="AJ50" s="144">
        <f>IF($AK$3=1,$AG50*Control!$D$77,0)</f>
        <v>0</v>
      </c>
      <c r="AK50" s="144">
        <f>IF($AK$4=1,$AH50*Control!$D$77,0)</f>
        <v>0</v>
      </c>
      <c r="AL50" s="143"/>
      <c r="AM50" s="143"/>
      <c r="AN50" s="143"/>
      <c r="AO50" s="143"/>
      <c r="AP50" s="143">
        <f>AP51</f>
        <v>6.7299999999999999E-2</v>
      </c>
      <c r="AQ50" s="143">
        <f>IF(INDEX(Control!$Q$3:$S$62,MATCH($Z50,Control!$Q$3:$Q$62,0),MATCH(AQ$8,Control!$Q$3:$S$3,0))=1,Control!$D$81*Control!$E$81,0)</f>
        <v>0</v>
      </c>
      <c r="AR50" s="143">
        <f>IF(INDEX(Control!$Q$3:$S$62,MATCH($Z50,Control!$Q$3:$Q$62,0),MATCH(AR$8,Control!$Q$3:$S$3,0))=1,INDEX(Control!$AK$3:$AO$69,MATCH('CLK1'!Z50,Control!$AK$3:$AK$29,0),MATCH('CLK1'!Y50,Control!$AK$3:$AO$3,0))/AB50*1000,0)</f>
        <v>0</v>
      </c>
      <c r="AS50" s="143">
        <f>93980/AB50</f>
        <v>0.14026865671641792</v>
      </c>
      <c r="AT50" s="143"/>
      <c r="AU50" s="149">
        <f>SUM(AI50:AT50)</f>
        <v>0.20756865671641792</v>
      </c>
      <c r="AV50" s="149">
        <f t="shared" ref="AV50:AV64" si="89">+R50+AE50+AU50</f>
        <v>4.6612988059701497</v>
      </c>
      <c r="AW50" s="98">
        <f t="shared" ref="AW50:AW64" si="90">IF((MONTH(A50)=MONTH(BG50)),0,IF(((MONTH(BG50))-MONTH(A50))+12*YEAR(BF50)-YEAR(A50)&gt;1,SUMIFS($BC$4:$BG$4,$BC$3:$BG$3,"&lt;="&amp;EOMONTH(BF50,-1),$BC$3:$BG$3,"&gt;="&amp;EOMONTH(A50,0)),VLOOKUP("Spreads",$BB$3:$BG$4,MATCH(EOMONTH(A50,0),$BB$3:$BG$3,0))))</f>
        <v>2.9</v>
      </c>
      <c r="AX50" s="149">
        <f t="shared" ref="AX50:AX64" si="91">-HLOOKUP(EOMONTH(BF50,0),$BC$3:$BF$6,3,FALSE)</f>
        <v>-3.98</v>
      </c>
      <c r="AY50" s="638">
        <f t="shared" ref="AY50:AY64" si="92">$Y$3+AV50+AW50+AX50</f>
        <v>-17.41870119402985</v>
      </c>
      <c r="BB50" s="153">
        <f>+INDEX('[1]Transit Time'!$A:$DZ,MATCH(V50,'[1]Transit Time'!$A:$A,0),MATCH(Z50,'[1]Transit Time'!$A$1:$DZ$1,0))</f>
        <v>17</v>
      </c>
      <c r="BC50" s="163">
        <f>IF(ISBLANK(E50),"",E50+$BB50+D50)</f>
        <v>46359</v>
      </c>
      <c r="BD50" s="163">
        <f t="shared" ref="BD50:BD65" si="93">BC50+2</f>
        <v>46361</v>
      </c>
      <c r="BE50" s="163" t="s">
        <v>157</v>
      </c>
      <c r="BF50" s="490">
        <f t="shared" ref="BF50:BF65" si="94">EOMONTH(BD50,0)</f>
        <v>46387</v>
      </c>
      <c r="BG50" s="490">
        <f t="shared" ref="BG50:BG65" si="95">BF50</f>
        <v>46387</v>
      </c>
      <c r="BH50" s="735">
        <f t="shared" ref="BH50:BH64" si="96">AE50*AB50</f>
        <v>2983999.2</v>
      </c>
      <c r="BI50" s="735">
        <f t="shared" ref="BI50:BI64" si="97">AI50*AB50</f>
        <v>0</v>
      </c>
      <c r="BJ50" s="735">
        <f t="shared" ref="BJ50:BJ65" si="98">(AU50-AI50-AJ50)*AB50</f>
        <v>139071</v>
      </c>
      <c r="BK50" s="735">
        <f t="shared" ref="BK50:BK65" si="99">AJ50*AB50</f>
        <v>0</v>
      </c>
      <c r="BL50" s="735"/>
      <c r="BM50" s="735"/>
      <c r="BN50" s="735">
        <f t="shared" ref="BN50:BN64" si="100">(AV50-AJ50)*AB50</f>
        <v>3123070.2</v>
      </c>
      <c r="BO50" s="769">
        <f t="shared" si="41"/>
        <v>3123070.2</v>
      </c>
      <c r="BS50"/>
      <c r="BT50"/>
    </row>
    <row r="51" spans="1:72" ht="18" customHeight="1" x14ac:dyDescent="0.35">
      <c r="A51" s="230">
        <f t="shared" ref="A51:A64" si="101">+$A$9</f>
        <v>46341</v>
      </c>
      <c r="B51" s="230">
        <f t="shared" ref="B51:B64" si="102">IF(ISBLANK(A51),"",A51+2)</f>
        <v>46343</v>
      </c>
      <c r="D51" s="229">
        <f>IF(AL51=0,0,VLOOKUP(Y51,Control!$G$41:$J$44,4,FALSE))</f>
        <v>0</v>
      </c>
      <c r="E51" s="519">
        <f t="shared" si="87"/>
        <v>46342</v>
      </c>
      <c r="F51"/>
      <c r="G51"/>
      <c r="H51"/>
      <c r="I51"/>
      <c r="J51"/>
      <c r="K51"/>
      <c r="L51"/>
      <c r="M51"/>
      <c r="N51"/>
      <c r="O51"/>
      <c r="P51"/>
      <c r="Q51"/>
      <c r="T51" s="478">
        <f>INDEX('[2]Flat Rates 2025'!$A:$DZ,MATCH(V51,'[2]Flat Rates 2025'!$A:$A,0),MATCH(Z51,'[2]Flat Rates 2025'!$A$1:$DZ$1,0))*1.04</f>
        <v>22.623120000000004</v>
      </c>
      <c r="U51" s="220">
        <f>INDEX(Control!$E$17:$J$21,MATCH(Y51,Control!$E$17:$E$21,0),MATCH(V51,Control!$E$17:$J$17,0))</f>
        <v>0</v>
      </c>
      <c r="V51" s="220" t="s">
        <v>45</v>
      </c>
      <c r="W51" s="213">
        <f>INDEX(Vessel_Minimum_MT,MATCH(Y51,Control!$E$11:$E$15,0),MATCH(V51,Control!$E$11:$J$11,0))</f>
        <v>70000</v>
      </c>
      <c r="X51" s="222">
        <f>AB51/Control!$D$84</f>
        <v>86235.669336384439</v>
      </c>
      <c r="Y51" s="215" t="s">
        <v>23</v>
      </c>
      <c r="Z51" s="212" t="s">
        <v>47</v>
      </c>
      <c r="AA51" s="212" t="str">
        <f t="shared" si="88"/>
        <v>USGC/Nsea</v>
      </c>
      <c r="AB51" s="312">
        <f>AB50</f>
        <v>670000</v>
      </c>
      <c r="AC51" s="214">
        <v>70</v>
      </c>
      <c r="AD51" s="262">
        <f>AD50+5</f>
        <v>200</v>
      </c>
      <c r="AE51" s="225">
        <f t="shared" ref="AE51:AE59" si="103">IF(AC51&gt;1000,IF(AD51=0,AC51,AD51)/AB51,((W51*T51*(IF(AD51=0,AC51,AD51)/100))+IF(X51&lt;W51,0,(X51-W51)*T51*IF(AD51=0,AC51,AD51)/100*U51))/AB51)</f>
        <v>4.7272191044776131</v>
      </c>
      <c r="AF51" s="214">
        <f t="shared" ref="AF51:AF59" si="104">$AF$50</f>
        <v>0</v>
      </c>
      <c r="AG51" s="214">
        <f>INDEX(Control!$AS$36:$AY$118,MATCH('CLK1'!$Z51,Control!$AS$36:$AS$118,0),MATCH('CLK1'!AG$23,Control!$AS$36:$AY$36,0))</f>
        <v>-10</v>
      </c>
      <c r="AH51" s="214">
        <f>INDEX(Control!$AS$36:$AY$118,MATCH('CLK1'!$Z51,Control!$AS$36:$AS$118,0),MATCH('CLK1'!AH$23,Control!$AS$36:$AY$36,0))</f>
        <v>0</v>
      </c>
      <c r="AI51" s="227">
        <f>AF51*VLOOKUP($Y51,Control!$F$75:$H$87,3,FALSE)/$AB51</f>
        <v>0</v>
      </c>
      <c r="AJ51" s="226">
        <f>IF($AK$3=1,$AG51*Control!$D$77,0)</f>
        <v>0</v>
      </c>
      <c r="AK51" s="226">
        <f>IF($AK$4=1,$AH51*Control!$D$77,0)</f>
        <v>0</v>
      </c>
      <c r="AL51" s="227">
        <f>IF(((AB51-VLOOKUP(Y51,Control!$J$76:$K$80,2,FALSE))/Control!$D$85)&lt;=0,0,ROUNDUP(((AB51-VLOOKUP(Y51,Control!$J$76:$K$80,2,FALSE))/Control!$D$85),0)*Control!$H$90/AB51)</f>
        <v>0</v>
      </c>
      <c r="AM51" s="227">
        <f>IF(I51="Corpus Christi",Control!$D$76,0)</f>
        <v>0</v>
      </c>
      <c r="AN51" s="227">
        <v>0</v>
      </c>
      <c r="AO51" s="227">
        <f>Control!$D$78</f>
        <v>0</v>
      </c>
      <c r="AP51" s="227">
        <f>Control!$D$79</f>
        <v>6.7299999999999999E-2</v>
      </c>
      <c r="AQ51" s="227">
        <f>IF(INDEX(Control!$Q$3:$S$62,MATCH($Z51,Control!$Q$3:$Q$62,0),MATCH(AQ$8,Control!$Q$3:$S$3,0))=1,Control!$D$81*Control!$E$81,0)</f>
        <v>0</v>
      </c>
      <c r="AR51" s="227">
        <f>IF(INDEX(Control!$Q$3:$S$62,MATCH($Z51,Control!$Q$3:$Q$62,0),MATCH(AR$8,Control!$Q$3:$S$3,0))=1,INDEX(Control!$AK$3:$AO$69,MATCH('CLK1'!Z51,Control!$AK$3:$AK$29,0),MATCH('CLK1'!Y51,Control!$AK$3:$AO$3,0))/AB51*1000,0)</f>
        <v>0</v>
      </c>
      <c r="AS51" s="227" t="str">
        <f t="shared" ref="AS51:AS57" si="105">IF(Z51="Rotterdam",0.114,"")</f>
        <v/>
      </c>
      <c r="AT51" s="227"/>
      <c r="AU51" s="225">
        <f t="shared" ref="AU51" si="106">SUM(AI51:AT51)</f>
        <v>6.7299999999999999E-2</v>
      </c>
      <c r="AV51" s="225">
        <f t="shared" si="89"/>
        <v>4.7945191044776134</v>
      </c>
      <c r="AW51" s="225">
        <f t="shared" si="90"/>
        <v>2.9</v>
      </c>
      <c r="AX51" s="225">
        <f t="shared" si="91"/>
        <v>-3.98</v>
      </c>
      <c r="AY51" s="498">
        <f t="shared" si="92"/>
        <v>-17.285480895522383</v>
      </c>
      <c r="BA51" s="220"/>
      <c r="BB51" s="229">
        <f>+INDEX('[1]Transit Time'!$A:$DZ,MATCH(V51,'[1]Transit Time'!$A:$A,0),MATCH(Z51,'[1]Transit Time'!$A$1:$DZ$1,0))</f>
        <v>17</v>
      </c>
      <c r="BC51" s="230">
        <f t="shared" ref="BC51:BC57" si="107">IF(ISBLANK(E51),"",E51+$BB51+D51)</f>
        <v>46359</v>
      </c>
      <c r="BD51" s="230">
        <f t="shared" si="93"/>
        <v>46361</v>
      </c>
      <c r="BE51" s="230" t="s">
        <v>157</v>
      </c>
      <c r="BF51" s="489">
        <f t="shared" si="94"/>
        <v>46387</v>
      </c>
      <c r="BG51" s="489">
        <f t="shared" si="95"/>
        <v>46387</v>
      </c>
      <c r="BH51" s="735">
        <f t="shared" si="96"/>
        <v>3167236.8000000007</v>
      </c>
      <c r="BI51" s="735">
        <f t="shared" si="97"/>
        <v>0</v>
      </c>
      <c r="BJ51" s="735">
        <f t="shared" si="98"/>
        <v>45091</v>
      </c>
      <c r="BK51" s="735">
        <f t="shared" si="99"/>
        <v>0</v>
      </c>
      <c r="BL51" s="735"/>
      <c r="BM51" s="735"/>
      <c r="BN51" s="735">
        <f t="shared" si="100"/>
        <v>3212327.8000000012</v>
      </c>
      <c r="BO51" s="769">
        <f t="shared" si="41"/>
        <v>3212327.8000000012</v>
      </c>
      <c r="BS51"/>
      <c r="BT51"/>
    </row>
    <row r="52" spans="1:72" ht="18" customHeight="1" x14ac:dyDescent="0.35">
      <c r="A52" s="163">
        <f t="shared" si="101"/>
        <v>46341</v>
      </c>
      <c r="B52" s="163">
        <f t="shared" si="102"/>
        <v>46343</v>
      </c>
      <c r="D52" s="153">
        <f>IF(AL52=0,0,VLOOKUP(Y52,Control!$G$41:$J$44,4,FALSE))</f>
        <v>0</v>
      </c>
      <c r="E52" s="518">
        <f t="shared" si="87"/>
        <v>46342</v>
      </c>
      <c r="F52"/>
      <c r="G52"/>
      <c r="H52"/>
      <c r="I52"/>
      <c r="J52"/>
      <c r="K52"/>
      <c r="L52"/>
      <c r="M52"/>
      <c r="N52"/>
      <c r="O52"/>
      <c r="P52"/>
      <c r="Q52"/>
      <c r="T52" s="191">
        <f>INDEX('[2]Flat Rates 2025'!$A:$DZ,MATCH(V52,'[2]Flat Rates 2025'!$A:$A,0),MATCH(Z52,'[2]Flat Rates 2025'!$A$1:$DZ$1,0))*1.04</f>
        <v>22.047999999999998</v>
      </c>
      <c r="U52" s="138">
        <f>INDEX(Control!$E$17:$J$21,MATCH(Y52,Control!$E$17:$E$21,0),MATCH(V52,Control!$E$17:$J$17,0))</f>
        <v>0</v>
      </c>
      <c r="V52" s="138" t="s">
        <v>45</v>
      </c>
      <c r="W52" s="116">
        <f>INDEX(Vessel_Minimum_MT,MATCH(Y52,Control!$E$11:$E$15,0),MATCH(V52,Control!$E$11:$J$11,0))</f>
        <v>70000</v>
      </c>
      <c r="X52" s="140">
        <f>AB52/Control!$D$84</f>
        <v>86235.669336384439</v>
      </c>
      <c r="Y52" s="566" t="s">
        <v>23</v>
      </c>
      <c r="Z52" s="142" t="s">
        <v>39</v>
      </c>
      <c r="AA52" s="142" t="str">
        <f t="shared" si="88"/>
        <v>USGC/Nsea</v>
      </c>
      <c r="AB52" s="141">
        <f t="shared" ref="AB52:AB56" si="108">AB51</f>
        <v>670000</v>
      </c>
      <c r="AC52" s="567">
        <v>70</v>
      </c>
      <c r="AD52" s="568">
        <f t="shared" ref="AD52:AD56" si="109">$AD$50</f>
        <v>195</v>
      </c>
      <c r="AE52" s="149">
        <f>IF(AC52&gt;1000,IF(AD52=0,AC52,AD52)/AB52,((W52*T52*(IF(AD52=0,AC52,AD52)/100))+IF(X52&lt;W52,0,(X52-W52)*T52*IF(AD52=0,AC52,AD52)/100*U52))/AB52)</f>
        <v>4.4918686567164174</v>
      </c>
      <c r="AF52" s="141">
        <f t="shared" si="104"/>
        <v>0</v>
      </c>
      <c r="AG52" s="155">
        <f>INDEX(Control!$AS$36:$AY$118,MATCH('CLK1'!$Z52,Control!$AS$36:$AS$118,0),MATCH('CLK1'!AG$23,Control!$AS$36:$AY$36,0))</f>
        <v>-10</v>
      </c>
      <c r="AH52" s="155">
        <f>INDEX(Control!$AS$36:$AY$118,MATCH('CLK1'!$Z52,Control!$AS$36:$AS$118,0),MATCH('CLK1'!AH$23,Control!$AS$36:$AY$36,0))</f>
        <v>0</v>
      </c>
      <c r="AI52" s="143">
        <f>AF52*VLOOKUP($Y52,Control!$F$75:$H$87,3,FALSE)/$AB52</f>
        <v>0</v>
      </c>
      <c r="AJ52" s="144">
        <f>IF($AK$3=1,$AG52*Control!$D$77,0)</f>
        <v>0</v>
      </c>
      <c r="AK52" s="144">
        <f>IF($AK$4=1,$AH52*Control!$D$77,0)</f>
        <v>0</v>
      </c>
      <c r="AL52" s="143">
        <f>IF(((AB52-VLOOKUP(Y52,Control!$J$76:$K$80,2,FALSE))/Control!$D$85)&lt;=0,0,ROUNDUP(((AB52-VLOOKUP(Y52,Control!$J$76:$K$80,2,FALSE))/Control!$D$85),0)*Control!$H$90/AB52)</f>
        <v>0</v>
      </c>
      <c r="AM52" s="143">
        <f>IF(I52="Corpus Christi",Control!$D$76,0)</f>
        <v>0</v>
      </c>
      <c r="AN52" s="143">
        <v>0</v>
      </c>
      <c r="AO52" s="143">
        <f>Control!$D$78</f>
        <v>0</v>
      </c>
      <c r="AP52" s="143">
        <f>Control!$D$79</f>
        <v>6.7299999999999999E-2</v>
      </c>
      <c r="AQ52" s="143">
        <f>IF(INDEX(Control!$Q$3:$S$62,MATCH($Z52,Control!$Q$3:$Q$62,0),MATCH(AQ$8,Control!$Q$3:$S$3,0))=1,Control!$D$81*Control!$E$81,0)</f>
        <v>0</v>
      </c>
      <c r="AR52" s="143">
        <f>IF(INDEX(Control!$Q$3:$S$62,MATCH($Z52,Control!$Q$3:$Q$62,0),MATCH(AR$8,Control!$Q$3:$S$3,0))=1,INDEX(Control!$AK$3:$AO$69,MATCH('CLK1'!Z52,Control!$AK$3:$AK$29,0),MATCH('CLK1'!Y52,Control!$AK$3:$AO$3,0))/AB52*1000,0)</f>
        <v>0</v>
      </c>
      <c r="AS52" s="143" t="str">
        <f t="shared" si="105"/>
        <v/>
      </c>
      <c r="AT52" s="143"/>
      <c r="AU52" s="149">
        <f t="shared" ref="AU52" si="110">SUM(AI52:AT52)</f>
        <v>6.7299999999999999E-2</v>
      </c>
      <c r="AV52" s="149">
        <f t="shared" si="89"/>
        <v>4.5591686567164178</v>
      </c>
      <c r="AW52" s="149">
        <f t="shared" si="90"/>
        <v>2.9</v>
      </c>
      <c r="AX52" s="149">
        <f t="shared" si="91"/>
        <v>-3.98</v>
      </c>
      <c r="AY52" s="501">
        <f t="shared" si="92"/>
        <v>-17.520831343283582</v>
      </c>
      <c r="BB52" s="153">
        <f>+INDEX('[1]Transit Time'!$A:$DZ,MATCH(V52,'[1]Transit Time'!$A:$A,0),MATCH(Z52,'[1]Transit Time'!$A$1:$DZ$1,0))</f>
        <v>17</v>
      </c>
      <c r="BC52" s="163">
        <f t="shared" si="107"/>
        <v>46359</v>
      </c>
      <c r="BD52" s="163">
        <f t="shared" si="93"/>
        <v>46361</v>
      </c>
      <c r="BE52" s="163" t="s">
        <v>157</v>
      </c>
      <c r="BF52" s="490">
        <f t="shared" si="94"/>
        <v>46387</v>
      </c>
      <c r="BG52" s="490">
        <f t="shared" si="95"/>
        <v>46387</v>
      </c>
      <c r="BH52" s="735">
        <f t="shared" si="96"/>
        <v>3009551.9999999995</v>
      </c>
      <c r="BI52" s="735">
        <f t="shared" si="97"/>
        <v>0</v>
      </c>
      <c r="BJ52" s="735">
        <f t="shared" si="98"/>
        <v>45091</v>
      </c>
      <c r="BK52" s="735">
        <f t="shared" si="99"/>
        <v>0</v>
      </c>
      <c r="BL52" s="735"/>
      <c r="BM52" s="735"/>
      <c r="BN52" s="735">
        <f t="shared" si="100"/>
        <v>3054643</v>
      </c>
      <c r="BO52" s="769">
        <f t="shared" si="41"/>
        <v>3054643</v>
      </c>
      <c r="BS52"/>
      <c r="BT52"/>
    </row>
    <row r="53" spans="1:72" ht="18" customHeight="1" x14ac:dyDescent="0.35">
      <c r="A53" s="230">
        <f t="shared" si="101"/>
        <v>46341</v>
      </c>
      <c r="B53" s="230">
        <f t="shared" si="102"/>
        <v>46343</v>
      </c>
      <c r="D53" s="229">
        <f>IF(AL53=0,0,VLOOKUP(Y53,Control!$G$41:$J$44,4,FALSE))</f>
        <v>0</v>
      </c>
      <c r="E53" s="519">
        <f t="shared" si="87"/>
        <v>46342</v>
      </c>
      <c r="F53"/>
      <c r="G53"/>
      <c r="H53"/>
      <c r="I53"/>
      <c r="J53"/>
      <c r="K53"/>
      <c r="L53"/>
      <c r="M53"/>
      <c r="N53"/>
      <c r="O53"/>
      <c r="P53"/>
      <c r="Q53"/>
      <c r="T53" s="220">
        <f>INDEX('[2]Flat Rates 2025'!$A:$DZ,MATCH(V53,'[2]Flat Rates 2025'!$A:$A,0),MATCH(Z53,'[2]Flat Rates 2025'!$A$1:$DZ$1,0))*1.04</f>
        <v>26.416</v>
      </c>
      <c r="U53" s="220">
        <f>INDEX(Control!$E$17:$J$21,MATCH(Y53,Control!$E$17:$E$21,0),MATCH(V53,Control!$E$17:$J$17,0))</f>
        <v>0</v>
      </c>
      <c r="V53" s="220" t="s">
        <v>45</v>
      </c>
      <c r="W53" s="213">
        <f>INDEX(Vessel_Minimum_MT,MATCH(Y53,Control!$E$11:$E$15,0),MATCH(V53,Control!$E$11:$J$11,0))</f>
        <v>70000</v>
      </c>
      <c r="X53" s="222">
        <f>AB53/Control!$D$84</f>
        <v>86235.669336384439</v>
      </c>
      <c r="Y53" s="258" t="s">
        <v>23</v>
      </c>
      <c r="Z53" s="212" t="s">
        <v>82</v>
      </c>
      <c r="AA53" s="212" t="str">
        <f t="shared" si="88"/>
        <v>USGC/Nsea</v>
      </c>
      <c r="AB53" s="214">
        <f t="shared" si="108"/>
        <v>670000</v>
      </c>
      <c r="AC53" s="214">
        <v>70</v>
      </c>
      <c r="AD53" s="224">
        <f>$AD$50+10</f>
        <v>205</v>
      </c>
      <c r="AE53" s="225">
        <f t="shared" si="103"/>
        <v>5.6577552238805966</v>
      </c>
      <c r="AF53" s="214">
        <f t="shared" si="104"/>
        <v>0</v>
      </c>
      <c r="AG53" s="214">
        <f>INDEX(Control!$AS$36:$AY$118,MATCH('CLK1'!$Z53,Control!$AS$36:$AS$118,0),MATCH('CLK1'!AG$23,Control!$AS$36:$AY$36,0))</f>
        <v>-10</v>
      </c>
      <c r="AH53" s="214">
        <f>INDEX(Control!$AS$36:$AY$118,MATCH('CLK1'!$Z53,Control!$AS$36:$AS$118,0),MATCH('CLK1'!AH$23,Control!$AS$36:$AY$36,0))</f>
        <v>0</v>
      </c>
      <c r="AI53" s="227">
        <f>AF53*VLOOKUP($Y53,Control!$F$75:$H$87,3,FALSE)/$AB53</f>
        <v>0</v>
      </c>
      <c r="AJ53" s="226">
        <f>IF($AK$3=1,$AG53*Control!$D$77,0)</f>
        <v>0</v>
      </c>
      <c r="AK53" s="226">
        <f>IF($AK$4=1,$AH53*Control!$D$77,0)</f>
        <v>0</v>
      </c>
      <c r="AL53" s="227">
        <f>IF(((AB53-VLOOKUP(Y53,Control!$J$76:$K$80,2,FALSE))/Control!$D$85)&lt;=0,0,ROUNDUP(((AB53-VLOOKUP(Y53,Control!$J$76:$K$80,2,FALSE))/Control!$D$85),0)*Control!$H$90/AB53)</f>
        <v>0</v>
      </c>
      <c r="AM53" s="227">
        <f>IF(I53="Corpus Christi",Control!$D$76,0)</f>
        <v>0</v>
      </c>
      <c r="AN53" s="227">
        <v>0</v>
      </c>
      <c r="AO53" s="227">
        <f>Control!$D$78</f>
        <v>0</v>
      </c>
      <c r="AP53" s="227">
        <f>Control!$D$79</f>
        <v>6.7299999999999999E-2</v>
      </c>
      <c r="AQ53" s="227">
        <f>IF(INDEX(Control!$Q$3:$S$62,MATCH($Z53,Control!$Q$3:$Q$62,0),MATCH(AQ$8,Control!$Q$3:$S$3,0))=1,Control!$D$81*Control!$E$81,0)</f>
        <v>0.2</v>
      </c>
      <c r="AR53" s="227">
        <f>IF(INDEX(Control!$Q$3:$S$62,MATCH($Z53,Control!$Q$3:$Q$62,0),MATCH(AR$8,Control!$Q$3:$S$3,0))=1,INDEX(Control!$AK$3:$AO$69,MATCH('CLK1'!Z53,Control!$AK$3:$AK$29,0),MATCH('CLK1'!Y53,Control!$AK$3:$AO$3,0))/AB53*1000,0)</f>
        <v>0</v>
      </c>
      <c r="AS53" s="227" t="str">
        <f t="shared" si="105"/>
        <v/>
      </c>
      <c r="AT53" s="227"/>
      <c r="AU53" s="225">
        <f t="shared" ref="AU53" si="111">SUM(AI53:AT53)</f>
        <v>0.26729999999999998</v>
      </c>
      <c r="AV53" s="225">
        <f t="shared" si="89"/>
        <v>5.9250552238805962</v>
      </c>
      <c r="AW53" s="225">
        <f t="shared" si="90"/>
        <v>2.9</v>
      </c>
      <c r="AX53" s="225">
        <f t="shared" si="91"/>
        <v>-3.98</v>
      </c>
      <c r="AY53" s="498">
        <f t="shared" si="92"/>
        <v>-16.154944776119404</v>
      </c>
      <c r="BA53" s="220"/>
      <c r="BB53" s="229">
        <f>+INDEX('[1]Transit Time'!$A:$DZ,MATCH(V53,'[1]Transit Time'!$A:$A,0),MATCH(Z53,'[1]Transit Time'!$A$1:$DZ$1,0))</f>
        <v>19</v>
      </c>
      <c r="BC53" s="230">
        <f t="shared" si="107"/>
        <v>46361</v>
      </c>
      <c r="BD53" s="230">
        <f t="shared" si="93"/>
        <v>46363</v>
      </c>
      <c r="BE53" s="230" t="s">
        <v>157</v>
      </c>
      <c r="BF53" s="489">
        <f t="shared" si="94"/>
        <v>46387</v>
      </c>
      <c r="BG53" s="489">
        <f t="shared" si="95"/>
        <v>46387</v>
      </c>
      <c r="BH53" s="735">
        <f t="shared" si="96"/>
        <v>3790695.9999999995</v>
      </c>
      <c r="BI53" s="735">
        <f t="shared" si="97"/>
        <v>0</v>
      </c>
      <c r="BJ53" s="735">
        <f t="shared" si="98"/>
        <v>179091</v>
      </c>
      <c r="BK53" s="735">
        <f t="shared" si="99"/>
        <v>0</v>
      </c>
      <c r="BL53" s="735"/>
      <c r="BM53" s="735"/>
      <c r="BN53" s="735">
        <f t="shared" si="100"/>
        <v>3969786.9999999995</v>
      </c>
      <c r="BO53" s="769">
        <f t="shared" si="41"/>
        <v>3969786.9999999995</v>
      </c>
      <c r="BS53"/>
      <c r="BT53"/>
    </row>
    <row r="54" spans="1:72" ht="18" customHeight="1" x14ac:dyDescent="0.35">
      <c r="A54" s="163">
        <f t="shared" si="101"/>
        <v>46341</v>
      </c>
      <c r="B54" s="163">
        <f t="shared" si="102"/>
        <v>46343</v>
      </c>
      <c r="D54" s="153">
        <f>IF(AL54=0,0,VLOOKUP(Y54,Control!$G$41:$J$44,4,FALSE))</f>
        <v>0</v>
      </c>
      <c r="E54" s="518">
        <f t="shared" si="87"/>
        <v>46342</v>
      </c>
      <c r="F54"/>
      <c r="G54"/>
      <c r="H54"/>
      <c r="I54"/>
      <c r="J54"/>
      <c r="K54"/>
      <c r="L54"/>
      <c r="M54"/>
      <c r="N54"/>
      <c r="O54"/>
      <c r="P54"/>
      <c r="Q54"/>
      <c r="T54" s="191">
        <f>INDEX('[2]Flat Rates 2025'!$A:$DZ,MATCH(V54,'[2]Flat Rates 2025'!$A:$A,0),MATCH(Z54,'[2]Flat Rates 2025'!$A$1:$DZ$1,0))*1.04</f>
        <v>24.866400000000002</v>
      </c>
      <c r="U54" s="138">
        <f>INDEX(Control!$E$17:$J$21,MATCH(Y54,Control!$E$17:$E$21,0),MATCH(V54,Control!$E$17:$J$17,0))</f>
        <v>0</v>
      </c>
      <c r="V54" s="138" t="s">
        <v>45</v>
      </c>
      <c r="W54" s="116">
        <f>INDEX(Vessel_Minimum_MT,MATCH(Y54,Control!$E$11:$E$15,0),MATCH(V54,Control!$E$11:$J$11,0))</f>
        <v>70000</v>
      </c>
      <c r="X54" s="140">
        <f>AB54/Control!$D$84</f>
        <v>86235.669336384439</v>
      </c>
      <c r="Y54" s="147" t="s">
        <v>23</v>
      </c>
      <c r="Z54" s="142" t="s">
        <v>29</v>
      </c>
      <c r="AA54" s="142" t="str">
        <f t="shared" si="88"/>
        <v>USGC/Med</v>
      </c>
      <c r="AB54" s="141">
        <f t="shared" si="108"/>
        <v>670000</v>
      </c>
      <c r="AC54" s="141">
        <v>70</v>
      </c>
      <c r="AD54" s="49">
        <f t="shared" si="109"/>
        <v>195</v>
      </c>
      <c r="AE54" s="149">
        <f t="shared" si="103"/>
        <v>5.0660650746268665</v>
      </c>
      <c r="AF54" s="15">
        <f t="shared" si="104"/>
        <v>0</v>
      </c>
      <c r="AG54" s="155">
        <f>INDEX(Control!$AS$36:$AY$118,MATCH('CLK1'!$Z54,Control!$AS$36:$AS$118,0),MATCH('CLK1'!AG$23,Control!$AS$36:$AY$36,0))</f>
        <v>-10</v>
      </c>
      <c r="AH54" s="155">
        <f>INDEX(Control!$AS$36:$AY$118,MATCH('CLK1'!$Z54,Control!$AS$36:$AS$118,0),MATCH('CLK1'!AH$23,Control!$AS$36:$AY$36,0))</f>
        <v>0</v>
      </c>
      <c r="AI54" s="143">
        <f>AF54*VLOOKUP($Y54,Control!$F$75:$H$87,3,FALSE)/$AB54</f>
        <v>0</v>
      </c>
      <c r="AJ54" s="144">
        <f>IF($AK$3=1,$AG54*Control!$D$77,0)</f>
        <v>0</v>
      </c>
      <c r="AK54" s="144">
        <f>IF($AK$4=1,$AH54*Control!$D$77,0)</f>
        <v>0</v>
      </c>
      <c r="AL54" s="143">
        <f>IF(((AB54-VLOOKUP(Y54,Control!$J$76:$K$80,2,FALSE))/Control!$D$85)&lt;=0,0,ROUNDUP(((AB54-VLOOKUP(Y54,Control!$J$76:$K$80,2,FALSE))/Control!$D$85),0)*Control!$H$90/AB54)</f>
        <v>0</v>
      </c>
      <c r="AM54" s="143">
        <f>IF(I54="Corpus Christi",Control!$D$76,0)</f>
        <v>0</v>
      </c>
      <c r="AN54" s="143">
        <v>0</v>
      </c>
      <c r="AO54" s="143">
        <f>Control!$D$78</f>
        <v>0</v>
      </c>
      <c r="AP54" s="143">
        <f>Control!$D$79</f>
        <v>6.7299999999999999E-2</v>
      </c>
      <c r="AQ54" s="143">
        <f>IF(INDEX(Control!$Q$3:$S$62,MATCH($Z54,Control!$Q$3:$Q$62,0),MATCH(AQ$8,Control!$Q$3:$S$3,0))=1,Control!$D$81*Control!$E$81,0)</f>
        <v>0</v>
      </c>
      <c r="AR54" s="143">
        <f>IF(INDEX(Control!$Q$3:$S$62,MATCH($Z54,Control!$Q$3:$Q$62,0),MATCH(AR$8,Control!$Q$3:$S$3,0))=1,INDEX(Control!$AK$3:$AO$69,MATCH('CLK1'!Z54,Control!$AK$3:$AK$29,0),MATCH('CLK1'!Y54,Control!$AK$3:$AO$3,0))/AB54*1000,0)</f>
        <v>0</v>
      </c>
      <c r="AS54" s="143" t="str">
        <f t="shared" si="105"/>
        <v/>
      </c>
      <c r="AT54" s="143"/>
      <c r="AU54" s="149">
        <f t="shared" ref="AU54:AU55" si="112">SUM(AI54:AT54)</f>
        <v>6.7299999999999999E-2</v>
      </c>
      <c r="AV54" s="149">
        <f t="shared" si="89"/>
        <v>5.1333650746268669</v>
      </c>
      <c r="AW54" s="149">
        <f t="shared" si="90"/>
        <v>2.9</v>
      </c>
      <c r="AX54" s="149">
        <f t="shared" si="91"/>
        <v>-3.98</v>
      </c>
      <c r="AY54" s="501">
        <f t="shared" si="92"/>
        <v>-16.946634925373132</v>
      </c>
      <c r="BB54" s="153">
        <f>+INDEX('[1]Transit Time'!$A:$DZ,MATCH(V54,'[1]Transit Time'!$A:$A,0),MATCH(Z54,'[1]Transit Time'!$A$1:$DZ$1,0))</f>
        <v>19.5</v>
      </c>
      <c r="BC54" s="163">
        <f t="shared" si="107"/>
        <v>46361.5</v>
      </c>
      <c r="BD54" s="163">
        <f t="shared" si="93"/>
        <v>46363.5</v>
      </c>
      <c r="BE54" s="163" t="s">
        <v>157</v>
      </c>
      <c r="BF54" s="490">
        <f t="shared" si="94"/>
        <v>46387</v>
      </c>
      <c r="BG54" s="490">
        <f t="shared" si="95"/>
        <v>46387</v>
      </c>
      <c r="BH54" s="735">
        <f t="shared" si="96"/>
        <v>3394263.6000000006</v>
      </c>
      <c r="BI54" s="735">
        <f t="shared" si="97"/>
        <v>0</v>
      </c>
      <c r="BJ54" s="735">
        <f t="shared" si="98"/>
        <v>45091</v>
      </c>
      <c r="BK54" s="735">
        <f t="shared" si="99"/>
        <v>0</v>
      </c>
      <c r="BL54" s="735"/>
      <c r="BM54" s="735"/>
      <c r="BN54" s="735">
        <f t="shared" si="100"/>
        <v>3439354.600000001</v>
      </c>
      <c r="BO54" s="769">
        <f t="shared" si="41"/>
        <v>3439354.600000001</v>
      </c>
      <c r="BS54"/>
      <c r="BT54"/>
    </row>
    <row r="55" spans="1:72" ht="18" customHeight="1" x14ac:dyDescent="0.35">
      <c r="A55" s="230">
        <f t="shared" si="101"/>
        <v>46341</v>
      </c>
      <c r="B55" s="230">
        <f t="shared" si="102"/>
        <v>46343</v>
      </c>
      <c r="D55" s="229">
        <f>IF(AL55=0,0,VLOOKUP(Y55,Control!$G$41:$J$44,4,FALSE))</f>
        <v>0</v>
      </c>
      <c r="E55" s="519">
        <f t="shared" si="87"/>
        <v>46342</v>
      </c>
      <c r="F55"/>
      <c r="G55"/>
      <c r="H55"/>
      <c r="I55"/>
      <c r="J55"/>
      <c r="K55"/>
      <c r="L55"/>
      <c r="M55"/>
      <c r="N55"/>
      <c r="O55"/>
      <c r="P55"/>
      <c r="Q55"/>
      <c r="T55" s="220">
        <f>INDEX('[2]Flat Rates 2025'!$A:$DZ,MATCH(V55,'[2]Flat Rates 2025'!$A:$A,0),MATCH(Z55,'[2]Flat Rates 2025'!$A$1:$DZ$1,0))*1.04</f>
        <v>26.629200000000001</v>
      </c>
      <c r="U55" s="220">
        <f>INDEX(Control!$E$17:$J$21,MATCH(Y55,Control!$E$17:$E$21,0),MATCH(V55,Control!$E$17:$J$17,0))</f>
        <v>0</v>
      </c>
      <c r="V55" s="220" t="s">
        <v>45</v>
      </c>
      <c r="W55" s="213">
        <f>INDEX(Vessel_Minimum_MT,MATCH(Y55,Control!$E$11:$E$15,0),MATCH(V55,Control!$E$11:$J$11,0))</f>
        <v>70000</v>
      </c>
      <c r="X55" s="222">
        <f>AB55/Control!$D$84</f>
        <v>86235.669336384439</v>
      </c>
      <c r="Y55" s="215" t="s">
        <v>23</v>
      </c>
      <c r="Z55" s="212" t="s">
        <v>83</v>
      </c>
      <c r="AA55" s="212" t="str">
        <f t="shared" si="88"/>
        <v>USGC/Med</v>
      </c>
      <c r="AB55" s="214">
        <f t="shared" si="108"/>
        <v>670000</v>
      </c>
      <c r="AC55" s="214"/>
      <c r="AD55" s="224">
        <f t="shared" si="109"/>
        <v>195</v>
      </c>
      <c r="AE55" s="225">
        <f t="shared" si="103"/>
        <v>5.4252026865671636</v>
      </c>
      <c r="AF55" s="304">
        <f t="shared" si="104"/>
        <v>0</v>
      </c>
      <c r="AG55" s="214">
        <f>INDEX(Control!$AS$36:$AY$118,MATCH('CLK1'!$Z55,Control!$AS$36:$AS$118,0),MATCH('CLK1'!AG$23,Control!$AS$36:$AY$36,0))</f>
        <v>-10</v>
      </c>
      <c r="AH55" s="214">
        <f>INDEX(Control!$AS$36:$AY$118,MATCH('CLK1'!$Z55,Control!$AS$36:$AS$118,0),MATCH('CLK1'!AH$23,Control!$AS$36:$AY$36,0))</f>
        <v>0</v>
      </c>
      <c r="AI55" s="227">
        <f>AF55*VLOOKUP($Y55,Control!$F$75:$H$87,3,FALSE)/$AB55</f>
        <v>0</v>
      </c>
      <c r="AJ55" s="226">
        <f>IF($AK$3=1,$AG55*Control!$D$77,0)</f>
        <v>0</v>
      </c>
      <c r="AK55" s="226">
        <f>IF($AK$4=1,$AH55*Control!$D$77,0)</f>
        <v>0</v>
      </c>
      <c r="AL55" s="227">
        <f>IF(((AB55-VLOOKUP(Y55,Control!$J$76:$K$80,2,FALSE))/Control!$D$85)&lt;=0,0,ROUNDUP(((AB55-VLOOKUP(Y55,Control!$J$76:$K$80,2,FALSE))/Control!$D$85),0)*Control!$H$90/AB55)</f>
        <v>0</v>
      </c>
      <c r="AM55" s="227">
        <f>IF(I55="Corpus Christi",Control!$D$76,0)</f>
        <v>0</v>
      </c>
      <c r="AN55" s="227">
        <v>0</v>
      </c>
      <c r="AO55" s="227">
        <f>Control!$D$78</f>
        <v>0</v>
      </c>
      <c r="AP55" s="227">
        <f>Control!$D$79</f>
        <v>6.7299999999999999E-2</v>
      </c>
      <c r="AQ55" s="227">
        <f>IF(INDEX(Control!$Q$3:$S$62,MATCH($Z55,Control!$Q$3:$Q$62,0),MATCH(AQ$8,Control!$Q$3:$S$3,0))=1,Control!$D$81*Control!$E$81,0)</f>
        <v>0</v>
      </c>
      <c r="AR55" s="227">
        <f>IF(INDEX(Control!$Q$3:$S$62,MATCH($Z55,Control!$Q$3:$Q$62,0),MATCH(AR$8,Control!$Q$3:$S$3,0))=1,INDEX(Control!$AK$3:$AO$69,MATCH('CLK1'!Z55,Control!$AK$3:$AK$29,0),MATCH('CLK1'!Y55,Control!$AK$3:$AO$3,0))/AB55*1000,0)</f>
        <v>0</v>
      </c>
      <c r="AS55" s="227" t="str">
        <f t="shared" si="105"/>
        <v/>
      </c>
      <c r="AT55" s="227"/>
      <c r="AU55" s="225">
        <f t="shared" si="112"/>
        <v>6.7299999999999999E-2</v>
      </c>
      <c r="AV55" s="225">
        <f t="shared" si="89"/>
        <v>5.492502686567164</v>
      </c>
      <c r="AW55" s="225">
        <f t="shared" si="90"/>
        <v>2.9</v>
      </c>
      <c r="AX55" s="225">
        <f t="shared" si="91"/>
        <v>-3.98</v>
      </c>
      <c r="AY55" s="498">
        <f t="shared" si="92"/>
        <v>-16.587497313432834</v>
      </c>
      <c r="BA55" s="220"/>
      <c r="BB55" s="229">
        <f>+INDEX('[1]Transit Time'!$A:$DZ,MATCH(V55,'[1]Transit Time'!$A:$A,0),MATCH(Z55,'[1]Transit Time'!$A$1:$DZ$1,0))</f>
        <v>22</v>
      </c>
      <c r="BC55" s="230">
        <f t="shared" si="107"/>
        <v>46364</v>
      </c>
      <c r="BD55" s="230">
        <f t="shared" si="93"/>
        <v>46366</v>
      </c>
      <c r="BE55" s="230" t="s">
        <v>157</v>
      </c>
      <c r="BF55" s="489">
        <f t="shared" si="94"/>
        <v>46387</v>
      </c>
      <c r="BG55" s="489">
        <f t="shared" si="95"/>
        <v>46387</v>
      </c>
      <c r="BH55" s="735">
        <f t="shared" si="96"/>
        <v>3634885.8</v>
      </c>
      <c r="BI55" s="735">
        <f t="shared" si="97"/>
        <v>0</v>
      </c>
      <c r="BJ55" s="735">
        <f t="shared" si="98"/>
        <v>45091</v>
      </c>
      <c r="BK55" s="735">
        <f t="shared" si="99"/>
        <v>0</v>
      </c>
      <c r="BL55" s="735"/>
      <c r="BM55" s="735"/>
      <c r="BN55" s="735">
        <f t="shared" si="100"/>
        <v>3679976.8</v>
      </c>
      <c r="BO55" s="769">
        <f t="shared" si="41"/>
        <v>3679976.8</v>
      </c>
      <c r="BS55"/>
      <c r="BT55"/>
    </row>
    <row r="56" spans="1:72" ht="18" customHeight="1" x14ac:dyDescent="0.35">
      <c r="A56" s="163">
        <f t="shared" si="101"/>
        <v>46341</v>
      </c>
      <c r="B56" s="163">
        <f t="shared" si="102"/>
        <v>46343</v>
      </c>
      <c r="D56" s="153">
        <f>IF(AL56=0,0,VLOOKUP(Y56,Control!$G$41:$J$44,4,FALSE))</f>
        <v>0</v>
      </c>
      <c r="E56" s="518">
        <f t="shared" si="87"/>
        <v>46342</v>
      </c>
      <c r="F56"/>
      <c r="G56"/>
      <c r="H56"/>
      <c r="I56"/>
      <c r="J56"/>
      <c r="K56"/>
      <c r="L56"/>
      <c r="M56"/>
      <c r="N56"/>
      <c r="O56"/>
      <c r="P56"/>
      <c r="Q56"/>
      <c r="T56" s="191">
        <f>INDEX('[2]Flat Rates 2025'!$A:$DZ,MATCH(V56,'[2]Flat Rates 2025'!$A:$A,0),MATCH(Z56,'[2]Flat Rates 2025'!$A$1:$DZ$1,0))*1.04</f>
        <v>20.601360000000003</v>
      </c>
      <c r="U56" s="138">
        <f>INDEX(Control!$E$17:$J$21,MATCH(Y56,Control!$E$17:$E$21,0),MATCH(V56,Control!$E$17:$J$17,0))</f>
        <v>0</v>
      </c>
      <c r="V56" s="138" t="s">
        <v>45</v>
      </c>
      <c r="W56" s="116">
        <f>INDEX(Vessel_Minimum_MT,MATCH(Y56,Control!$E$11:$E$15,0),MATCH(V56,Control!$E$11:$J$11,0))</f>
        <v>70000</v>
      </c>
      <c r="X56" s="140">
        <f>AB56/Control!$D$84</f>
        <v>86235.669336384439</v>
      </c>
      <c r="Y56" s="147" t="s">
        <v>23</v>
      </c>
      <c r="Z56" s="142" t="s">
        <v>88</v>
      </c>
      <c r="AA56" s="142" t="str">
        <f>$AA$55</f>
        <v>USGC/Med</v>
      </c>
      <c r="AB56" s="141">
        <f t="shared" si="108"/>
        <v>670000</v>
      </c>
      <c r="AC56" s="141">
        <v>70</v>
      </c>
      <c r="AD56" s="49">
        <f t="shared" si="109"/>
        <v>195</v>
      </c>
      <c r="AE56" s="149">
        <f t="shared" si="103"/>
        <v>4.197142746268657</v>
      </c>
      <c r="AF56" s="15">
        <f t="shared" si="104"/>
        <v>0</v>
      </c>
      <c r="AG56" s="155">
        <f>INDEX(Control!$AS$36:$AY$118,MATCH('CLK1'!$Z56,Control!$AS$36:$AS$118,0),MATCH('CLK1'!AG$23,Control!$AS$36:$AY$36,0))</f>
        <v>-10</v>
      </c>
      <c r="AH56" s="155">
        <f>INDEX(Control!$AS$36:$AY$118,MATCH('CLK1'!$Z56,Control!$AS$36:$AS$118,0),MATCH('CLK1'!AH$23,Control!$AS$36:$AY$36,0))</f>
        <v>0</v>
      </c>
      <c r="AI56" s="143">
        <f>AF56*VLOOKUP($Y56,Control!$F$75:$H$87,3,FALSE)/$AB56</f>
        <v>0</v>
      </c>
      <c r="AJ56" s="144">
        <f>IF($AK$3=1,$AG56*Control!$D$77,0)</f>
        <v>0</v>
      </c>
      <c r="AK56" s="144">
        <f>IF($AK$4=1,$AH56*Control!$D$77,0)</f>
        <v>0</v>
      </c>
      <c r="AL56" s="143">
        <f>IF(((AB56-VLOOKUP(Y56,Control!$J$76:$K$80,2,FALSE))/Control!$D$85)&lt;=0,0,ROUNDUP(((AB56-VLOOKUP(Y56,Control!$J$76:$K$80,2,FALSE))/Control!$D$85),0)*Control!$H$90/AB56)</f>
        <v>0</v>
      </c>
      <c r="AM56" s="143">
        <f>IF(I56="Corpus Christi",Control!$D$76,0)</f>
        <v>0</v>
      </c>
      <c r="AN56" s="143">
        <v>0</v>
      </c>
      <c r="AO56" s="143">
        <f>Control!$D$78</f>
        <v>0</v>
      </c>
      <c r="AP56" s="143">
        <f>Control!$D$79</f>
        <v>6.7299999999999999E-2</v>
      </c>
      <c r="AQ56" s="143">
        <f>IF(INDEX(Control!$Q$3:$S$62,MATCH($Z56,Control!$Q$3:$Q$62,0),MATCH(AQ$8,Control!$Q$3:$S$3,0))=1,Control!$D$81*Control!$E$81,0)</f>
        <v>0</v>
      </c>
      <c r="AR56" s="143">
        <v>0</v>
      </c>
      <c r="AS56" s="143" t="str">
        <f t="shared" si="105"/>
        <v/>
      </c>
      <c r="AT56" s="143"/>
      <c r="AU56" s="149">
        <f t="shared" ref="AU56:AU57" si="113">SUM(AI56:AT56)</f>
        <v>6.7299999999999999E-2</v>
      </c>
      <c r="AV56" s="149">
        <f t="shared" si="89"/>
        <v>4.2644427462686574</v>
      </c>
      <c r="AW56" s="149">
        <f t="shared" si="90"/>
        <v>2.9</v>
      </c>
      <c r="AX56" s="149">
        <f t="shared" si="91"/>
        <v>-3.98</v>
      </c>
      <c r="AY56" s="590">
        <f t="shared" si="92"/>
        <v>-17.815557253731342</v>
      </c>
      <c r="BB56" s="153">
        <f>$BB$50</f>
        <v>17</v>
      </c>
      <c r="BC56" s="163">
        <f t="shared" si="107"/>
        <v>46359</v>
      </c>
      <c r="BD56" s="163">
        <f t="shared" si="93"/>
        <v>46361</v>
      </c>
      <c r="BE56" s="163" t="s">
        <v>157</v>
      </c>
      <c r="BF56" s="490">
        <f t="shared" si="94"/>
        <v>46387</v>
      </c>
      <c r="BG56" s="490">
        <f t="shared" si="95"/>
        <v>46387</v>
      </c>
      <c r="BH56" s="735">
        <f t="shared" si="96"/>
        <v>2812085.64</v>
      </c>
      <c r="BI56" s="735">
        <f t="shared" si="97"/>
        <v>0</v>
      </c>
      <c r="BJ56" s="735">
        <f t="shared" si="98"/>
        <v>45091</v>
      </c>
      <c r="BK56" s="735">
        <f t="shared" si="99"/>
        <v>0</v>
      </c>
      <c r="BL56" s="735"/>
      <c r="BM56" s="735"/>
      <c r="BN56" s="735">
        <f t="shared" si="100"/>
        <v>2857176.6400000006</v>
      </c>
      <c r="BO56" s="769">
        <f t="shared" si="41"/>
        <v>2857176.6400000006</v>
      </c>
      <c r="BS56"/>
      <c r="BT56"/>
    </row>
    <row r="57" spans="1:72" ht="18" customHeight="1" thickBot="1" x14ac:dyDescent="0.4">
      <c r="A57" s="230">
        <f t="shared" si="101"/>
        <v>46341</v>
      </c>
      <c r="B57" s="230">
        <f t="shared" si="102"/>
        <v>46343</v>
      </c>
      <c r="D57" s="229">
        <f>IF(AL57=0,0,VLOOKUP(Y57,Control!$G$41:$J$44,4,FALSE))</f>
        <v>0</v>
      </c>
      <c r="E57" s="519">
        <f t="shared" si="87"/>
        <v>46342</v>
      </c>
      <c r="F57"/>
      <c r="G57"/>
      <c r="H57"/>
      <c r="I57"/>
      <c r="J57"/>
      <c r="K57"/>
      <c r="L57"/>
      <c r="M57"/>
      <c r="N57"/>
      <c r="O57"/>
      <c r="P57"/>
      <c r="Q57"/>
      <c r="T57" s="220">
        <f>INDEX('[2]Flat Rates 2025'!$A:$DZ,MATCH(V57,'[2]Flat Rates 2025'!$A:$A,0),MATCH(Z57,'[2]Flat Rates 2025'!$A$1:$DZ$1,0))*1.04</f>
        <v>25.199200000000001</v>
      </c>
      <c r="U57" s="220">
        <f>INDEX(Control!$E$17:$J$21,MATCH(Y57,Control!$E$17:$E$21,0),MATCH(V57,Control!$E$17:$J$17,0))</f>
        <v>0</v>
      </c>
      <c r="V57" s="220" t="s">
        <v>45</v>
      </c>
      <c r="W57" s="213">
        <f>INDEX(Vessel_Minimum_MT,MATCH(Y57,Control!$E$11:$E$15,0),MATCH(V57,Control!$E$11:$J$11,0))</f>
        <v>70000</v>
      </c>
      <c r="X57" s="222">
        <f>AB57/Control!$D$84</f>
        <v>86235.669336384439</v>
      </c>
      <c r="Y57" s="215" t="s">
        <v>23</v>
      </c>
      <c r="Z57" s="212" t="s">
        <v>96</v>
      </c>
      <c r="AA57" s="212" t="str">
        <f t="shared" ref="AA57:AA62" si="114">IF(Z57=V57,"",CONCATENATE(CONCATENATE(VLOOKUP(V57,Zones,2,FALSE),"/",VLOOKUP(Z57,Zones,2,FALSE))))</f>
        <v>USGC/Nsea</v>
      </c>
      <c r="AB57" s="214">
        <f>AB50</f>
        <v>670000</v>
      </c>
      <c r="AC57" s="214"/>
      <c r="AD57" s="264">
        <f>$AD$50+5</f>
        <v>200</v>
      </c>
      <c r="AE57" s="225">
        <f t="shared" si="103"/>
        <v>5.2655044776119402</v>
      </c>
      <c r="AF57" s="304">
        <v>0</v>
      </c>
      <c r="AG57" s="214">
        <f>INDEX(Control!$AS$36:$AY$118,MATCH('CLK1'!$Z57,Control!$AS$36:$AS$118,0),MATCH('CLK1'!AG$23,Control!$AS$36:$AY$36,0))</f>
        <v>-10</v>
      </c>
      <c r="AH57" s="214">
        <f>INDEX(Control!$AS$36:$AY$118,MATCH('CLK1'!$Z57,Control!$AS$36:$AS$118,0),MATCH('CLK1'!AH$23,Control!$AS$36:$AY$36,0))</f>
        <v>0</v>
      </c>
      <c r="AI57" s="227">
        <f>AF57*VLOOKUP($Y57,Control!$F$75:$H$87,3,FALSE)/$AB57</f>
        <v>0</v>
      </c>
      <c r="AJ57" s="226">
        <f>IF($AK$3=1,$AG57*Control!$D$77,0)</f>
        <v>0</v>
      </c>
      <c r="AK57" s="226">
        <f>IF($AK$4=1,$AH57*Control!$D$77,0)</f>
        <v>0</v>
      </c>
      <c r="AL57" s="227">
        <f>IF(((AB57-VLOOKUP(Y57,Control!$J$76:$K$80,2,FALSE))/Control!$D$85)&lt;=0,0,ROUNDUP(((AB57-VLOOKUP(Y57,Control!$J$76:$K$80,2,FALSE))/Control!$D$85),0)*Control!$H$90/AB57)</f>
        <v>0</v>
      </c>
      <c r="AM57" s="227">
        <f>IF(I57="Corpus Christi",Control!$D$76,0)</f>
        <v>0</v>
      </c>
      <c r="AN57" s="227">
        <v>0</v>
      </c>
      <c r="AO57" s="227">
        <f>Control!$D$78</f>
        <v>0</v>
      </c>
      <c r="AP57" s="227">
        <f>Control!$D$79</f>
        <v>6.7299999999999999E-2</v>
      </c>
      <c r="AQ57" s="227">
        <f>IF(INDEX(Control!$Q$3:$S$62,MATCH($Z57,Control!$Q$3:$Q$62,0),MATCH(AQ$8,Control!$Q$3:$S$3,0))=1,Control!$D$81*Control!$E$81,0)</f>
        <v>0</v>
      </c>
      <c r="AR57" s="227">
        <v>0</v>
      </c>
      <c r="AS57" s="227" t="str">
        <f t="shared" si="105"/>
        <v/>
      </c>
      <c r="AT57" s="227"/>
      <c r="AU57" s="225">
        <f t="shared" si="113"/>
        <v>6.7299999999999999E-2</v>
      </c>
      <c r="AV57" s="225">
        <f t="shared" si="89"/>
        <v>5.3328044776119405</v>
      </c>
      <c r="AW57" s="225">
        <f t="shared" si="90"/>
        <v>2.9</v>
      </c>
      <c r="AX57" s="225">
        <f t="shared" si="91"/>
        <v>-3.98</v>
      </c>
      <c r="AY57" s="497">
        <f t="shared" si="92"/>
        <v>-16.747195522388058</v>
      </c>
      <c r="BA57" s="220"/>
      <c r="BB57" s="229">
        <f>+INDEX('[1]Transit Time'!$A:$DZ,MATCH(V57,'[1]Transit Time'!$A:$A,0),MATCH(Z57,'[1]Transit Time'!$A$1:$DZ$1,0))+3</f>
        <v>20</v>
      </c>
      <c r="BC57" s="230">
        <f t="shared" si="107"/>
        <v>46362</v>
      </c>
      <c r="BD57" s="230">
        <f t="shared" si="93"/>
        <v>46364</v>
      </c>
      <c r="BE57" s="230" t="s">
        <v>157</v>
      </c>
      <c r="BF57" s="489">
        <f t="shared" si="94"/>
        <v>46387</v>
      </c>
      <c r="BG57" s="489">
        <f t="shared" si="95"/>
        <v>46387</v>
      </c>
      <c r="BH57" s="735">
        <f t="shared" si="96"/>
        <v>3527888</v>
      </c>
      <c r="BI57" s="735">
        <f t="shared" si="97"/>
        <v>0</v>
      </c>
      <c r="BJ57" s="735">
        <f t="shared" si="98"/>
        <v>45091</v>
      </c>
      <c r="BK57" s="735">
        <f t="shared" si="99"/>
        <v>0</v>
      </c>
      <c r="BL57" s="735"/>
      <c r="BM57" s="735"/>
      <c r="BN57" s="735">
        <f t="shared" si="100"/>
        <v>3572979</v>
      </c>
      <c r="BO57" s="769">
        <f t="shared" si="41"/>
        <v>3572979</v>
      </c>
      <c r="BS57"/>
      <c r="BT57"/>
    </row>
    <row r="58" spans="1:72" ht="18" customHeight="1" thickBot="1" x14ac:dyDescent="0.4">
      <c r="A58" s="163">
        <f t="shared" si="101"/>
        <v>46341</v>
      </c>
      <c r="B58" s="163">
        <f t="shared" si="102"/>
        <v>46343</v>
      </c>
      <c r="D58" s="153">
        <f>IF(AL58=0,0,VLOOKUP(Y58,Control!$G$41:$J$44,4,FALSE))</f>
        <v>0</v>
      </c>
      <c r="E58" s="518">
        <f t="shared" si="87"/>
        <v>46342</v>
      </c>
      <c r="F58"/>
      <c r="G58"/>
      <c r="H58"/>
      <c r="I58"/>
      <c r="J58"/>
      <c r="K58"/>
      <c r="L58"/>
      <c r="M58"/>
      <c r="N58"/>
      <c r="O58"/>
      <c r="P58"/>
      <c r="Q58"/>
      <c r="T58" s="191">
        <f>INDEX('[2]Flat Rates 2025'!$A:$DZ,MATCH(V58,'[2]Flat Rates 2025'!$A:$A,0),MATCH(Z58,'[2]Flat Rates 2025'!$A$1:$DZ$1,0))*1.04</f>
        <v>21.860800000000001</v>
      </c>
      <c r="U58" s="138">
        <v>0</v>
      </c>
      <c r="V58" s="138" t="s">
        <v>45</v>
      </c>
      <c r="W58" s="641">
        <v>145000</v>
      </c>
      <c r="X58" s="140">
        <f>AB58/Control!$D$84</f>
        <v>128709.9542334096</v>
      </c>
      <c r="Y58" s="147" t="s">
        <v>28</v>
      </c>
      <c r="Z58" s="142" t="s">
        <v>42</v>
      </c>
      <c r="AA58" s="142" t="str">
        <f t="shared" si="114"/>
        <v>USGC/Nsea</v>
      </c>
      <c r="AB58" s="141">
        <v>1000000</v>
      </c>
      <c r="AC58" s="141">
        <v>70</v>
      </c>
      <c r="AD58" s="263">
        <v>80</v>
      </c>
      <c r="AE58" s="149">
        <f t="shared" si="103"/>
        <v>2.5358528000000002</v>
      </c>
      <c r="AF58" s="15">
        <f t="shared" si="104"/>
        <v>0</v>
      </c>
      <c r="AG58" s="155">
        <f>INDEX(Control!$AS$36:$AY$118,MATCH('CLK1'!$Z58,Control!$AS$36:$AS$118,0),MATCH('CLK1'!AG$23,Control!$AS$36:$AY$36,0))</f>
        <v>-10</v>
      </c>
      <c r="AH58" s="155">
        <f>INDEX(Control!$AS$36:$AY$118,MATCH('CLK1'!$Z58,Control!$AS$36:$AS$118,0),MATCH('CLK1'!AH$23,Control!$AS$36:$AY$36,0))</f>
        <v>0</v>
      </c>
      <c r="AI58" s="143">
        <f>AF58*VLOOKUP($Y58,Control!$F$75:$H$87,3,FALSE)/$AB58</f>
        <v>0</v>
      </c>
      <c r="AJ58" s="144">
        <f>IF($AK$3=1,$AG58*Control!$D$77,0)</f>
        <v>0</v>
      </c>
      <c r="AK58" s="144">
        <f>IF($AK$4=1,$AH58*Control!$D$77,0)</f>
        <v>0</v>
      </c>
      <c r="AL58" s="143">
        <f>IF(((AB58-VLOOKUP(Y58,Control!$J$76:$K$82,2,FALSE))/AN58)&lt;=0,0,ROUNDUP(((AB58-VLOOKUP(Y58,Control!$J$76:$K$82,2,FALSE))/Control!$D$86),0)*IF(AN58=Control!$D$86,Control!$H$91,Control!$H$90)/AB58)</f>
        <v>0</v>
      </c>
      <c r="AM58" s="143">
        <f>IF(I58="Corpus Christi",Control!$D$76,0)</f>
        <v>0</v>
      </c>
      <c r="AN58" s="143">
        <f>IF(AND(Control!$D$85-ROUNDUP(((AB58-VLOOKUP(Y58,Control!$J$76:$K$82,2,FALSE))),0)&gt;0,Control!$D$85-ROUNDUP(((AB58-VLOOKUP(Y58,Control!$J$76:$K$82,2,FALSE))),0)&lt;Control!$D$86-ROUNDUP(((AB58-VLOOKUP(Y58,Control!$J$76:$K$82,2,FALSE))),0)),Control!$D$85,Control!$D$86)</f>
        <v>750000</v>
      </c>
      <c r="AO58" s="143">
        <f>Control!$D$78</f>
        <v>0</v>
      </c>
      <c r="AP58" s="143">
        <f>Control!$D$79</f>
        <v>6.7299999999999999E-2</v>
      </c>
      <c r="AQ58" s="143">
        <f>IF(INDEX(Control!$Q$3:$S$62,MATCH($Z58,Control!$Q$3:$Q$62,0),MATCH(AQ$8,Control!$Q$3:$S$3,0))=1,Control!$D$81*Control!$E$81,0)</f>
        <v>0</v>
      </c>
      <c r="AR58" s="143">
        <f>AR50</f>
        <v>0</v>
      </c>
      <c r="AS58" s="143">
        <f>116490/AB58</f>
        <v>0.11649</v>
      </c>
      <c r="AT58" s="143"/>
      <c r="AU58" s="149">
        <f t="shared" ref="AU58:AU62" si="115">SUM(AI58:AM58,AO58:AT58)</f>
        <v>0.18379000000000001</v>
      </c>
      <c r="AV58" s="149">
        <f t="shared" si="89"/>
        <v>2.7196428000000004</v>
      </c>
      <c r="AW58" s="149">
        <f t="shared" si="90"/>
        <v>2.9</v>
      </c>
      <c r="AX58" s="149">
        <f t="shared" si="91"/>
        <v>-3.98</v>
      </c>
      <c r="AY58" s="501">
        <f t="shared" si="92"/>
        <v>-19.360357199999999</v>
      </c>
      <c r="BB58" s="153">
        <f>$BB$50</f>
        <v>17</v>
      </c>
      <c r="BC58" s="163">
        <f t="shared" ref="BC58:BC64" si="116">IF(ISBLANK(A58),"",A58+$BB58+D58)</f>
        <v>46358</v>
      </c>
      <c r="BD58" s="163">
        <f t="shared" si="93"/>
        <v>46360</v>
      </c>
      <c r="BE58" s="163" t="s">
        <v>157</v>
      </c>
      <c r="BF58" s="490">
        <f t="shared" si="94"/>
        <v>46387</v>
      </c>
      <c r="BG58" s="490">
        <f t="shared" si="95"/>
        <v>46387</v>
      </c>
      <c r="BH58" s="735">
        <f t="shared" si="96"/>
        <v>2535852.8000000003</v>
      </c>
      <c r="BI58" s="735">
        <f t="shared" si="97"/>
        <v>0</v>
      </c>
      <c r="BJ58" s="735">
        <f t="shared" si="98"/>
        <v>183790</v>
      </c>
      <c r="BK58" s="735">
        <f t="shared" si="99"/>
        <v>0</v>
      </c>
      <c r="BL58" s="735"/>
      <c r="BM58" s="735"/>
      <c r="BN58" s="735">
        <f t="shared" si="100"/>
        <v>2719642.8000000003</v>
      </c>
      <c r="BO58" s="769">
        <f t="shared" si="41"/>
        <v>2719642.8000000003</v>
      </c>
      <c r="BS58"/>
      <c r="BT58"/>
    </row>
    <row r="59" spans="1:72" ht="18" customHeight="1" thickBot="1" x14ac:dyDescent="0.4">
      <c r="A59" s="163">
        <f t="shared" si="101"/>
        <v>46341</v>
      </c>
      <c r="B59" s="163">
        <f t="shared" si="102"/>
        <v>46343</v>
      </c>
      <c r="D59" s="153">
        <f>IF(AL59=0,0,VLOOKUP(Y59,Control!$G$41:$J$44,4,FALSE))</f>
        <v>0</v>
      </c>
      <c r="E59" s="518">
        <f t="shared" si="87"/>
        <v>46342</v>
      </c>
      <c r="F59"/>
      <c r="G59"/>
      <c r="H59"/>
      <c r="I59"/>
      <c r="J59"/>
      <c r="K59"/>
      <c r="L59"/>
      <c r="M59"/>
      <c r="N59"/>
      <c r="O59"/>
      <c r="P59"/>
      <c r="Q59"/>
      <c r="T59" s="191">
        <f>INDEX('[2]Flat Rates 2025'!$A:$DZ,MATCH(V59,'[2]Flat Rates 2025'!$A:$A,0),MATCH(Z59,'[2]Flat Rates 2025'!$A$1:$DZ$1,0))*1.04</f>
        <v>21.860800000000001</v>
      </c>
      <c r="U59" s="138">
        <v>0</v>
      </c>
      <c r="V59" s="138" t="s">
        <v>45</v>
      </c>
      <c r="W59" s="641">
        <v>145000</v>
      </c>
      <c r="X59" s="140">
        <f>AB59/Control!$D$84</f>
        <v>92671.167048054922</v>
      </c>
      <c r="Y59" s="147" t="s">
        <v>24</v>
      </c>
      <c r="Z59" s="142" t="s">
        <v>42</v>
      </c>
      <c r="AA59" s="142" t="str">
        <f t="shared" si="114"/>
        <v>USGC/Nsea</v>
      </c>
      <c r="AB59" s="141">
        <v>720000</v>
      </c>
      <c r="AC59" s="141">
        <v>70</v>
      </c>
      <c r="AD59" s="49">
        <v>92</v>
      </c>
      <c r="AE59" s="149">
        <f t="shared" si="103"/>
        <v>4.0503204444444449</v>
      </c>
      <c r="AF59" s="15">
        <f t="shared" si="104"/>
        <v>0</v>
      </c>
      <c r="AG59" s="155">
        <f>INDEX(Control!$AS$36:$AY$118,MATCH('CLK1'!$Z59,Control!$AS$36:$AS$118,0),MATCH('CLK1'!AG$23,Control!$AS$36:$AY$36,0))</f>
        <v>-10</v>
      </c>
      <c r="AH59" s="155">
        <f>INDEX(Control!$AS$36:$AY$118,MATCH('CLK1'!$Z59,Control!$AS$36:$AS$118,0),MATCH('CLK1'!AH$23,Control!$AS$36:$AY$36,0))</f>
        <v>0</v>
      </c>
      <c r="AI59" s="143">
        <f>AF59*VLOOKUP($Y59,Control!$F$75:$H$87,3,FALSE)/$AB59</f>
        <v>0</v>
      </c>
      <c r="AJ59" s="144">
        <f>IF($AK$3=1,$AG59*Control!$D$77,0)</f>
        <v>0</v>
      </c>
      <c r="AK59" s="144">
        <f>IF($AK$4=1,$AH59*Control!$D$77,0)</f>
        <v>0</v>
      </c>
      <c r="AL59" s="143">
        <f>IF(((AB59-VLOOKUP(Y59,Control!$J$76:$K$82,2,FALSE))/AN59)&lt;=0,0,ROUNDUP(((AB59-VLOOKUP(Y59,Control!$J$76:$K$82,2,FALSE))/Control!$D$86),0)*IF(AN59=Control!$D$86,Control!$H$91,Control!$H$90)/AB59)</f>
        <v>0</v>
      </c>
      <c r="AM59" s="143">
        <f>IF(I59="Corpus Christi",Control!$D$76,0)</f>
        <v>0</v>
      </c>
      <c r="AN59" s="143">
        <f>IF(AND(Control!$D$85-ROUNDUP(((AB59-VLOOKUP(Y59,Control!$J$76:$K$82,2,FALSE))),0)&gt;0,Control!$D$85-ROUNDUP(((AB59-VLOOKUP(Y59,Control!$J$76:$K$82,2,FALSE))),0)&lt;Control!$D$86-ROUNDUP(((AB59-VLOOKUP(Y59,Control!$J$76:$K$82,2,FALSE))),0)),Control!$D$85,Control!$D$86)</f>
        <v>750000</v>
      </c>
      <c r="AO59" s="143">
        <f>Control!$D$78</f>
        <v>0</v>
      </c>
      <c r="AP59" s="143">
        <f>Control!$D$79</f>
        <v>6.7299999999999999E-2</v>
      </c>
      <c r="AQ59" s="143">
        <f>IF(INDEX(Control!$Q$3:$S$62,MATCH($Z59,Control!$Q$3:$Q$62,0),MATCH(AQ$8,Control!$Q$3:$S$3,0))=1,Control!$D$81*Control!$E$81,0)</f>
        <v>0</v>
      </c>
      <c r="AR59" s="143">
        <f>AR51</f>
        <v>0</v>
      </c>
      <c r="AS59" s="143"/>
      <c r="AT59" s="143"/>
      <c r="AU59" s="149">
        <f t="shared" si="115"/>
        <v>6.7299999999999999E-2</v>
      </c>
      <c r="AV59" s="149">
        <f t="shared" si="89"/>
        <v>4.1176204444444453</v>
      </c>
      <c r="AW59" s="149">
        <f t="shared" si="90"/>
        <v>2.9</v>
      </c>
      <c r="AX59" s="149">
        <f t="shared" si="91"/>
        <v>-3.98</v>
      </c>
      <c r="AY59" s="501">
        <f t="shared" si="92"/>
        <v>-17.962379555555554</v>
      </c>
      <c r="BB59" s="153">
        <f>BB57</f>
        <v>20</v>
      </c>
      <c r="BC59" s="163">
        <f t="shared" si="116"/>
        <v>46361</v>
      </c>
      <c r="BD59" s="163">
        <f t="shared" si="93"/>
        <v>46363</v>
      </c>
      <c r="BE59" s="163" t="s">
        <v>157</v>
      </c>
      <c r="BF59" s="490">
        <f t="shared" si="94"/>
        <v>46387</v>
      </c>
      <c r="BG59" s="490">
        <f t="shared" si="95"/>
        <v>46387</v>
      </c>
      <c r="BH59" s="735">
        <f t="shared" si="96"/>
        <v>2916230.72</v>
      </c>
      <c r="BI59" s="735">
        <f t="shared" si="97"/>
        <v>0</v>
      </c>
      <c r="BJ59" s="735">
        <f t="shared" si="98"/>
        <v>48456</v>
      </c>
      <c r="BK59" s="735">
        <f t="shared" si="99"/>
        <v>0</v>
      </c>
      <c r="BL59" s="735"/>
      <c r="BM59" s="735"/>
      <c r="BN59" s="735">
        <f t="shared" si="100"/>
        <v>2964686.7200000007</v>
      </c>
      <c r="BO59" s="769">
        <f t="shared" si="41"/>
        <v>2964686.7200000007</v>
      </c>
      <c r="BS59"/>
      <c r="BT59"/>
    </row>
    <row r="60" spans="1:72" ht="18" customHeight="1" thickBot="1" x14ac:dyDescent="0.4">
      <c r="A60" s="230">
        <f t="shared" si="101"/>
        <v>46341</v>
      </c>
      <c r="B60" s="230">
        <f t="shared" si="102"/>
        <v>46343</v>
      </c>
      <c r="D60" s="229">
        <f>IF(AL60=0,0,VLOOKUP(Y60,Control!$G$41:$J$44,4,FALSE))</f>
        <v>9</v>
      </c>
      <c r="E60" s="519">
        <f t="shared" si="87"/>
        <v>46351</v>
      </c>
      <c r="F60"/>
      <c r="G60"/>
      <c r="H60"/>
      <c r="I60"/>
      <c r="J60"/>
      <c r="K60"/>
      <c r="L60"/>
      <c r="M60"/>
      <c r="N60"/>
      <c r="O60"/>
      <c r="P60"/>
      <c r="Q60"/>
      <c r="T60" s="220">
        <f>INDEX('[2]Flat Rates 2025'!$A:$DZ,MATCH(V60,'[2]Flat Rates 2025'!$A:$A,0),MATCH(Z60,'[2]Flat Rates 2025'!$A$1:$DZ$1,0))*1.04</f>
        <v>21.860800000000001</v>
      </c>
      <c r="U60" s="220">
        <f>INDEX(Control!$E$17:$J$21,MATCH(Y60,Control!$E$17:$E$21,0),MATCH(V60,Control!$E$17:$J$17,0))</f>
        <v>0.5</v>
      </c>
      <c r="V60" s="220" t="s">
        <v>45</v>
      </c>
      <c r="W60" s="213">
        <f>INDEX(Vessel_Minimum_MT,MATCH(Y60,Control!$E$11:$E$15,0),MATCH(V60,Control!$E$11:$J$11,0))</f>
        <v>270000</v>
      </c>
      <c r="X60" s="222">
        <f>AB60/Control!$D$84</f>
        <v>267073.15503432491</v>
      </c>
      <c r="Y60" s="215" t="s">
        <v>25</v>
      </c>
      <c r="Z60" s="591" t="s">
        <v>42</v>
      </c>
      <c r="AA60" s="212" t="str">
        <f t="shared" si="114"/>
        <v>USGC/Nsea</v>
      </c>
      <c r="AB60" s="214">
        <v>2075000</v>
      </c>
      <c r="AC60" s="214"/>
      <c r="AD60" s="653">
        <v>3800000</v>
      </c>
      <c r="AE60" s="225">
        <f>AD60/AB60</f>
        <v>1.8313253012048192</v>
      </c>
      <c r="AF60" s="304">
        <v>5</v>
      </c>
      <c r="AG60" s="214">
        <f>INDEX(Control!$AS$36:$AY$118,MATCH('CLK1'!$Z60,Control!$AS$36:$AS$118,0),MATCH('CLK1'!AG$23,Control!$AS$36:$AY$36,0))</f>
        <v>-10</v>
      </c>
      <c r="AH60" s="214">
        <f>INDEX(Control!$AS$36:$AY$118,MATCH('CLK1'!$Z60,Control!$AS$36:$AS$118,0),MATCH('CLK1'!AH$23,Control!$AS$36:$AY$36,0))</f>
        <v>0</v>
      </c>
      <c r="AI60" s="227">
        <f>AF60*VLOOKUP($Y60,Control!$F$75:$H$87,3,FALSE)/$AB60</f>
        <v>1.0843373493975903</v>
      </c>
      <c r="AJ60" s="226">
        <f>IF($AK$3=1,$AG60*Control!$D$77,0)</f>
        <v>0</v>
      </c>
      <c r="AK60" s="226">
        <f>IF($AK$4=1,$AH60*Control!$D$77,0)</f>
        <v>0</v>
      </c>
      <c r="AL60" s="227">
        <f>IF(((AB60-VLOOKUP(Y60,Control!$J$76:$K$80,2,FALSE))/Control!$D$85)&lt;=0,0,ROUNDUP(((AB60-VLOOKUP(Y60,Control!$J$76:$K$80,2,FALSE))/Control!$D$85),0)*Control!$H$90/AB60)</f>
        <v>2.6746987951807228</v>
      </c>
      <c r="AM60" s="227">
        <f>IF(I60="Corpus Christi",Control!$D$76,0)</f>
        <v>0</v>
      </c>
      <c r="AN60" s="227">
        <v>0</v>
      </c>
      <c r="AO60" s="227">
        <f>Control!$D$78</f>
        <v>0</v>
      </c>
      <c r="AP60" s="227">
        <f>Control!$D$79</f>
        <v>6.7299999999999999E-2</v>
      </c>
      <c r="AQ60" s="227">
        <f>IF(INDEX(Control!$Q$3:$S$62,MATCH($Z60,Control!$Q$3:$Q$62,0),MATCH(AQ$8,Control!$Q$3:$S$3,0))=1,Control!$D$81*Control!$E$81,0)</f>
        <v>0</v>
      </c>
      <c r="AR60" s="227">
        <f>IF(INDEX(Control!$Q$3:$S$62,MATCH($Z60,Control!$Q$3:$Q$62,0),MATCH(AR$8,Control!$Q$3:$S$3,0))=1,INDEX(Control!$AK$3:$AO$69,MATCH('CLK1'!Z60,Control!$AK$3:$AK$29,0),MATCH('CLK1'!Y60,Control!$AK$3:$AO$3,0))/AB60*1000,0)</f>
        <v>0</v>
      </c>
      <c r="AS60" s="227">
        <f>116490/AB61+(Control!$D$83/AB36)</f>
        <v>0.38947309236947791</v>
      </c>
      <c r="AT60" s="227"/>
      <c r="AU60" s="225">
        <f t="shared" si="115"/>
        <v>4.2158092369477904</v>
      </c>
      <c r="AV60" s="225">
        <f t="shared" si="89"/>
        <v>6.0471345381526094</v>
      </c>
      <c r="AW60" s="225">
        <f t="shared" si="90"/>
        <v>2.9</v>
      </c>
      <c r="AX60" s="225">
        <f t="shared" si="91"/>
        <v>-3.98</v>
      </c>
      <c r="AY60" s="591">
        <f t="shared" si="92"/>
        <v>-16.03286546184739</v>
      </c>
      <c r="BA60" s="220"/>
      <c r="BB60" s="229">
        <f>+INDEX('[1]Transit Time'!$A:$DZ,MATCH(V60,'[1]Transit Time'!$A:$A,0),MATCH(Z60,'[1]Transit Time'!$A$1:$DZ$1,0))</f>
        <v>17</v>
      </c>
      <c r="BC60" s="230">
        <f t="shared" si="116"/>
        <v>46367</v>
      </c>
      <c r="BD60" s="230">
        <f t="shared" si="93"/>
        <v>46369</v>
      </c>
      <c r="BE60" s="230" t="s">
        <v>157</v>
      </c>
      <c r="BF60" s="489">
        <f t="shared" si="94"/>
        <v>46387</v>
      </c>
      <c r="BG60" s="489">
        <f t="shared" si="95"/>
        <v>46387</v>
      </c>
      <c r="BH60" s="735">
        <f t="shared" si="96"/>
        <v>3800000</v>
      </c>
      <c r="BI60" s="735">
        <f t="shared" si="97"/>
        <v>2250000</v>
      </c>
      <c r="BJ60" s="735">
        <f t="shared" si="98"/>
        <v>6497804.1666666651</v>
      </c>
      <c r="BK60" s="735">
        <f t="shared" si="99"/>
        <v>0</v>
      </c>
      <c r="BL60" s="735"/>
      <c r="BM60" s="735"/>
      <c r="BN60" s="735">
        <f t="shared" si="100"/>
        <v>12547804.166666664</v>
      </c>
      <c r="BO60" s="769">
        <f t="shared" si="41"/>
        <v>12547804.166666664</v>
      </c>
      <c r="BS60"/>
      <c r="BT60"/>
    </row>
    <row r="61" spans="1:72" ht="18" customHeight="1" thickBot="1" x14ac:dyDescent="0.4">
      <c r="A61" s="163">
        <f t="shared" si="101"/>
        <v>46341</v>
      </c>
      <c r="B61" s="163">
        <f t="shared" si="102"/>
        <v>46343</v>
      </c>
      <c r="D61" s="153">
        <v>3</v>
      </c>
      <c r="E61" s="518">
        <f t="shared" si="87"/>
        <v>46345</v>
      </c>
      <c r="F61"/>
      <c r="G61"/>
      <c r="H61"/>
      <c r="I61"/>
      <c r="J61"/>
      <c r="K61"/>
      <c r="L61"/>
      <c r="M61"/>
      <c r="N61"/>
      <c r="O61"/>
      <c r="P61"/>
      <c r="Q61"/>
      <c r="T61" s="191">
        <f>INDEX('[2]Flat Rates 2025'!$A:$DZ,MATCH(V61,'[2]Flat Rates 2025'!$A:$A,0),MATCH(Z61,'[2]Flat Rates 2025'!$A$1:$DZ$1,0))*1.04</f>
        <v>21.860800000000001</v>
      </c>
      <c r="U61" s="138">
        <v>0.5</v>
      </c>
      <c r="V61" s="138" t="s">
        <v>45</v>
      </c>
      <c r="W61" s="116">
        <f>W60</f>
        <v>270000</v>
      </c>
      <c r="X61" s="140">
        <f>AB61/Control!$D$84</f>
        <v>267073.15503432491</v>
      </c>
      <c r="Y61" s="655" t="s">
        <v>26</v>
      </c>
      <c r="Z61" s="142" t="s">
        <v>42</v>
      </c>
      <c r="AA61" s="142" t="str">
        <f t="shared" si="114"/>
        <v>USGC/Nsea</v>
      </c>
      <c r="AB61" s="141">
        <f>AB60</f>
        <v>2075000</v>
      </c>
      <c r="AC61" s="141">
        <v>70</v>
      </c>
      <c r="AD61" s="549">
        <f>$AD$60</f>
        <v>3800000</v>
      </c>
      <c r="AE61" s="149">
        <f>AD61/AB61</f>
        <v>1.8313253012048192</v>
      </c>
      <c r="AF61" s="15">
        <v>2</v>
      </c>
      <c r="AG61" s="155">
        <f>INDEX(Control!$AS$36:$AY$118,MATCH('CLK1'!$Z61,Control!$AS$36:$AS$118,0),MATCH('CLK1'!AG$23,Control!$AS$36:$AY$36,0))</f>
        <v>-10</v>
      </c>
      <c r="AH61" s="155">
        <f>INDEX(Control!$AS$36:$AY$118,MATCH('CLK1'!$Z61,Control!$AS$36:$AS$118,0),MATCH('CLK1'!AH$23,Control!$AS$36:$AY$36,0))</f>
        <v>0</v>
      </c>
      <c r="AI61" s="143">
        <f>AF61*VLOOKUP($Y61,Control!$F$75:$H$87,3,FALSE)/$AB61</f>
        <v>0.43373493975903615</v>
      </c>
      <c r="AJ61" s="144">
        <f>IF($AK$3=1,$AG61*Control!$D$77,0)</f>
        <v>0</v>
      </c>
      <c r="AK61" s="144">
        <f>IF($AK$4=1,$AH61*Control!$D$77,0)</f>
        <v>0</v>
      </c>
      <c r="AL61" s="143">
        <f>IF(((AB61-VLOOKUP(Y61,Control!$J$76:$K$82,2,FALSE))/AN61)&lt;=0,0,ROUNDUP(((AB61-VLOOKUP(Y61,Control!$J$76:$K$82,2,FALSE))/Control!$D$86),0)*IF(AN61=Control!$D$86,Control!$H$91,Control!$H$90)/AB61)</f>
        <v>0.89156626506024095</v>
      </c>
      <c r="AM61" s="143">
        <f>IF(I61="Corpus Christi",Control!$D$76,0)</f>
        <v>0</v>
      </c>
      <c r="AN61" s="586">
        <f>IF(AND(Control!$D$85-ROUNDUP(((AB61-VLOOKUP(Y61,Control!$J$76:$K$82,2,FALSE))),0)&gt;0,Control!$D$85-ROUNDUP(((AB61-VLOOKUP(Y61,Control!$J$76:$K$82,2,FALSE))),0)&lt;Control!$D$86-ROUNDUP(((AB61-VLOOKUP(Y61,Control!$J$76:$K$82,2,FALSE))),0)),Control!$D$85,Control!$D$86)</f>
        <v>750000</v>
      </c>
      <c r="AO61" s="143">
        <f>Control!$D$78</f>
        <v>0</v>
      </c>
      <c r="AP61" s="143">
        <f>Control!$D$79</f>
        <v>6.7299999999999999E-2</v>
      </c>
      <c r="AQ61" s="143">
        <f>IF(INDEX(Control!$Q$3:$S$62,MATCH($Z61,Control!$Q$3:$Q$62,0),MATCH(AQ$8,Control!$Q$3:$S$3,0))=1,Control!$D$81*Control!$E$81,0)</f>
        <v>0</v>
      </c>
      <c r="AR61" s="143">
        <f>AR60</f>
        <v>0</v>
      </c>
      <c r="AS61" s="143">
        <f>116490/AB62+(Control!$D$83/AB37)</f>
        <v>0.20998591288229843</v>
      </c>
      <c r="AT61" s="143"/>
      <c r="AU61" s="546">
        <f t="shared" si="115"/>
        <v>1.6025871177015756</v>
      </c>
      <c r="AV61" s="149">
        <f t="shared" si="89"/>
        <v>3.4339124189063948</v>
      </c>
      <c r="AW61" s="149">
        <f t="shared" si="90"/>
        <v>2.9</v>
      </c>
      <c r="AX61" s="149">
        <f t="shared" si="91"/>
        <v>-3.98</v>
      </c>
      <c r="AY61" s="656">
        <f t="shared" si="92"/>
        <v>-18.646087581093603</v>
      </c>
      <c r="BB61" s="153">
        <f>+INDEX('[1]Transit Time'!$A:$DZ,MATCH(V61,'[1]Transit Time'!$A:$A,0),MATCH(Z61,'[1]Transit Time'!$A$1:$DZ$1,0))</f>
        <v>17</v>
      </c>
      <c r="BC61" s="163">
        <f t="shared" si="116"/>
        <v>46361</v>
      </c>
      <c r="BD61" s="163">
        <f t="shared" si="93"/>
        <v>46363</v>
      </c>
      <c r="BE61" s="163" t="s">
        <v>157</v>
      </c>
      <c r="BF61" s="490">
        <f t="shared" si="94"/>
        <v>46387</v>
      </c>
      <c r="BG61" s="490">
        <f t="shared" si="95"/>
        <v>46387</v>
      </c>
      <c r="BH61" s="735">
        <f t="shared" si="96"/>
        <v>3800000</v>
      </c>
      <c r="BI61" s="735">
        <f t="shared" si="97"/>
        <v>900000</v>
      </c>
      <c r="BJ61" s="735">
        <f t="shared" si="98"/>
        <v>2425368.269230769</v>
      </c>
      <c r="BK61" s="735">
        <f t="shared" si="99"/>
        <v>0</v>
      </c>
      <c r="BL61" s="735"/>
      <c r="BM61" s="735"/>
      <c r="BN61" s="735">
        <f t="shared" si="100"/>
        <v>7125368.269230769</v>
      </c>
      <c r="BO61" s="769">
        <f t="shared" si="41"/>
        <v>7125368.269230769</v>
      </c>
      <c r="BS61"/>
      <c r="BT61"/>
    </row>
    <row r="62" spans="1:72" ht="18" customHeight="1" thickBot="1" x14ac:dyDescent="0.4">
      <c r="A62" s="163">
        <f t="shared" si="101"/>
        <v>46341</v>
      </c>
      <c r="B62" s="163">
        <f t="shared" si="102"/>
        <v>46343</v>
      </c>
      <c r="D62" s="153">
        <v>3</v>
      </c>
      <c r="E62" s="518">
        <f t="shared" si="87"/>
        <v>46345</v>
      </c>
      <c r="F62"/>
      <c r="G62"/>
      <c r="H62"/>
      <c r="I62"/>
      <c r="J62"/>
      <c r="K62"/>
      <c r="L62"/>
      <c r="M62"/>
      <c r="N62"/>
      <c r="O62"/>
      <c r="P62"/>
      <c r="Q62"/>
      <c r="T62" s="191">
        <f>INDEX('[2]Flat Rates 2025'!$A:$DZ,MATCH(V62,'[2]Flat Rates 2025'!$A:$A,0),MATCH(Z62,'[2]Flat Rates 2025'!$A$1:$DZ$1,0))*1.04</f>
        <v>21.860800000000001</v>
      </c>
      <c r="U62" s="138">
        <v>0.5</v>
      </c>
      <c r="V62" s="138" t="s">
        <v>45</v>
      </c>
      <c r="W62" s="116">
        <f>W61</f>
        <v>270000</v>
      </c>
      <c r="X62" s="140">
        <f>AB62/Control!$D$84</f>
        <v>267073.15503432491</v>
      </c>
      <c r="Y62" s="732" t="s">
        <v>27</v>
      </c>
      <c r="Z62" s="142" t="s">
        <v>42</v>
      </c>
      <c r="AA62" s="142" t="str">
        <f t="shared" si="114"/>
        <v>USGC/Nsea</v>
      </c>
      <c r="AB62" s="141">
        <f>AB60</f>
        <v>2075000</v>
      </c>
      <c r="AC62" s="141">
        <v>70</v>
      </c>
      <c r="AD62" s="151">
        <f>$AD$60</f>
        <v>3800000</v>
      </c>
      <c r="AE62" s="149">
        <f>AD62/AB62</f>
        <v>1.8313253012048192</v>
      </c>
      <c r="AF62" s="15"/>
      <c r="AG62" s="155">
        <f>INDEX(Control!$AS$36:$AY$118,MATCH('CLK1'!$Z62,Control!$AS$36:$AS$118,0),MATCH('CLK1'!AG$23,Control!$AS$36:$AY$36,0))</f>
        <v>-10</v>
      </c>
      <c r="AH62" s="155">
        <f>INDEX(Control!$AS$36:$AY$118,MATCH('CLK1'!$Z62,Control!$AS$36:$AS$118,0),MATCH('CLK1'!AH$23,Control!$AS$36:$AY$36,0))</f>
        <v>0</v>
      </c>
      <c r="AI62" s="143">
        <f>AF62*VLOOKUP($Y62,Control!$F$75:$H$87,3,FALSE)/$AB62</f>
        <v>0</v>
      </c>
      <c r="AJ62" s="144">
        <f>IF($AK$3=1,$AG62*Control!$D$77,0)</f>
        <v>0</v>
      </c>
      <c r="AK62" s="144">
        <f>IF($AK$4=1,$AH62*Control!$D$77,0)</f>
        <v>0</v>
      </c>
      <c r="AL62" s="143">
        <f>IF(((AB62-VLOOKUP(Y62,Control!$J$76:$K$82,2,FALSE))/AN62)&lt;=0,0,ROUNDUP(((AB62-VLOOKUP(Y62,Control!$J$76:$K$82,2,FALSE))/Control!$D$86),0)*IF(AN62=Control!$D$86,Control!$H$91,Control!$H$90)/AB62)</f>
        <v>0.89156626506024095</v>
      </c>
      <c r="AM62" s="143">
        <f>IF(I62="Corpus Christi",Control!$D$76,0)</f>
        <v>0</v>
      </c>
      <c r="AN62" s="586">
        <f>IF(AND(Control!$D$85-ROUNDUP(((AB62-VLOOKUP(Y62,Control!$J$76:$K$82,2,FALSE))),0)&gt;0,Control!$D$85-ROUNDUP(((AB62-VLOOKUP(Y62,Control!$J$76:$K$82,2,FALSE))),0)&lt;Control!$D$86-ROUNDUP(((AB62-VLOOKUP(Y62,Control!$J$76:$K$82,2,FALSE))),0)),Control!$D$85,Control!$D$86)</f>
        <v>750000</v>
      </c>
      <c r="AO62" s="143">
        <f>Control!$D$78</f>
        <v>0</v>
      </c>
      <c r="AP62" s="143">
        <f>Control!$D$79</f>
        <v>6.7299999999999999E-2</v>
      </c>
      <c r="AQ62" s="143">
        <f>IF(INDEX(Control!$Q$3:$S$62,MATCH($Z62,Control!$Q$3:$Q$62,0),MATCH(AQ$8,Control!$Q$3:$S$3,0))=1,Control!$D$81*Control!$E$81,0)</f>
        <v>0</v>
      </c>
      <c r="AR62" s="143">
        <f>AR61</f>
        <v>0</v>
      </c>
      <c r="AS62" s="143">
        <f>116490/AB63+(Control!$D$83/AB38)</f>
        <v>0.20998591288229843</v>
      </c>
      <c r="AT62" s="143"/>
      <c r="AU62" s="546">
        <f t="shared" si="115"/>
        <v>1.1688521779425394</v>
      </c>
      <c r="AV62" s="149">
        <f t="shared" si="89"/>
        <v>3.0001774791473586</v>
      </c>
      <c r="AW62" s="149">
        <f t="shared" si="90"/>
        <v>2.9</v>
      </c>
      <c r="AX62" s="149">
        <f t="shared" si="91"/>
        <v>-3.98</v>
      </c>
      <c r="AY62" s="733">
        <f t="shared" si="92"/>
        <v>-19.079822520852641</v>
      </c>
      <c r="BB62" s="153">
        <f>+INDEX('[1]Transit Time'!$A:$DZ,MATCH(V62,'[1]Transit Time'!$A:$A,0),MATCH(Z62,'[1]Transit Time'!$A$1:$DZ$1,0))</f>
        <v>17</v>
      </c>
      <c r="BC62" s="163">
        <f t="shared" si="116"/>
        <v>46361</v>
      </c>
      <c r="BD62" s="163">
        <f t="shared" si="93"/>
        <v>46363</v>
      </c>
      <c r="BE62" s="163" t="s">
        <v>157</v>
      </c>
      <c r="BF62" s="490">
        <f t="shared" si="94"/>
        <v>46387</v>
      </c>
      <c r="BG62" s="490">
        <f t="shared" si="95"/>
        <v>46387</v>
      </c>
      <c r="BH62" s="735">
        <f t="shared" si="96"/>
        <v>3800000</v>
      </c>
      <c r="BI62" s="735">
        <f t="shared" si="97"/>
        <v>0</v>
      </c>
      <c r="BJ62" s="735">
        <f t="shared" si="98"/>
        <v>2425368.269230769</v>
      </c>
      <c r="BK62" s="735">
        <f t="shared" si="99"/>
        <v>0</v>
      </c>
      <c r="BL62" s="735"/>
      <c r="BM62" s="735"/>
      <c r="BN62" s="735">
        <f t="shared" si="100"/>
        <v>6225368.269230769</v>
      </c>
      <c r="BO62" s="769">
        <f t="shared" si="41"/>
        <v>6225368.269230769</v>
      </c>
      <c r="BS62"/>
      <c r="BT62"/>
    </row>
    <row r="63" spans="1:72" ht="18" customHeight="1" x14ac:dyDescent="0.35">
      <c r="A63" s="230">
        <f t="shared" si="101"/>
        <v>46341</v>
      </c>
      <c r="B63" s="230">
        <f t="shared" si="102"/>
        <v>46343</v>
      </c>
      <c r="D63" s="229">
        <f>IF(AL63=0,0,VLOOKUP(Y63,Control!$G$41:$J$44,4,FALSE))</f>
        <v>9</v>
      </c>
      <c r="E63" s="519">
        <f t="shared" si="87"/>
        <v>46351</v>
      </c>
      <c r="F63"/>
      <c r="G63"/>
      <c r="H63"/>
      <c r="I63"/>
      <c r="J63"/>
      <c r="K63"/>
      <c r="L63"/>
      <c r="M63"/>
      <c r="N63"/>
      <c r="O63"/>
      <c r="P63"/>
      <c r="Q63"/>
      <c r="T63" s="220">
        <f>INDEX('[2]Flat Rates 2025'!$A:$DZ,MATCH(V63,'[2]Flat Rates 2025'!$A:$A,0),MATCH(Z63,'[2]Flat Rates 2025'!$A$1:$DZ$1,0))*1.04</f>
        <v>24.9392</v>
      </c>
      <c r="U63" s="220">
        <f>INDEX(Control!$E$17:$J$21,MATCH(Y63,Control!$E$17:$E$21,0),MATCH(V63,Control!$E$17:$J$17,0))</f>
        <v>0.5</v>
      </c>
      <c r="V63" s="220" t="s">
        <v>45</v>
      </c>
      <c r="W63" s="213">
        <f>INDEX(Vessel_Minimum_MT,MATCH(Y63,Control!$E$11:$E$15,0),MATCH(V63,Control!$E$11:$J$11,0))</f>
        <v>270000</v>
      </c>
      <c r="X63" s="222">
        <f>AB63/Control!$D$84</f>
        <v>267073.15503432491</v>
      </c>
      <c r="Y63" s="215" t="s">
        <v>25</v>
      </c>
      <c r="Z63" s="212" t="s">
        <v>72</v>
      </c>
      <c r="AA63" s="212" t="s">
        <v>220</v>
      </c>
      <c r="AB63" s="214">
        <f>AB60</f>
        <v>2075000</v>
      </c>
      <c r="AC63" s="214"/>
      <c r="AD63" s="224">
        <f>$AD$60+150000</f>
        <v>3950000</v>
      </c>
      <c r="AE63" s="225">
        <f>AD63/AB63</f>
        <v>1.9036144578313252</v>
      </c>
      <c r="AF63" s="304">
        <v>5</v>
      </c>
      <c r="AG63" s="214">
        <f>INDEX(Control!$AS$36:$AY$118,MATCH('CLK1'!$Z63,Control!$AS$36:$AS$118,0),MATCH('CLK1'!AG$23,Control!$AS$36:$AY$36,0))</f>
        <v>-10</v>
      </c>
      <c r="AH63" s="214">
        <f>INDEX(Control!$AS$36:$AY$118,MATCH('CLK1'!$Z63,Control!$AS$36:$AS$118,0),MATCH('CLK1'!AH$23,Control!$AS$36:$AY$36,0))</f>
        <v>0</v>
      </c>
      <c r="AI63" s="227">
        <f>AF63*VLOOKUP($Y63,Control!$F$75:$H$87,3,FALSE)/$AB63</f>
        <v>1.0843373493975903</v>
      </c>
      <c r="AJ63" s="226">
        <f>IF($AK$3=1,$AG63*Control!$D$77,0)</f>
        <v>0</v>
      </c>
      <c r="AK63" s="226">
        <f>IF($AK$4=1,$AH63*Control!$D$77,0)</f>
        <v>0</v>
      </c>
      <c r="AL63" s="227">
        <f>IF(((AB63-VLOOKUP(Y63,Control!$J$76:$K$80,2,FALSE))/Control!$D$85)&lt;=0,0,ROUNDUP(((AB63-VLOOKUP(Y63,Control!$J$76:$K$80,2,FALSE))/Control!$D$85),0)*Control!$H$90/AB63)</f>
        <v>2.6746987951807228</v>
      </c>
      <c r="AM63" s="227">
        <f>IF(I63="Corpus Christi",Control!$D$76,0)</f>
        <v>0</v>
      </c>
      <c r="AN63" s="227">
        <v>0</v>
      </c>
      <c r="AO63" s="227">
        <f>Control!$D$78</f>
        <v>0</v>
      </c>
      <c r="AP63" s="227">
        <f>Control!$D$79</f>
        <v>6.7299999999999999E-2</v>
      </c>
      <c r="AQ63" s="227">
        <f>IF(INDEX(Control!$Q$3:$S$62,MATCH($Z63,Control!$Q$3:$Q$62,0),MATCH(AQ$8,Control!$Q$3:$S$3,0))=1,Control!$D$81*Control!$E$81,0)</f>
        <v>0</v>
      </c>
      <c r="AR63" s="227">
        <f>IF(INDEX(Control!$Q$3:$S$62,MATCH($Z63,Control!$Q$3:$Q$62,0),MATCH(AR$8,Control!$Q$3:$S$3,0))=1,INDEX(Control!$AK$3:$AO$69,MATCH('CLK1'!Z63,Control!$AK$3:$AK$29,0),MATCH('CLK1'!Y63,Control!$AK$3:$AO$3,0))/AB63*1000,0)</f>
        <v>0</v>
      </c>
      <c r="AS63" s="227">
        <f>600000/AB63+(116490/AB63)+(Control!$D$83/AB38)</f>
        <v>0.49914253938832254</v>
      </c>
      <c r="AT63" s="227"/>
      <c r="AU63" s="225">
        <f t="shared" ref="AU63" si="117">SUM(AI63:AT63)</f>
        <v>4.3254786839666357</v>
      </c>
      <c r="AV63" s="225">
        <f t="shared" si="89"/>
        <v>6.2290931417979607</v>
      </c>
      <c r="AW63" s="225">
        <f t="shared" si="90"/>
        <v>2.9</v>
      </c>
      <c r="AX63" s="225">
        <f t="shared" si="91"/>
        <v>-3.98</v>
      </c>
      <c r="AY63" s="498">
        <f t="shared" si="92"/>
        <v>-15.850906858202039</v>
      </c>
      <c r="BA63" s="220"/>
      <c r="BB63" s="229">
        <v>14</v>
      </c>
      <c r="BC63" s="230">
        <f t="shared" si="116"/>
        <v>46364</v>
      </c>
      <c r="BD63" s="230">
        <f t="shared" si="93"/>
        <v>46366</v>
      </c>
      <c r="BE63" s="230" t="s">
        <v>157</v>
      </c>
      <c r="BF63" s="489">
        <f t="shared" si="94"/>
        <v>46387</v>
      </c>
      <c r="BG63" s="489">
        <f t="shared" si="95"/>
        <v>46387</v>
      </c>
      <c r="BH63" s="735">
        <f t="shared" si="96"/>
        <v>3950000</v>
      </c>
      <c r="BI63" s="735">
        <f t="shared" si="97"/>
        <v>2250000</v>
      </c>
      <c r="BJ63" s="735">
        <f t="shared" si="98"/>
        <v>6725368.269230769</v>
      </c>
      <c r="BK63" s="735">
        <f t="shared" si="99"/>
        <v>0</v>
      </c>
      <c r="BL63" s="735"/>
      <c r="BM63" s="735"/>
      <c r="BN63" s="735">
        <f t="shared" si="100"/>
        <v>12925368.269230768</v>
      </c>
      <c r="BO63" s="769">
        <f t="shared" si="41"/>
        <v>12925368.269230768</v>
      </c>
      <c r="BS63"/>
      <c r="BT63"/>
    </row>
    <row r="64" spans="1:72" ht="18" customHeight="1" thickBot="1" x14ac:dyDescent="0.4">
      <c r="A64" s="163">
        <f t="shared" si="101"/>
        <v>46341</v>
      </c>
      <c r="B64" s="163">
        <f t="shared" si="102"/>
        <v>46343</v>
      </c>
      <c r="D64" s="153">
        <f>IF(AL64=0,0,VLOOKUP(Y64,Control!$G$41:$J$44,4,FALSE))</f>
        <v>3</v>
      </c>
      <c r="E64" s="518">
        <f t="shared" si="87"/>
        <v>46345</v>
      </c>
      <c r="F64"/>
      <c r="G64"/>
      <c r="H64"/>
      <c r="I64"/>
      <c r="J64"/>
      <c r="K64"/>
      <c r="L64"/>
      <c r="M64"/>
      <c r="N64"/>
      <c r="O64"/>
      <c r="P64"/>
      <c r="Q64"/>
      <c r="T64" s="191">
        <f>INDEX('[2]Flat Rates 2025'!$A:$DZ,MATCH(V64,'[2]Flat Rates 2025'!$A:$A,0),MATCH(Z64,'[2]Flat Rates 2025'!$A$1:$DZ$1,0))*1.04</f>
        <v>24.9392</v>
      </c>
      <c r="U64" s="138">
        <v>0.5</v>
      </c>
      <c r="V64" s="138" t="s">
        <v>45</v>
      </c>
      <c r="W64" s="116">
        <f>W63</f>
        <v>270000</v>
      </c>
      <c r="X64" s="140">
        <f>AB64/Control!$D$84</f>
        <v>267073.15503432491</v>
      </c>
      <c r="Y64" s="147" t="s">
        <v>26</v>
      </c>
      <c r="Z64" s="142" t="s">
        <v>72</v>
      </c>
      <c r="AA64" s="142" t="s">
        <v>220</v>
      </c>
      <c r="AB64" s="141">
        <f>AB63</f>
        <v>2075000</v>
      </c>
      <c r="AC64" s="141">
        <v>70</v>
      </c>
      <c r="AD64" s="457">
        <f>AD63</f>
        <v>3950000</v>
      </c>
      <c r="AE64" s="149">
        <f>AD64/AB64</f>
        <v>1.9036144578313252</v>
      </c>
      <c r="AF64" s="15">
        <v>2</v>
      </c>
      <c r="AG64" s="155">
        <f>INDEX(Control!$AS$36:$AY$118,MATCH('CLK1'!$Z64,Control!$AS$36:$AS$118,0),MATCH('CLK1'!AG$23,Control!$AS$36:$AY$36,0))</f>
        <v>-10</v>
      </c>
      <c r="AH64" s="155">
        <f>INDEX(Control!$AS$36:$AY$118,MATCH('CLK1'!$Z64,Control!$AS$36:$AS$118,0),MATCH('CLK1'!AH$23,Control!$AS$36:$AY$36,0))</f>
        <v>0</v>
      </c>
      <c r="AI64" s="143">
        <f>AF64*VLOOKUP($Y64,Control!$F$75:$H$87,3,FALSE)/$AB64</f>
        <v>0.43373493975903615</v>
      </c>
      <c r="AJ64" s="144">
        <f>IF($AK$3=1,$AG64*Control!$D$77,0)</f>
        <v>0</v>
      </c>
      <c r="AK64" s="144">
        <f>IF($AK$4=1,$AH64*Control!$D$77,0)</f>
        <v>0</v>
      </c>
      <c r="AL64" s="143">
        <f>IF(((AB64-VLOOKUP(Y64,Control!$J$76:$K$80,2,FALSE))/Control!$D$85)&lt;=0,0,ROUNDUP(((AB64-VLOOKUP(Y64,Control!$J$76:$K$80,2,FALSE))/Control!$D$85),0)*Control!$H$90/AB64)</f>
        <v>0.89156626506024095</v>
      </c>
      <c r="AM64" s="143">
        <f>IF(I64="Corpus Christi",Control!$D$76,0)</f>
        <v>0</v>
      </c>
      <c r="AN64" s="586">
        <f>IF(AND(Control!$D$85-ROUNDUP(((AB64-VLOOKUP(Y64,Control!$J$76:$K$82,2,FALSE))),0)&gt;0,Control!$D$85-ROUNDUP(((AB64-VLOOKUP(Y64,Control!$J$76:$K$82,2,FALSE))),0)&lt;Control!$D$86-ROUNDUP(((AB64-VLOOKUP(Y64,Control!$J$76:$K$82,2,FALSE))),0)),Control!$D$85,Control!$D$86)</f>
        <v>750000</v>
      </c>
      <c r="AO64" s="143">
        <f>Control!$D$78</f>
        <v>0</v>
      </c>
      <c r="AP64" s="143">
        <f>Control!$D$79</f>
        <v>6.7299999999999999E-2</v>
      </c>
      <c r="AQ64" s="143">
        <f>IF(INDEX(Control!$Q$3:$S$62,MATCH($Z64,Control!$Q$3:$Q$62,0),MATCH(AQ$8,Control!$Q$3:$S$3,0))=1,Control!$D$81*Control!$E$81,0)</f>
        <v>0</v>
      </c>
      <c r="AR64" s="143">
        <f>AR63</f>
        <v>0</v>
      </c>
      <c r="AS64" s="227">
        <f>AS63</f>
        <v>0.49914253938832254</v>
      </c>
      <c r="AT64" s="143"/>
      <c r="AU64" s="546">
        <f t="shared" ref="AU64" si="118">SUM(AI64:AM64,AO64:AT64)</f>
        <v>1.8917437442075995</v>
      </c>
      <c r="AV64" s="149">
        <f t="shared" si="89"/>
        <v>3.7953582020389245</v>
      </c>
      <c r="AW64" s="149">
        <f t="shared" si="90"/>
        <v>2.9</v>
      </c>
      <c r="AX64" s="149">
        <f t="shared" si="91"/>
        <v>-3.98</v>
      </c>
      <c r="AY64" s="501">
        <f t="shared" si="92"/>
        <v>-18.284641797961072</v>
      </c>
      <c r="BB64" s="153">
        <v>14</v>
      </c>
      <c r="BC64" s="163">
        <f t="shared" si="116"/>
        <v>46358</v>
      </c>
      <c r="BD64" s="163">
        <f t="shared" si="93"/>
        <v>46360</v>
      </c>
      <c r="BE64" s="163" t="s">
        <v>157</v>
      </c>
      <c r="BF64" s="490">
        <f t="shared" si="94"/>
        <v>46387</v>
      </c>
      <c r="BG64" s="490">
        <f t="shared" si="95"/>
        <v>46387</v>
      </c>
      <c r="BH64" s="735">
        <f t="shared" si="96"/>
        <v>3950000</v>
      </c>
      <c r="BI64" s="735">
        <f t="shared" si="97"/>
        <v>900000</v>
      </c>
      <c r="BJ64" s="735">
        <f t="shared" si="98"/>
        <v>3025368.269230769</v>
      </c>
      <c r="BK64" s="735">
        <f t="shared" si="99"/>
        <v>0</v>
      </c>
      <c r="BL64" s="735"/>
      <c r="BM64" s="735"/>
      <c r="BN64" s="735">
        <f t="shared" si="100"/>
        <v>7875368.2692307681</v>
      </c>
      <c r="BO64" s="769">
        <f t="shared" si="41"/>
        <v>7875368.2692307681</v>
      </c>
      <c r="BS64"/>
      <c r="BT64"/>
    </row>
    <row r="65" spans="1:72" ht="19" thickBot="1" x14ac:dyDescent="0.5">
      <c r="A65" s="163"/>
      <c r="B65" s="163"/>
      <c r="D65" s="77"/>
      <c r="E65" s="520"/>
      <c r="F65"/>
      <c r="G65"/>
      <c r="H65"/>
      <c r="I65"/>
      <c r="J65"/>
      <c r="K65"/>
      <c r="L65"/>
      <c r="M65"/>
      <c r="N65"/>
      <c r="O65"/>
      <c r="P65"/>
      <c r="Q65"/>
      <c r="T65" s="9"/>
      <c r="U65" s="9"/>
      <c r="V65" s="9"/>
      <c r="W65" s="9"/>
      <c r="X65" s="9"/>
      <c r="Y65" s="999" t="s">
        <v>221</v>
      </c>
      <c r="Z65" s="1000"/>
      <c r="AA65" s="1000"/>
      <c r="AB65" s="1000"/>
      <c r="AC65" s="1000"/>
      <c r="AD65" s="1000"/>
      <c r="AE65" s="1000"/>
      <c r="AF65" s="1000"/>
      <c r="AG65" s="1000"/>
      <c r="AH65" s="1000"/>
      <c r="AI65" s="1000"/>
      <c r="AJ65" s="1000"/>
      <c r="AK65" s="1000"/>
      <c r="AL65" s="1000"/>
      <c r="AM65" s="1000"/>
      <c r="AN65" s="1000"/>
      <c r="AO65" s="1000"/>
      <c r="AP65" s="1000"/>
      <c r="AQ65" s="1000"/>
      <c r="AR65" s="1000"/>
      <c r="AS65" s="1000"/>
      <c r="AT65" s="1000"/>
      <c r="AU65" s="1000"/>
      <c r="AV65" s="1000"/>
      <c r="AW65" s="1000"/>
      <c r="AX65" s="1000"/>
      <c r="AY65" s="1001"/>
      <c r="BB65" s="77"/>
      <c r="BC65" s="77">
        <f>AY57-AY50</f>
        <v>0.67150567164179265</v>
      </c>
      <c r="BD65" s="530">
        <f t="shared" si="93"/>
        <v>2.6715056716417926</v>
      </c>
      <c r="BE65"/>
      <c r="BF65" s="658">
        <f t="shared" si="94"/>
        <v>31</v>
      </c>
      <c r="BG65" s="658">
        <f t="shared" si="95"/>
        <v>31</v>
      </c>
      <c r="BH65"/>
      <c r="BJ65" s="2">
        <f t="shared" si="98"/>
        <v>0</v>
      </c>
      <c r="BK65" s="2">
        <f t="shared" si="99"/>
        <v>0</v>
      </c>
      <c r="BO65" s="769">
        <f t="shared" si="41"/>
        <v>0</v>
      </c>
      <c r="BS65"/>
      <c r="BT65"/>
    </row>
    <row r="66" spans="1:72" ht="47" thickBot="1" x14ac:dyDescent="0.4">
      <c r="A66" s="1011" t="s">
        <v>167</v>
      </c>
      <c r="B66" s="1011"/>
      <c r="D66" s="137" t="str">
        <f t="shared" ref="D66:E66" si="119">D49</f>
        <v>STS Time</v>
      </c>
      <c r="E66" s="521" t="str">
        <f t="shared" si="119"/>
        <v>Depart</v>
      </c>
      <c r="F66"/>
      <c r="G66"/>
      <c r="H66"/>
      <c r="I66"/>
      <c r="J66"/>
      <c r="K66"/>
      <c r="L66"/>
      <c r="M66"/>
      <c r="N66"/>
      <c r="O66"/>
      <c r="P66"/>
      <c r="Q66"/>
      <c r="T66" s="120" t="s">
        <v>172</v>
      </c>
      <c r="U66" s="120" t="s">
        <v>2</v>
      </c>
      <c r="V66" s="120" t="s">
        <v>173</v>
      </c>
      <c r="W66" s="152" t="str">
        <f>$W$8</f>
        <v>Vessel MT</v>
      </c>
      <c r="X66" s="120" t="s">
        <v>175</v>
      </c>
      <c r="Y66" s="120" t="s">
        <v>176</v>
      </c>
      <c r="Z66" s="120" t="s">
        <v>177</v>
      </c>
      <c r="AA66" s="120" t="s">
        <v>178</v>
      </c>
      <c r="AB66" s="120" t="s">
        <v>200</v>
      </c>
      <c r="AC66" s="146" t="str">
        <f>$AC$8</f>
        <v xml:space="preserve">Current WS Rate </v>
      </c>
      <c r="AD66" s="128" t="s">
        <v>202</v>
      </c>
      <c r="AE66" s="150" t="s">
        <v>182</v>
      </c>
      <c r="AF66" s="136" t="s">
        <v>183</v>
      </c>
      <c r="AG66" s="146" t="str">
        <f>AG23</f>
        <v>ATA tvm</v>
      </c>
      <c r="AH66" s="146" t="str">
        <f>AH23</f>
        <v>Ext. TVM</v>
      </c>
      <c r="AI66" s="136" t="s">
        <v>184</v>
      </c>
      <c r="AJ66" s="784" t="str">
        <f t="shared" ref="AJ66:AK66" si="120">AG66</f>
        <v>ATA tvm</v>
      </c>
      <c r="AK66" s="784" t="str">
        <f t="shared" si="120"/>
        <v>Ext. TVM</v>
      </c>
      <c r="AL66" s="136" t="str">
        <f>AL23</f>
        <v>STS</v>
      </c>
      <c r="AM66" s="136" t="s">
        <v>186</v>
      </c>
      <c r="AN66" s="136" t="s">
        <v>187</v>
      </c>
      <c r="AO66" s="136" t="s">
        <v>141</v>
      </c>
      <c r="AP66" s="136" t="s">
        <v>188</v>
      </c>
      <c r="AQ66" s="136" t="s">
        <v>17</v>
      </c>
      <c r="AR66" s="136" t="s">
        <v>207</v>
      </c>
      <c r="AS66" s="136" t="s">
        <v>189</v>
      </c>
      <c r="AT66" s="136" t="s">
        <v>152</v>
      </c>
      <c r="AU66" s="150" t="s">
        <v>208</v>
      </c>
      <c r="AV66" s="150" t="s">
        <v>209</v>
      </c>
      <c r="AW66" s="150" t="s">
        <v>210</v>
      </c>
      <c r="AX66" s="150" t="str">
        <f>AX49</f>
        <v>Basis</v>
      </c>
      <c r="AY66" s="137" t="s">
        <v>211</v>
      </c>
      <c r="BB66" s="137" t="s">
        <v>195</v>
      </c>
      <c r="BC66" s="522" t="s">
        <v>196</v>
      </c>
      <c r="BD66" s="522"/>
      <c r="BE66" s="487" t="str">
        <f>BE8</f>
        <v>Basis</v>
      </c>
      <c r="BF66" s="487" t="str">
        <f>BF49</f>
        <v>Pricing Month</v>
      </c>
      <c r="BG66" s="487" t="str">
        <f>BG49</f>
        <v>Delivery Month</v>
      </c>
      <c r="BH66" s="735"/>
      <c r="BI66" s="735"/>
      <c r="BJ66" s="735"/>
      <c r="BK66" s="735"/>
      <c r="BL66" s="735"/>
      <c r="BM66" s="735"/>
      <c r="BO66" s="769">
        <f t="shared" si="41"/>
        <v>0</v>
      </c>
      <c r="BS66"/>
      <c r="BT66"/>
    </row>
    <row r="67" spans="1:72" x14ac:dyDescent="0.35">
      <c r="A67" s="407">
        <f t="shared" ref="A67:A71" si="121">+$A$9</f>
        <v>46341</v>
      </c>
      <c r="B67" s="407">
        <f t="shared" ref="B67" si="122">IF(ISBLANK(A67),"",A67+2)</f>
        <v>46343</v>
      </c>
      <c r="D67" s="409">
        <f>IF(AL67=0,0,VLOOKUP(Y67,Control!$G$41:$J$44,4,FALSE))</f>
        <v>0</v>
      </c>
      <c r="E67" s="593">
        <f t="shared" ref="E67" si="123">AVERAGE(A67:B67)+D67</f>
        <v>46342</v>
      </c>
      <c r="F67"/>
      <c r="G67"/>
      <c r="H67"/>
      <c r="I67"/>
      <c r="J67"/>
      <c r="K67"/>
      <c r="L67"/>
      <c r="M67"/>
      <c r="N67"/>
      <c r="O67"/>
      <c r="P67"/>
      <c r="Q67"/>
      <c r="T67" s="140">
        <f>$T$50</f>
        <v>21.860800000000001</v>
      </c>
      <c r="U67" s="138">
        <f>INDEX(Control!$E$17:$J$21,MATCH(Y67,Control!$E$17:$E$21,0),MATCH(V67,Control!$E$17:$J$17,0))</f>
        <v>0</v>
      </c>
      <c r="V67" s="138" t="s">
        <v>45</v>
      </c>
      <c r="W67" s="116">
        <f>INDEX(Vessel_Minimum_MT,MATCH(Y67,Control!$E$11:$E$15,0),MATCH(V67,Control!$E$11:$J$11,0))</f>
        <v>70000</v>
      </c>
      <c r="X67" s="140">
        <f>AB67/Control!$D$84</f>
        <v>90096.96796338672</v>
      </c>
      <c r="Y67" s="48" t="s">
        <v>23</v>
      </c>
      <c r="Z67" s="26" t="s">
        <v>119</v>
      </c>
      <c r="AA67" s="26" t="str">
        <f>AA50</f>
        <v>USGC/Nsea</v>
      </c>
      <c r="AB67" s="594">
        <v>700000</v>
      </c>
      <c r="AC67" s="15">
        <v>70</v>
      </c>
      <c r="AD67" s="549">
        <v>175</v>
      </c>
      <c r="AE67" s="50">
        <f>IF(AC67&gt;1000,IF(AD67=0,AC67,AD67)/AB67,((W67*T67*(IF(AD67=0,AC67,AD67)/100))+IF(X67&lt;W67,0,(X67-W67)*T67*IF(AD67=0,AC67,AD67)/100*U67))/AB67)</f>
        <v>3.8256399999999999</v>
      </c>
      <c r="AF67" s="28">
        <v>0</v>
      </c>
      <c r="AG67" s="595">
        <f>INDEX(Control!$AS$36:$AY$118,MATCH('CLK1'!$Z67,Control!$AS$36:$AS$118,0),MATCH('CLK1'!AG$23,Control!$AS$36:$AY$36,0))</f>
        <v>-10</v>
      </c>
      <c r="AH67" s="595">
        <f>INDEX(Control!$AS$36:$AY$118,MATCH('CLK1'!$Z67,Control!$AS$36:$AS$118,0),MATCH('CLK1'!AH$23,Control!$AS$36:$AY$36,0))</f>
        <v>14</v>
      </c>
      <c r="AI67" s="29">
        <f>AF67*VLOOKUP($Y67,Control!$F$75:$H$87,3,FALSE)/$AB67</f>
        <v>0</v>
      </c>
      <c r="AJ67" s="28">
        <f>IF(AND($AK$3=1,$AG67*Control!$D$77&lt;0),$AG67*Control!$D$77,0)</f>
        <v>0</v>
      </c>
      <c r="AK67" s="28">
        <f>IF($AK$4=1,$AH67*Control!$D$77,0)</f>
        <v>0.18250630136986304</v>
      </c>
      <c r="AL67" s="29">
        <f>IF(((AB67-VLOOKUP(Y67,Control!$J$76:$K$80,2,FALSE))/Control!$D$85)&lt;=0,0,ROUNDUP(((AB67-VLOOKUP(Y67,Control!$J$76:$K$80,2,FALSE))/Control!$D$85),0)*Control!$H$90/AB67)</f>
        <v>0</v>
      </c>
      <c r="AM67" s="29">
        <f>IF(I67="Corpus Christi",Control!$D$76,0)</f>
        <v>0</v>
      </c>
      <c r="AN67" s="29">
        <v>0</v>
      </c>
      <c r="AO67" s="29">
        <f>Control!$D$78</f>
        <v>0</v>
      </c>
      <c r="AP67" s="29"/>
      <c r="AQ67" s="29"/>
      <c r="AR67" s="29"/>
      <c r="AS67" s="29">
        <f>AS50</f>
        <v>0.14026865671641792</v>
      </c>
      <c r="AT67" s="29">
        <f>IF(AND(L67="Chiriqui Grande",V67="Puerto Armuelles"),Control!$G$93,0)</f>
        <v>0</v>
      </c>
      <c r="AU67" s="50">
        <f t="shared" ref="AU67" si="124">SUM(AI67:AT67)</f>
        <v>0.32277495808628098</v>
      </c>
      <c r="AV67" s="50">
        <f>+R67+AE67+AU67</f>
        <v>4.1484149580862812</v>
      </c>
      <c r="AW67" s="50">
        <f t="shared" ref="AW67" si="125">IF((MONTH(A67)=MONTH(BG67)),0,IF(((MONTH(BG67))-MONTH(A67))+12*YEAR(BF67)-YEAR(A67)&gt;1,SUMIFS($BC$4:$BF$4,$BC$3:$BF$3,"&lt;="&amp;EOMONTH(BF67,-1),$BC$3:$BF$3,"&gt;="&amp;EOMONTH(A67,0)),VLOOKUP("Spreads",$BB$3:$BF$4,MATCH(EOMONTH(A67,0),$BB$3:$BF$3,0))))</f>
        <v>2.9</v>
      </c>
      <c r="AX67" s="149">
        <v>-0.8</v>
      </c>
      <c r="AY67" s="596">
        <f>$Y$3+AV67+AW67+AX67</f>
        <v>-14.751585041913719</v>
      </c>
      <c r="BB67" s="409">
        <f>$BB$50</f>
        <v>17</v>
      </c>
      <c r="BC67" s="407">
        <f>IF(ISBLANK(E67),"",E67+$BB67+D67)</f>
        <v>46359</v>
      </c>
      <c r="BD67" s="407">
        <f t="shared" ref="BD67" si="126">BC67+2</f>
        <v>46361</v>
      </c>
      <c r="BE67" s="407" t="s">
        <v>157</v>
      </c>
      <c r="BF67" s="597">
        <f t="shared" ref="BF67:BF71" si="127">EOMONTH(BD67,0)</f>
        <v>46387</v>
      </c>
      <c r="BG67" s="597">
        <f t="shared" ref="BG67:BG71" si="128">BF67</f>
        <v>46387</v>
      </c>
      <c r="BH67" s="735">
        <f>AE67*AB67</f>
        <v>2677948</v>
      </c>
      <c r="BI67" s="735">
        <f>AI67*AB67</f>
        <v>0</v>
      </c>
      <c r="BJ67" s="735">
        <f>(AU67-AI67-AJ67)*AB67</f>
        <v>225942.47066039668</v>
      </c>
      <c r="BK67" s="735">
        <f>AJ67*AB67</f>
        <v>0</v>
      </c>
      <c r="BL67" s="735"/>
      <c r="BM67" s="735"/>
      <c r="BN67" s="736">
        <f>BC67-31</f>
        <v>46328</v>
      </c>
      <c r="BO67" s="769">
        <f t="shared" si="41"/>
        <v>46328</v>
      </c>
      <c r="BS67"/>
      <c r="BT67"/>
    </row>
    <row r="68" spans="1:72" ht="6.75" customHeight="1" thickBot="1" x14ac:dyDescent="0.4">
      <c r="A68"/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W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J68" s="2">
        <f>(AU68-AI68-AJ68)*AB68</f>
        <v>0</v>
      </c>
      <c r="BK68" s="2">
        <f>AJ68*AB68</f>
        <v>0</v>
      </c>
      <c r="BO68" s="769">
        <f t="shared" si="41"/>
        <v>0</v>
      </c>
      <c r="BS68"/>
      <c r="BT68"/>
    </row>
    <row r="69" spans="1:72" ht="16" thickBot="1" x14ac:dyDescent="0.4">
      <c r="A69"/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W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 s="1017" t="s">
        <v>222</v>
      </c>
      <c r="AX69" s="1018"/>
      <c r="AY69" s="643">
        <f>AY71-AY70</f>
        <v>18.563453541913717</v>
      </c>
      <c r="BB69" s="640"/>
      <c r="BC69" s="530"/>
      <c r="BD69" s="530"/>
      <c r="BE69" s="530"/>
      <c r="BF69" s="597"/>
      <c r="BG69" s="597"/>
      <c r="BH69" s="735"/>
      <c r="BI69" s="735"/>
      <c r="BJ69" s="735"/>
      <c r="BK69" s="735"/>
      <c r="BL69" s="735"/>
      <c r="BM69" s="735"/>
      <c r="BO69" s="769">
        <f t="shared" si="41"/>
        <v>0</v>
      </c>
      <c r="BS69"/>
      <c r="BT69"/>
    </row>
    <row r="70" spans="1:72" ht="16" thickBot="1" x14ac:dyDescent="0.4">
      <c r="A70" s="598">
        <f t="shared" si="121"/>
        <v>46341</v>
      </c>
      <c r="B70" s="599">
        <f t="shared" ref="B70:B71" si="129">IF(ISBLANK(A70),"",A70+2)</f>
        <v>46343</v>
      </c>
      <c r="C70" s="600"/>
      <c r="D70" s="601">
        <f>IF(AL70=0,0,VLOOKUP(Y70,Control!$G$41:$J$44,4,FALSE))</f>
        <v>0</v>
      </c>
      <c r="E70" s="602">
        <f t="shared" ref="E70:E71" si="130">AVERAGE(A70:B70)+D70</f>
        <v>46342</v>
      </c>
      <c r="F70" s="600"/>
      <c r="G70" s="600"/>
      <c r="H70" s="600"/>
      <c r="I70" s="600"/>
      <c r="J70" s="600"/>
      <c r="K70" s="600"/>
      <c r="L70" s="600"/>
      <c r="M70" s="600"/>
      <c r="N70" s="600"/>
      <c r="O70" s="600"/>
      <c r="P70" s="600"/>
      <c r="Q70" s="600"/>
      <c r="R70" s="600"/>
      <c r="S70" s="600"/>
      <c r="T70" s="603">
        <f>$T$50</f>
        <v>21.860800000000001</v>
      </c>
      <c r="U70" s="604">
        <f>INDEX(Control!$E$17:$J$21,MATCH(Y70,Control!$E$17:$E$21,0),MATCH(V70,Control!$E$17:$J$17,0))</f>
        <v>0</v>
      </c>
      <c r="V70" s="604" t="s">
        <v>45</v>
      </c>
      <c r="W70" s="605">
        <f>INDEX(Vessel_Minimum_MT,MATCH(Y70,Control!$E$11:$E$15,0),MATCH(V70,Control!$E$11:$J$11,0))</f>
        <v>70000</v>
      </c>
      <c r="X70" s="603">
        <f>AB70/Control!$D$84</f>
        <v>90096.96796338672</v>
      </c>
      <c r="Y70" s="606" t="s">
        <v>23</v>
      </c>
      <c r="Z70" s="607" t="s">
        <v>119</v>
      </c>
      <c r="AA70" s="607" t="str">
        <f>AA51</f>
        <v>USGC/Nsea</v>
      </c>
      <c r="AB70" s="608">
        <v>700000</v>
      </c>
      <c r="AC70" s="609">
        <v>70</v>
      </c>
      <c r="AD70" s="610">
        <v>145</v>
      </c>
      <c r="AE70" s="611">
        <f>IF(AC70&gt;1000,IF(AD70=0,AC70,AD70)/AB70,((W70*T70*(IF(AD70=0,AC70,AD70)/100))+IF(X70&lt;W70,0,(X70-W70)*T70*IF(AD70=0,AC70,AD70)/100*U70))/AB70)</f>
        <v>3.1698159999999995</v>
      </c>
      <c r="AF70" s="612">
        <v>0</v>
      </c>
      <c r="AG70" s="595">
        <f>INDEX(Control!$AS$36:$AY$118,MATCH('CLK1'!$Z70,Control!$AS$36:$AS$118,0),MATCH('CLK1'!AG$23,Control!$AS$36:$AY$36,0))</f>
        <v>-10</v>
      </c>
      <c r="AH70" s="782">
        <f>INDEX(Control!$AS$36:$AY$118,MATCH('CLK1'!$Z70,Control!$AS$36:$AS$118,0),MATCH('CLK1'!AH$23,Control!$AS$36:$AY$36,0))</f>
        <v>14</v>
      </c>
      <c r="AI70" s="613">
        <f>AF70*VLOOKUP($Y70,Control!$F$75:$H$87,3,FALSE)/$AB70</f>
        <v>0</v>
      </c>
      <c r="AJ70" s="612">
        <f>IF($AK$3=1,$AG70*Control!$D$77,0)</f>
        <v>0</v>
      </c>
      <c r="AK70" s="612">
        <f>IF($AK$4=1,$AH70*Control!$D$77,0)</f>
        <v>0.18250630136986304</v>
      </c>
      <c r="AL70" s="613">
        <f>IF(((AB70-VLOOKUP(Y70,Control!$J$76:$K$80,2,FALSE))/Control!$D$85)&lt;=0,0,ROUNDUP(((AB70-VLOOKUP(Y70,Control!$J$76:$K$80,2,FALSE))/Control!$D$85),0)*Control!$H$90/AB70)</f>
        <v>0</v>
      </c>
      <c r="AM70" s="613">
        <f>IF(I70="Corpus Christi",Control!$D$76,0)</f>
        <v>0</v>
      </c>
      <c r="AN70" s="613">
        <v>0</v>
      </c>
      <c r="AO70" s="613">
        <f>Control!$D$78</f>
        <v>0</v>
      </c>
      <c r="AP70" s="613"/>
      <c r="AQ70" s="613"/>
      <c r="AR70" s="613"/>
      <c r="AS70" s="29">
        <f>$AS$50</f>
        <v>0.14026865671641792</v>
      </c>
      <c r="AT70" s="613">
        <f>IF(AND(L70="Chiriqui Grande",V70="Puerto Armuelles"),Control!$G$93,0)</f>
        <v>0</v>
      </c>
      <c r="AU70" s="611">
        <f>SUM(AI70:AT70)</f>
        <v>0.32277495808628098</v>
      </c>
      <c r="AV70" s="611">
        <f>+R70+AE70+AU70</f>
        <v>3.4925909580862804</v>
      </c>
      <c r="AW70" s="50">
        <f>IF((MONTH(A70)=MONTH(BG70)),0,IF(((MONTH(BG70))-MONTH(A70))+12*YEAR(BF70)-YEAR(A70)&gt;1,SUMIFS($BC$4:$BF$4,$BC$3:$BF$3,"&lt;="&amp;EOMONTH(BF70,-1),$BC$3:$BF$3,"&gt;="&amp;EOMONTH(A70,0)),VLOOKUP("Spreads",$BB$3:$BF$4,MATCH(EOMONTH(A70,0),$BB$3:$BF$3,0))))</f>
        <v>2.9</v>
      </c>
      <c r="AX70" s="614">
        <f>-IF((MONTH(BC3)=MONTH(BG70)),0,IF(((MONTH(BG70))-MONTH(BC3))+12*YEAR(BF70)-YEAR(BC3)&gt;1,SUMIFS($BC$4:$BG$4,$BC$3:$BG$3,"&lt;="&amp;EOMONTH(BF70,-1),$BC$3:$BG$3,"&gt;="&amp;EOMONTH(BC3,0)),VLOOKUP("Spreads",$BB$3:$BG$4,MATCH(EOMONTH(BC3,0),$BC$3:$BG$3,0))))</f>
        <v>-2.9</v>
      </c>
      <c r="AY70" s="642">
        <f>$Y$4+AV70+AW70+AX70</f>
        <v>-17.507409041913718</v>
      </c>
      <c r="AZ70" s="615"/>
      <c r="BA70" s="615"/>
      <c r="BB70" s="601">
        <f>$BB$50</f>
        <v>17</v>
      </c>
      <c r="BC70" s="599">
        <f>IF(ISBLANK(E70),"",E70+$BB70+D70)</f>
        <v>46359</v>
      </c>
      <c r="BD70" s="599">
        <f t="shared" ref="BD70:BD71" si="131">BC70+2</f>
        <v>46361</v>
      </c>
      <c r="BE70" s="599" t="s">
        <v>157</v>
      </c>
      <c r="BF70" s="636">
        <f t="shared" si="127"/>
        <v>46387</v>
      </c>
      <c r="BG70" s="637">
        <f t="shared" si="128"/>
        <v>46387</v>
      </c>
      <c r="BH70" s="735">
        <f>AE70*AB70</f>
        <v>2218871.1999999997</v>
      </c>
      <c r="BI70" s="735">
        <f>AI70*AB70</f>
        <v>0</v>
      </c>
      <c r="BJ70" s="735">
        <f>(AU70-AI70-AJ70)*AB70</f>
        <v>225942.47066039668</v>
      </c>
      <c r="BK70" s="735">
        <f>AJ70*AB70</f>
        <v>0</v>
      </c>
      <c r="BL70" s="735"/>
      <c r="BM70" s="735"/>
      <c r="BN70" s="735">
        <f>(AV70-AJ70)*AB70</f>
        <v>2444813.6706603961</v>
      </c>
      <c r="BO70" s="769">
        <f t="shared" si="41"/>
        <v>2444813.6706603961</v>
      </c>
      <c r="BS70"/>
      <c r="BT70"/>
    </row>
    <row r="71" spans="1:72" x14ac:dyDescent="0.35">
      <c r="A71" s="616">
        <f t="shared" si="121"/>
        <v>46341</v>
      </c>
      <c r="B71" s="617">
        <f t="shared" si="129"/>
        <v>46343</v>
      </c>
      <c r="C71" s="618"/>
      <c r="D71" s="619">
        <f>IF(AL71=0,0,VLOOKUP(Y71,Control!$G$41:$J$44,4,FALSE))</f>
        <v>0</v>
      </c>
      <c r="E71" s="620">
        <f t="shared" si="130"/>
        <v>46342</v>
      </c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21">
        <v>6.89</v>
      </c>
      <c r="U71" s="622">
        <f>INDEX(Control!$E$17:$J$21,MATCH(Y71,Control!$E$17:$E$21,0),MATCH(V71,Control!$E$17:$J$17,0))</f>
        <v>0</v>
      </c>
      <c r="V71" s="622" t="s">
        <v>45</v>
      </c>
      <c r="W71" s="623">
        <v>86700</v>
      </c>
      <c r="X71" s="621">
        <f>AB71/Control!$D$84</f>
        <v>90096.96796338672</v>
      </c>
      <c r="Y71" s="624" t="s">
        <v>23</v>
      </c>
      <c r="Z71" s="625" t="s">
        <v>119</v>
      </c>
      <c r="AA71" s="625" t="str">
        <f>AA52</f>
        <v>USGC/Nsea</v>
      </c>
      <c r="AB71" s="626">
        <v>700000</v>
      </c>
      <c r="AC71" s="627">
        <v>70</v>
      </c>
      <c r="AD71" s="628">
        <v>105</v>
      </c>
      <c r="AE71" s="629">
        <f>IF(AC71&gt;1000,IF(AD71=0,AC71,AD71)/AB71,((W71*T71*(IF(AD71=0,AC71,AD71)/100))+IF(X71&lt;W71,0,(X71-W71)*T71*IF(AD71=0,AC71,AD71)/100*U71))/AB71)</f>
        <v>0.89604450000000002</v>
      </c>
      <c r="AF71" s="630">
        <v>0</v>
      </c>
      <c r="AG71" s="631">
        <v>0</v>
      </c>
      <c r="AH71" s="631"/>
      <c r="AI71" s="632">
        <f>AF71*VLOOKUP($Y71,Control!$F$75:$H$87,3,FALSE)/$AB71</f>
        <v>0</v>
      </c>
      <c r="AJ71" s="630">
        <f>$AG71*Control!$D$77</f>
        <v>0</v>
      </c>
      <c r="AK71" s="630"/>
      <c r="AL71" s="632">
        <f>IF(((AB71-VLOOKUP(Y71,Control!$J$76:$K$80,2,FALSE))/Control!$D$85)&lt;=0,0,ROUNDUP(((AB71-VLOOKUP(Y71,Control!$J$76:$K$80,2,FALSE))/Control!$D$85),0)*Control!$H$90/AB71)</f>
        <v>0</v>
      </c>
      <c r="AM71" s="632">
        <f>IF(I71="Corpus Christi",Control!$D$76,0)</f>
        <v>0</v>
      </c>
      <c r="AN71" s="632">
        <v>0</v>
      </c>
      <c r="AO71" s="632">
        <f>Control!$D$78</f>
        <v>0</v>
      </c>
      <c r="AP71" s="632"/>
      <c r="AQ71" s="632"/>
      <c r="AR71" s="632"/>
      <c r="AS71" s="632">
        <v>0.13</v>
      </c>
      <c r="AT71" s="632">
        <f>IF(AND(L71="Chiriqui Grande",V71="Puerto Armuelles"),Control!$G$93,0)</f>
        <v>0</v>
      </c>
      <c r="AU71" s="629">
        <f>SUM(AI71:AT71)</f>
        <v>0.13</v>
      </c>
      <c r="AV71" s="629">
        <f>+R71+AE71+AU71</f>
        <v>1.0260445</v>
      </c>
      <c r="AW71" s="629"/>
      <c r="AX71" s="633"/>
      <c r="AY71" s="634">
        <f>$Y$5+AV71+AW71+AX71</f>
        <v>1.0560445000000001</v>
      </c>
      <c r="AZ71" s="635"/>
      <c r="BA71" s="635"/>
      <c r="BB71" s="619">
        <f>$BB$50</f>
        <v>17</v>
      </c>
      <c r="BC71" s="617">
        <f>IF(ISBLANK(E71),"",E71+$BB71+D71)</f>
        <v>46359</v>
      </c>
      <c r="BD71" s="617">
        <f t="shared" si="131"/>
        <v>46361</v>
      </c>
      <c r="BE71" s="617" t="s">
        <v>157</v>
      </c>
      <c r="BF71" s="636">
        <f t="shared" si="127"/>
        <v>46387</v>
      </c>
      <c r="BG71" s="637">
        <f t="shared" si="128"/>
        <v>46387</v>
      </c>
      <c r="BH71" s="735">
        <f>AE71*AB71</f>
        <v>627231.15</v>
      </c>
      <c r="BI71" s="735">
        <f>AI71*AB71</f>
        <v>0</v>
      </c>
      <c r="BJ71" s="735">
        <f>(AU71-AI71-AJ71)*AB71</f>
        <v>91000</v>
      </c>
      <c r="BK71" s="735">
        <f>AJ71*AB71</f>
        <v>0</v>
      </c>
      <c r="BL71" s="735"/>
      <c r="BM71" s="735"/>
      <c r="BN71" s="735">
        <f>(AV71-AJ71)*AB71</f>
        <v>718231.15</v>
      </c>
      <c r="BO71" s="769">
        <f t="shared" si="41"/>
        <v>718231.15</v>
      </c>
      <c r="BS71"/>
      <c r="BT71"/>
    </row>
    <row r="72" spans="1:72" ht="19" thickBot="1" x14ac:dyDescent="0.5">
      <c r="A72" s="82"/>
      <c r="B72" s="82"/>
      <c r="D72" s="77"/>
      <c r="E72" s="520"/>
      <c r="F72"/>
      <c r="G72"/>
      <c r="H72"/>
      <c r="I72"/>
      <c r="J72"/>
      <c r="K72"/>
      <c r="L72"/>
      <c r="M72"/>
      <c r="N72"/>
      <c r="O72"/>
      <c r="P72"/>
      <c r="Q72"/>
      <c r="T72" s="410"/>
      <c r="U72" s="410"/>
      <c r="V72" s="410"/>
      <c r="W72" s="410"/>
      <c r="X72" s="410"/>
      <c r="Y72" s="1008" t="s">
        <v>223</v>
      </c>
      <c r="Z72" s="1009"/>
      <c r="AA72" s="1009"/>
      <c r="AB72" s="1009"/>
      <c r="AC72" s="1009"/>
      <c r="AD72" s="1009"/>
      <c r="AE72" s="1009"/>
      <c r="AF72" s="1009"/>
      <c r="AG72" s="1009"/>
      <c r="AH72" s="1009"/>
      <c r="AI72" s="1009"/>
      <c r="AJ72" s="1009"/>
      <c r="AK72" s="1009"/>
      <c r="AL72" s="1009"/>
      <c r="AM72" s="1009"/>
      <c r="AN72" s="1009"/>
      <c r="AO72" s="1009"/>
      <c r="AP72" s="1009"/>
      <c r="AQ72" s="1009"/>
      <c r="AR72" s="1009"/>
      <c r="AS72" s="1009"/>
      <c r="AT72" s="1009"/>
      <c r="AU72" s="1009"/>
      <c r="AV72" s="1009"/>
      <c r="AW72" s="1009"/>
      <c r="AX72" s="1009"/>
      <c r="AY72" s="1010"/>
      <c r="BB72" s="77"/>
      <c r="BC72"/>
      <c r="BD72"/>
      <c r="BE72"/>
      <c r="BF72"/>
      <c r="BG72"/>
      <c r="BH72" s="735">
        <f t="shared" ref="BH72:BK72" si="132">BH70-BH71</f>
        <v>1591640.0499999998</v>
      </c>
      <c r="BI72" s="735">
        <f t="shared" si="132"/>
        <v>0</v>
      </c>
      <c r="BJ72" s="735">
        <f t="shared" si="132"/>
        <v>134942.47066039668</v>
      </c>
      <c r="BK72" s="735">
        <f t="shared" si="132"/>
        <v>0</v>
      </c>
      <c r="BL72" s="735"/>
      <c r="BM72" s="735"/>
      <c r="BN72" s="735">
        <f>BN70-BN71</f>
        <v>1726582.5206603962</v>
      </c>
      <c r="BO72" s="769">
        <f t="shared" si="41"/>
        <v>1726582.5206603962</v>
      </c>
      <c r="BS72"/>
      <c r="BT72"/>
    </row>
    <row r="73" spans="1:72" ht="23.25" customHeight="1" thickBot="1" x14ac:dyDescent="0.4">
      <c r="A73" s="309">
        <v>45795</v>
      </c>
      <c r="B73" s="310">
        <f>A73+2</f>
        <v>45797</v>
      </c>
      <c r="D73" s="229">
        <f>IF(AL73=0,0,VLOOKUP(Y73,Control!$G$41:$J$44,4,FALSE))</f>
        <v>3</v>
      </c>
      <c r="E73" s="519">
        <f t="shared" ref="E73" si="133">AVERAGE(A73:B73)+D73</f>
        <v>45799</v>
      </c>
      <c r="F73"/>
      <c r="G73"/>
      <c r="H73"/>
      <c r="I73"/>
      <c r="J73"/>
      <c r="K73"/>
      <c r="L73"/>
      <c r="M73"/>
      <c r="N73"/>
      <c r="O73"/>
      <c r="P73"/>
      <c r="Q73"/>
      <c r="T73" s="220">
        <v>0</v>
      </c>
      <c r="U73" s="220">
        <v>0</v>
      </c>
      <c r="V73" s="220" t="s">
        <v>45</v>
      </c>
      <c r="W73" s="213" t="e">
        <f>INDEX(Vessel_Minimum_MT,MATCH(Y73,Control!$E$11:$E$15,0),MATCH(V73,Control!$E$11:$J$11,0))</f>
        <v>#N/A</v>
      </c>
      <c r="X73" s="222">
        <f>AB73/Control!$D$84</f>
        <v>269647.3541189931</v>
      </c>
      <c r="Y73" s="215" t="s">
        <v>26</v>
      </c>
      <c r="Z73" s="212" t="s">
        <v>42</v>
      </c>
      <c r="AA73" s="212" t="str">
        <f>IF(Z73=V73,"",CONCATENATE(CONCATENATE(VLOOKUP(V73,Zones,2,FALSE),"/",VLOOKUP(Z73,Zones,2,FALSE))))</f>
        <v>USGC/Nsea</v>
      </c>
      <c r="AB73" s="214">
        <v>2095000</v>
      </c>
      <c r="AC73" s="214"/>
      <c r="AD73" s="377">
        <f>AD60</f>
        <v>3800000</v>
      </c>
      <c r="AE73" s="225">
        <f>AD73/AB73</f>
        <v>1.8138424821002386</v>
      </c>
      <c r="AF73" s="306">
        <v>7</v>
      </c>
      <c r="AG73" s="214">
        <f>IF(AND($BB$48=1,VLOOKUP(Z73,Control!$AS$37:$AV$68,4,FALSE)&lt;0),0,VLOOKUP(Z73,Control!$AS$37:$AV$68,4,FALSE))</f>
        <v>-8</v>
      </c>
      <c r="AH73" s="214"/>
      <c r="AI73" s="227">
        <f>AF73*VLOOKUP($Y73,Control!$F$75:$H$87,3,FALSE)/$AB73</f>
        <v>1.503579952267303</v>
      </c>
      <c r="AJ73" s="226">
        <f>$AG73*Control!$D$77</f>
        <v>-0.10428931506849316</v>
      </c>
      <c r="AK73" s="226"/>
      <c r="AL73" s="227">
        <f>IF(((AB73-VLOOKUP(Y73,Control!$J$76:$K$80,2,FALSE))/Control!$D$85)&lt;=0,0,ROUNDUP(((AB73-VLOOKUP(Y73,Control!$J$76:$K$80,2,FALSE))/Control!$D$85),0)*Control!$H$90/AB73)</f>
        <v>0.883054892601432</v>
      </c>
      <c r="AM73" s="227">
        <f>IF(I73="Corpus Christi",Control!$D$76,0)</f>
        <v>0</v>
      </c>
      <c r="AN73" s="227">
        <v>0</v>
      </c>
      <c r="AO73" s="227">
        <f>Control!$D$78</f>
        <v>0</v>
      </c>
      <c r="AP73" s="227">
        <f>Control!$D$79</f>
        <v>6.7299999999999999E-2</v>
      </c>
      <c r="AQ73" s="227">
        <f>IF(INDEX(Control!$Q$3:$S$62,MATCH($Z73,Control!$Q$3:$Q$62,0),MATCH(AQ$8,Control!$Q$3:$S$3,0))=1,Control!$D$81*Control!$E$81,0)</f>
        <v>0</v>
      </c>
      <c r="AR73" s="227">
        <f>IF(INDEX(Control!$Q$3:$S$62,MATCH($Z73,Control!$Q$3:$Q$62,0),MATCH(AR$8,Control!$Q$3:$S$3,0))=1,INDEX(Control!$AK$3:$AO$69,MATCH('CLK1'!Z73,Control!$AK$3:$AK$29,0),MATCH('CLK1'!Y73,Control!$AK$3:$AO$3,0))/AB73*1000,0)</f>
        <v>0</v>
      </c>
      <c r="AS73" s="143">
        <f>116490/AB73</f>
        <v>5.5603818615751789E-2</v>
      </c>
      <c r="AT73" s="227"/>
      <c r="AU73" s="225">
        <f>SUM(AI73:AT73)</f>
        <v>2.4052493484159934</v>
      </c>
      <c r="AV73" s="225">
        <f>+R73+AE73+AU73</f>
        <v>4.2190918305162324</v>
      </c>
      <c r="AW73" s="225">
        <f>IF((MONTH(A73)=MONTH(BG73)),0,IF(((MONTH(BG73))-MONTH(A73))+12*YEAR(BF73)-YEAR(A73)&gt;1,SUMIFS($BC$4:$BG$4,$BC$3:$BG$3,"&lt;="&amp;EOMONTH(BF73,-1),$BC$3:$BG$3,"&gt;="&amp;EOMONTH(A73,0)),VLOOKUP("Spreads",$BB$3:$BG$4,MATCH(EOMONTH(A73,0),$BB$3:$BG$3,0))))</f>
        <v>0</v>
      </c>
      <c r="AX73" s="225" t="e">
        <f>-HLOOKUP(EOMONTH(BF73,0),$BC$3:$BF$6,3,FALSE)</f>
        <v>#N/A</v>
      </c>
      <c r="AY73" s="656" t="e">
        <f>$Y$3+AV73+AW73+AX73</f>
        <v>#N/A</v>
      </c>
      <c r="BA73" s="220"/>
      <c r="BB73" s="229">
        <f>+INDEX('[1]Transit Time'!$A:$DZ,MATCH(V73,'[1]Transit Time'!$A:$A,0),MATCH(Z73,'[1]Transit Time'!$A$1:$DZ$1,0))</f>
        <v>17</v>
      </c>
      <c r="BC73" s="230">
        <f t="shared" ref="BC73" si="134">IF(ISBLANK(A73),"",A73+$BB73+D73)</f>
        <v>45815</v>
      </c>
      <c r="BD73" s="230">
        <f t="shared" ref="BD73" si="135">BC73+2</f>
        <v>45817</v>
      </c>
      <c r="BE73" s="230" t="s">
        <v>157</v>
      </c>
      <c r="BF73" s="489">
        <f t="shared" ref="BF73" si="136">EOMONTH(BD73,0)</f>
        <v>45838</v>
      </c>
      <c r="BG73" s="489">
        <f t="shared" ref="BG73" si="137">BF73</f>
        <v>45838</v>
      </c>
      <c r="BH73"/>
      <c r="BS73"/>
      <c r="BT73"/>
    </row>
    <row r="74" spans="1:72" ht="17.25" customHeight="1" thickBot="1" x14ac:dyDescent="0.4">
      <c r="A74"/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W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O74"/>
      <c r="BP74"/>
      <c r="BQ74"/>
      <c r="BR74"/>
      <c r="BS74"/>
      <c r="BT74"/>
    </row>
    <row r="75" spans="1:72" ht="17.25" customHeight="1" thickBot="1" x14ac:dyDescent="0.4">
      <c r="A75" s="163">
        <f>BC73+1</f>
        <v>45816</v>
      </c>
      <c r="B75" s="163">
        <f>A75+2</f>
        <v>45818</v>
      </c>
      <c r="D75" s="153">
        <f>IF(AL75=0,0,VLOOKUP(Y75,Control!$G$41:$J$44,4,FALSE))</f>
        <v>0</v>
      </c>
      <c r="E75" s="518">
        <f t="shared" ref="E75:E83" si="138">AVERAGE(A75:B75)+D75</f>
        <v>45817</v>
      </c>
      <c r="F75"/>
      <c r="G75"/>
      <c r="H75"/>
      <c r="I75"/>
      <c r="J75"/>
      <c r="K75"/>
      <c r="L75"/>
      <c r="M75"/>
      <c r="N75"/>
      <c r="O75"/>
      <c r="P75"/>
      <c r="Q75"/>
      <c r="T75" s="140">
        <v>0</v>
      </c>
      <c r="U75" s="138">
        <v>0</v>
      </c>
      <c r="V75" s="138" t="s">
        <v>64</v>
      </c>
      <c r="W75" s="116">
        <f>INDEX(Vessel_Minimum_MT,MATCH(Y75,Control!$E$11:$E$15,0),MATCH(V75,Control!$E$11:$O$11,0))</f>
        <v>80000</v>
      </c>
      <c r="X75" s="140">
        <f>AB75/Control!$D$84</f>
        <v>89882.451372997719</v>
      </c>
      <c r="Y75" s="48" t="s">
        <v>23</v>
      </c>
      <c r="Z75" s="639" t="s">
        <v>42</v>
      </c>
      <c r="AA75" s="142" t="str">
        <f t="shared" ref="AA75:AA80" si="139">IF(Z75=V75,"",CONCATENATE(CONCATENATE(VLOOKUP(V75,Zones,2,FALSE),"/",VLOOKUP(Z75,Zones,2,FALSE))))</f>
        <v>Nsea/Nsea</v>
      </c>
      <c r="AB75" s="379">
        <f>AB73/3</f>
        <v>698333.33333333337</v>
      </c>
      <c r="AC75" s="141">
        <v>70</v>
      </c>
      <c r="AD75" s="654">
        <v>125</v>
      </c>
      <c r="AE75" s="149">
        <f>IF(AC75&gt;1000,IF(AD75=0,AC75,AD75)/AB75,((W75*T75*(IF(AD75=0,AC75,AD75)/100))+IF(X75&lt;W75,0,(X75-W75)*T75*IF(AD75=0,AC75,AD75)/100*U75))/AB75)</f>
        <v>0</v>
      </c>
      <c r="AF75" s="144"/>
      <c r="AG75" s="155">
        <f>IF(AND($BB$48=1,VLOOKUP(Z75,Control!$AS$37:$AV$68,4,FALSE)&lt;0),0,VLOOKUP(Z75,Control!$AS$37:$AV$68,4,FALSE))-$AG$73+2</f>
        <v>2</v>
      </c>
      <c r="AH75" s="155"/>
      <c r="AI75" s="143">
        <f>AF75*VLOOKUP($Y75,Control!$F$75:$H$87,3,FALSE)/$AB75</f>
        <v>0</v>
      </c>
      <c r="AJ75" s="144">
        <f>$AG75*Control!$D$77</f>
        <v>2.6072328767123291E-2</v>
      </c>
      <c r="AK75" s="144"/>
      <c r="AL75" s="143">
        <f>Control!$I$90/'CLK1'!AB75</f>
        <v>0.10739856801909307</v>
      </c>
      <c r="AM75" s="143">
        <f>IF(I75="Corpus Christi",Control!$D$76,0)</f>
        <v>0</v>
      </c>
      <c r="AN75" s="143">
        <v>0</v>
      </c>
      <c r="AO75" s="143">
        <f>Control!$D$78</f>
        <v>0</v>
      </c>
      <c r="AP75" s="143">
        <f>Control!$D$79</f>
        <v>6.7299999999999999E-2</v>
      </c>
      <c r="AQ75" s="143">
        <f>IF(INDEX(Control!$Q$3:$S$62,MATCH($Z75,Control!$Q$3:$Q$62,0),MATCH(AQ$8,Control!$Q$3:$S$3,0))=1,Control!$D$81*Control!$E$81,0)</f>
        <v>0</v>
      </c>
      <c r="AR75" s="143">
        <f>IF(INDEX(Control!$Q$3:$S$62,MATCH($Z75,Control!$Q$3:$Q$62,0),MATCH(AR$8,Control!$Q$3:$S$3,0))=1,INDEX(Control!$AK$3:$AO$69,MATCH('CLK1'!Z75,Control!$AK$3:$AK$29,0),MATCH('CLK1'!Y75,Control!$AK$3:$AO$3,0))/AB75*1000,0)</f>
        <v>0</v>
      </c>
      <c r="AS75" s="143">
        <f>93980/AB75</f>
        <v>0.13457756563245823</v>
      </c>
      <c r="AT75" s="143"/>
      <c r="AU75" s="149">
        <f t="shared" ref="AU75:AU76" si="140">SUM(AI75:AT75)</f>
        <v>0.33534846241867461</v>
      </c>
      <c r="AV75" s="149">
        <f t="shared" ref="AV75:AV83" si="141">+R75+AE75+AU75</f>
        <v>0.33534846241867461</v>
      </c>
      <c r="AW75" s="98">
        <f t="shared" ref="AW75:AW83" si="142">IF((MONTH(A75)=MONTH(BG75)),0,IF(((MONTH(BG75))-MONTH(A75))+12*YEAR(BF75)-YEAR(A75)&gt;1,SUMIFS($BC$4:$BG$4,$BC$3:$BG$3,"&lt;="&amp;EOMONTH(BF75,-1),$BC$3:$BG$3,"&gt;="&amp;EOMONTH(A75,0)),VLOOKUP("Spreads",$BB$3:$BG$4,MATCH(EOMONTH(A75,0),$BB$3:$BG$3,0))))</f>
        <v>0</v>
      </c>
      <c r="AX75" s="149">
        <v>0</v>
      </c>
      <c r="AY75" s="638" t="e">
        <f t="shared" ref="AY75:AY83" si="143">$AY$73+AV75+AW75+AX75</f>
        <v>#N/A</v>
      </c>
      <c r="BB75" s="153">
        <v>4</v>
      </c>
      <c r="BC75" s="163">
        <f>IF(ISBLANK(E75),"",E75+$BB75+D75)</f>
        <v>45821</v>
      </c>
      <c r="BD75" s="163">
        <f t="shared" ref="BD75:BD83" si="144">BC75+2</f>
        <v>45823</v>
      </c>
      <c r="BE75" s="163" t="s">
        <v>157</v>
      </c>
      <c r="BF75" s="490">
        <f t="shared" ref="BF75:BF83" si="145">EOMONTH(BD75,0)</f>
        <v>45838</v>
      </c>
      <c r="BG75" s="490">
        <f t="shared" ref="BG75:BG83" si="146">BF75</f>
        <v>45838</v>
      </c>
      <c r="BH75"/>
      <c r="BS75"/>
      <c r="BT75"/>
    </row>
    <row r="76" spans="1:72" ht="17.25" customHeight="1" x14ac:dyDescent="0.35">
      <c r="A76" s="230">
        <f>A75</f>
        <v>45816</v>
      </c>
      <c r="B76" s="230">
        <f>B75</f>
        <v>45818</v>
      </c>
      <c r="D76" s="229">
        <f>IF(AL76=0,0,VLOOKUP(Y76,Control!$G$41:$J$44,4,FALSE))</f>
        <v>0</v>
      </c>
      <c r="E76" s="519">
        <f t="shared" si="138"/>
        <v>45817</v>
      </c>
      <c r="F76"/>
      <c r="G76"/>
      <c r="H76"/>
      <c r="I76"/>
      <c r="J76"/>
      <c r="K76"/>
      <c r="L76"/>
      <c r="M76"/>
      <c r="N76"/>
      <c r="O76"/>
      <c r="P76"/>
      <c r="Q76"/>
      <c r="T76" s="478">
        <f>INDEX('[2]Flat Rates 2025'!$A:$DZ,MATCH(V76,'[2]Flat Rates 2025'!$A:$A,0),MATCH(Z76,'[2]Flat Rates 2025'!$A$1:$DZ$1,0))</f>
        <v>7.32</v>
      </c>
      <c r="U76" s="220">
        <v>0</v>
      </c>
      <c r="V76" s="220" t="s">
        <v>64</v>
      </c>
      <c r="W76" s="213">
        <f>INDEX(Vessel_Minimum_MT,MATCH(Y76,Control!$E$11:$E$15,0),MATCH(V76,Control!$E$11:$O$11,0))</f>
        <v>80000</v>
      </c>
      <c r="X76" s="222">
        <f>AB76/Control!$D$84</f>
        <v>89882.451372997719</v>
      </c>
      <c r="Y76" s="215" t="s">
        <v>23</v>
      </c>
      <c r="Z76" s="212" t="s">
        <v>47</v>
      </c>
      <c r="AA76" s="212" t="str">
        <f t="shared" si="139"/>
        <v>Nsea/Nsea</v>
      </c>
      <c r="AB76" s="312">
        <f>AB75</f>
        <v>698333.33333333337</v>
      </c>
      <c r="AC76" s="214">
        <v>70</v>
      </c>
      <c r="AD76" s="262">
        <f t="shared" ref="AD76:AD83" si="147">$AD$75</f>
        <v>125</v>
      </c>
      <c r="AE76" s="225">
        <f t="shared" ref="AE76" si="148">IF(AC76&gt;1000,IF(AD76=0,AC76,AD76)/AB76,((W76*T76*(IF(AD76=0,AC76,AD76)/100))+IF(X76&lt;W76,0,(X76-W76)*T76*IF(AD76=0,AC76,AD76)/100*U76))/AB76)</f>
        <v>1.0482100238663483</v>
      </c>
      <c r="AF76" s="226">
        <f t="shared" ref="AF76:AF83" si="149">$AF$50</f>
        <v>0</v>
      </c>
      <c r="AG76" s="214">
        <f>IF(AND($BB$48=1,VLOOKUP(Z76,Control!$AS$37:$AV$68,4,FALSE)&lt;0),0,VLOOKUP(Z76,Control!$AS$37:$AV$68,4,FALSE))-$AG$73+2</f>
        <v>2</v>
      </c>
      <c r="AH76" s="214"/>
      <c r="AI76" s="227">
        <f>AF76*VLOOKUP($Y76,Control!$F$75:$H$87,3,FALSE)/$AB76</f>
        <v>0</v>
      </c>
      <c r="AJ76" s="226">
        <f>$AG76*Control!$D$77</f>
        <v>2.6072328767123291E-2</v>
      </c>
      <c r="AK76" s="226"/>
      <c r="AL76" s="227">
        <f>Control!$I$90/'CLK1'!AB76</f>
        <v>0.10739856801909307</v>
      </c>
      <c r="AM76" s="227">
        <f>IF(I76="Corpus Christi",Control!$D$76,0)</f>
        <v>0</v>
      </c>
      <c r="AN76" s="227">
        <v>0</v>
      </c>
      <c r="AO76" s="227">
        <f>Control!$D$78</f>
        <v>0</v>
      </c>
      <c r="AP76" s="227">
        <f>Control!$D$79</f>
        <v>6.7299999999999999E-2</v>
      </c>
      <c r="AQ76" s="227">
        <f>IF(INDEX(Control!$Q$3:$S$62,MATCH($Z76,Control!$Q$3:$Q$62,0),MATCH(AQ$8,Control!$Q$3:$S$3,0))=1,Control!$D$81*Control!$E$81,0)</f>
        <v>0</v>
      </c>
      <c r="AR76" s="227">
        <f>IF(INDEX(Control!$Q$3:$S$62,MATCH($Z76,Control!$Q$3:$Q$62,0),MATCH(AR$8,Control!$Q$3:$S$3,0))=1,INDEX(Control!$AK$3:$AO$69,MATCH('CLK1'!Z76,Control!$AK$3:$AK$29,0),MATCH('CLK1'!Y76,Control!$AK$3:$AO$3,0))/AB76*1000,0)</f>
        <v>0</v>
      </c>
      <c r="AS76" s="227" t="str">
        <f t="shared" ref="AS76:AS82" si="150">IF(Z76="Rotterdam",0.114,"")</f>
        <v/>
      </c>
      <c r="AT76" s="227"/>
      <c r="AU76" s="225">
        <f t="shared" si="140"/>
        <v>0.20077089678621637</v>
      </c>
      <c r="AV76" s="225">
        <f t="shared" si="141"/>
        <v>1.2489809206525646</v>
      </c>
      <c r="AW76" s="225">
        <f t="shared" si="142"/>
        <v>0</v>
      </c>
      <c r="AX76" s="225">
        <v>0</v>
      </c>
      <c r="AY76" s="498" t="e">
        <f t="shared" si="143"/>
        <v>#N/A</v>
      </c>
      <c r="BA76" s="220"/>
      <c r="BB76" s="229">
        <v>4</v>
      </c>
      <c r="BC76" s="230">
        <f t="shared" ref="BC76:BC82" si="151">IF(ISBLANK(E76),"",E76+$BB76+D76)</f>
        <v>45821</v>
      </c>
      <c r="BD76" s="230">
        <f t="shared" si="144"/>
        <v>45823</v>
      </c>
      <c r="BE76" s="230" t="s">
        <v>157</v>
      </c>
      <c r="BF76" s="489">
        <f t="shared" si="145"/>
        <v>45838</v>
      </c>
      <c r="BG76" s="489">
        <f t="shared" si="146"/>
        <v>45838</v>
      </c>
    </row>
    <row r="77" spans="1:72" ht="17.25" customHeight="1" x14ac:dyDescent="0.35">
      <c r="A77" s="163">
        <f t="shared" ref="A77:B83" si="152">A76</f>
        <v>45816</v>
      </c>
      <c r="B77" s="163">
        <f t="shared" si="152"/>
        <v>45818</v>
      </c>
      <c r="D77" s="153">
        <f>IF(AL77=0,0,VLOOKUP(Y77,Control!$G$41:$J$44,4,FALSE))</f>
        <v>0</v>
      </c>
      <c r="E77" s="518">
        <f t="shared" si="138"/>
        <v>45817</v>
      </c>
      <c r="F77"/>
      <c r="G77"/>
      <c r="H77"/>
      <c r="I77"/>
      <c r="J77"/>
      <c r="K77"/>
      <c r="L77"/>
      <c r="M77"/>
      <c r="N77"/>
      <c r="O77"/>
      <c r="P77"/>
      <c r="Q77"/>
      <c r="T77" s="191">
        <f>INDEX('[2]Flat Rates 2025'!$A:$DZ,MATCH(V77,'[2]Flat Rates 2025'!$A:$A,0),MATCH(Z77,'[2]Flat Rates 2025'!$A$1:$DZ$1,0))</f>
        <v>6.06</v>
      </c>
      <c r="U77" s="138">
        <v>0</v>
      </c>
      <c r="V77" s="138" t="s">
        <v>64</v>
      </c>
      <c r="W77" s="116">
        <f>INDEX(Vessel_Minimum_MT,MATCH(Y77,Control!$E$11:$E$15,0),MATCH(V77,Control!$E$11:$O$11,0))</f>
        <v>80000</v>
      </c>
      <c r="X77" s="140">
        <f>AB77/Control!$D$84</f>
        <v>89882.451372997719</v>
      </c>
      <c r="Y77" s="566" t="s">
        <v>23</v>
      </c>
      <c r="Z77" s="142" t="s">
        <v>39</v>
      </c>
      <c r="AA77" s="142" t="str">
        <f t="shared" si="139"/>
        <v>Nsea/Nsea</v>
      </c>
      <c r="AB77" s="141">
        <f t="shared" ref="AB77:AB81" si="153">AB76</f>
        <v>698333.33333333337</v>
      </c>
      <c r="AC77" s="567">
        <v>70</v>
      </c>
      <c r="AD77" s="568">
        <f t="shared" si="147"/>
        <v>125</v>
      </c>
      <c r="AE77" s="149">
        <f>IF(AC77&gt;1000,IF(AD77=0,AC77,AD77)/AB77,((W77*T77*(IF(AD77=0,AC77,AD77)/100))+IF(X77&lt;W77,0,(X77-W77)*T77*IF(AD77=0,AC77,AD77)/100*U77))/AB77)</f>
        <v>0.86778042959427182</v>
      </c>
      <c r="AF77" s="144">
        <f t="shared" si="149"/>
        <v>0</v>
      </c>
      <c r="AG77" s="155">
        <f>IF(AND($BB$48=1,VLOOKUP(Z77,Control!$AS$37:$AV$68,4,FALSE)&lt;0),0,VLOOKUP(Z77,Control!$AS$37:$AV$68,4,FALSE))-$AG$73+2</f>
        <v>2</v>
      </c>
      <c r="AH77" s="155"/>
      <c r="AI77" s="143">
        <f>AF77*VLOOKUP($Y77,Control!$F$75:$H$87,3,FALSE)/$AB77</f>
        <v>0</v>
      </c>
      <c r="AJ77" s="144">
        <f>$AG77*Control!$D$77</f>
        <v>2.6072328767123291E-2</v>
      </c>
      <c r="AK77" s="144"/>
      <c r="AL77" s="143">
        <f>Control!$I$90/'CLK1'!AB77</f>
        <v>0.10739856801909307</v>
      </c>
      <c r="AM77" s="143">
        <f>IF(I77="Corpus Christi",Control!$D$76,0)</f>
        <v>0</v>
      </c>
      <c r="AN77" s="143">
        <v>0</v>
      </c>
      <c r="AO77" s="143">
        <f>Control!$D$78</f>
        <v>0</v>
      </c>
      <c r="AP77" s="143">
        <f>Control!$D$79</f>
        <v>6.7299999999999999E-2</v>
      </c>
      <c r="AQ77" s="143">
        <f>IF(INDEX(Control!$Q$3:$S$62,MATCH($Z77,Control!$Q$3:$Q$62,0),MATCH(AQ$8,Control!$Q$3:$S$3,0))=1,Control!$D$81*Control!$E$81,0)</f>
        <v>0</v>
      </c>
      <c r="AR77" s="143">
        <f>IF(INDEX(Control!$Q$3:$S$62,MATCH($Z77,Control!$Q$3:$Q$62,0),MATCH(AR$8,Control!$Q$3:$S$3,0))=1,INDEX(Control!$AK$3:$AO$69,MATCH('CLK1'!Z77,Control!$AK$3:$AK$29,0),MATCH('CLK1'!Y77,Control!$AK$3:$AO$3,0))/AB77*1000,0)</f>
        <v>0</v>
      </c>
      <c r="AS77" s="143" t="str">
        <f t="shared" si="150"/>
        <v/>
      </c>
      <c r="AT77" s="143"/>
      <c r="AU77" s="149">
        <f t="shared" ref="AU77" si="154">SUM(AI77:AT77)</f>
        <v>0.20077089678621637</v>
      </c>
      <c r="AV77" s="149">
        <f t="shared" si="141"/>
        <v>1.0685513263804882</v>
      </c>
      <c r="AW77" s="149">
        <f t="shared" si="142"/>
        <v>0</v>
      </c>
      <c r="AX77" s="149">
        <v>0</v>
      </c>
      <c r="AY77" s="501" t="e">
        <f t="shared" si="143"/>
        <v>#N/A</v>
      </c>
      <c r="BB77" s="153">
        <v>4</v>
      </c>
      <c r="BC77" s="163">
        <f t="shared" si="151"/>
        <v>45821</v>
      </c>
      <c r="BD77" s="163">
        <f t="shared" si="144"/>
        <v>45823</v>
      </c>
      <c r="BE77" s="163" t="s">
        <v>157</v>
      </c>
      <c r="BF77" s="490">
        <f t="shared" si="145"/>
        <v>45838</v>
      </c>
      <c r="BG77" s="490">
        <f t="shared" si="146"/>
        <v>45838</v>
      </c>
    </row>
    <row r="78" spans="1:72" ht="17.25" customHeight="1" x14ac:dyDescent="0.35">
      <c r="A78" s="230">
        <f t="shared" si="152"/>
        <v>45816</v>
      </c>
      <c r="B78" s="230">
        <f t="shared" si="152"/>
        <v>45818</v>
      </c>
      <c r="D78" s="229">
        <f>IF(AL78=0,0,VLOOKUP(Y78,Control!$G$41:$J$44,4,FALSE))</f>
        <v>0</v>
      </c>
      <c r="E78" s="519">
        <f t="shared" si="138"/>
        <v>45817</v>
      </c>
      <c r="F78"/>
      <c r="G78"/>
      <c r="H78"/>
      <c r="I78"/>
      <c r="J78"/>
      <c r="K78"/>
      <c r="L78"/>
      <c r="M78"/>
      <c r="N78"/>
      <c r="O78"/>
      <c r="P78"/>
      <c r="Q78"/>
      <c r="T78" s="220">
        <f>INDEX('[2]Flat Rates 2025'!$A:$DZ,MATCH(V78,'[2]Flat Rates 2025'!$A:$A,0),MATCH(Z78,'[2]Flat Rates 2025'!$A$1:$DZ$1,0))</f>
        <v>8.06</v>
      </c>
      <c r="U78" s="220">
        <v>0</v>
      </c>
      <c r="V78" s="220" t="s">
        <v>64</v>
      </c>
      <c r="W78" s="213">
        <f>INDEX(Vessel_Minimum_MT,MATCH(Y78,Control!$E$11:$E$15,0),MATCH(V78,Control!$E$11:$O$11,0))</f>
        <v>80000</v>
      </c>
      <c r="X78" s="222">
        <f>AB78/Control!$D$84</f>
        <v>89882.451372997719</v>
      </c>
      <c r="Y78" s="258" t="s">
        <v>23</v>
      </c>
      <c r="Z78" s="212" t="s">
        <v>82</v>
      </c>
      <c r="AA78" s="212" t="str">
        <f t="shared" si="139"/>
        <v>Nsea/Nsea</v>
      </c>
      <c r="AB78" s="214">
        <f t="shared" si="153"/>
        <v>698333.33333333337</v>
      </c>
      <c r="AC78" s="214">
        <v>70</v>
      </c>
      <c r="AD78" s="224">
        <f t="shared" si="147"/>
        <v>125</v>
      </c>
      <c r="AE78" s="225">
        <f t="shared" ref="AE78:AE83" si="155">IF(AC78&gt;1000,IF(AD78=0,AC78,AD78)/AB78,((W78*T78*(IF(AD78=0,AC78,AD78)/100))+IF(X78&lt;W78,0,(X78-W78)*T78*IF(AD78=0,AC78,AD78)/100*U78))/AB78)</f>
        <v>1.1541766109785203</v>
      </c>
      <c r="AF78" s="226">
        <f t="shared" si="149"/>
        <v>0</v>
      </c>
      <c r="AG78" s="214">
        <f>IF(AND($BB$48=1,VLOOKUP(Z78,Control!$AS$37:$AV$68,4,FALSE)&lt;0),0,VLOOKUP(Z78,Control!$AS$37:$AV$68,4,FALSE))-$AG$73+2</f>
        <v>2</v>
      </c>
      <c r="AH78" s="214"/>
      <c r="AI78" s="227">
        <f>AF78*VLOOKUP($Y78,Control!$F$75:$H$87,3,FALSE)/$AB78</f>
        <v>0</v>
      </c>
      <c r="AJ78" s="226">
        <f>$AG78*Control!$D$77</f>
        <v>2.6072328767123291E-2</v>
      </c>
      <c r="AK78" s="226"/>
      <c r="AL78" s="227">
        <f>Control!$I$90/'CLK1'!AB78</f>
        <v>0.10739856801909307</v>
      </c>
      <c r="AM78" s="227">
        <f>IF(I78="Corpus Christi",Control!$D$76,0)</f>
        <v>0</v>
      </c>
      <c r="AN78" s="227">
        <v>0</v>
      </c>
      <c r="AO78" s="227">
        <f>Control!$D$78</f>
        <v>0</v>
      </c>
      <c r="AP78" s="227">
        <f>Control!$D$79</f>
        <v>6.7299999999999999E-2</v>
      </c>
      <c r="AQ78" s="227">
        <f>IF(INDEX(Control!$Q$3:$S$62,MATCH($Z78,Control!$Q$3:$Q$62,0),MATCH(AQ$8,Control!$Q$3:$S$3,0))=1,Control!$D$81*Control!$E$81,0)</f>
        <v>0.2</v>
      </c>
      <c r="AR78" s="227">
        <f>IF(INDEX(Control!$Q$3:$S$62,MATCH($Z78,Control!$Q$3:$Q$62,0),MATCH(AR$8,Control!$Q$3:$S$3,0))=1,INDEX(Control!$AK$3:$AO$69,MATCH('CLK1'!Z78,Control!$AK$3:$AK$29,0),MATCH('CLK1'!Y78,Control!$AK$3:$AO$3,0))/AB78*1000,0)</f>
        <v>0</v>
      </c>
      <c r="AS78" s="227" t="str">
        <f t="shared" si="150"/>
        <v/>
      </c>
      <c r="AT78" s="227"/>
      <c r="AU78" s="225">
        <f t="shared" ref="AU78" si="156">SUM(AI78:AT78)</f>
        <v>0.40077089678621636</v>
      </c>
      <c r="AV78" s="225">
        <f t="shared" si="141"/>
        <v>1.5549475077647368</v>
      </c>
      <c r="AW78" s="225">
        <f t="shared" si="142"/>
        <v>0</v>
      </c>
      <c r="AX78" s="225">
        <v>0</v>
      </c>
      <c r="AY78" s="498" t="e">
        <f t="shared" si="143"/>
        <v>#N/A</v>
      </c>
      <c r="BA78" s="220"/>
      <c r="BB78" s="229">
        <v>4</v>
      </c>
      <c r="BC78" s="230">
        <f t="shared" si="151"/>
        <v>45821</v>
      </c>
      <c r="BD78" s="230">
        <f t="shared" si="144"/>
        <v>45823</v>
      </c>
      <c r="BE78" s="230" t="s">
        <v>157</v>
      </c>
      <c r="BF78" s="489">
        <f t="shared" si="145"/>
        <v>45838</v>
      </c>
      <c r="BG78" s="489">
        <f t="shared" si="146"/>
        <v>45838</v>
      </c>
    </row>
    <row r="79" spans="1:72" ht="17.25" customHeight="1" x14ac:dyDescent="0.35">
      <c r="A79" s="163">
        <f t="shared" si="152"/>
        <v>45816</v>
      </c>
      <c r="B79" s="163">
        <f t="shared" si="152"/>
        <v>45818</v>
      </c>
      <c r="D79" s="153">
        <f>IF(AL79=0,0,VLOOKUP(Y79,Control!$G$41:$J$44,4,FALSE))</f>
        <v>0</v>
      </c>
      <c r="E79" s="518">
        <f t="shared" si="138"/>
        <v>45817</v>
      </c>
      <c r="F79"/>
      <c r="G79"/>
      <c r="H79"/>
      <c r="I79"/>
      <c r="J79"/>
      <c r="K79"/>
      <c r="L79"/>
      <c r="M79"/>
      <c r="N79"/>
      <c r="O79"/>
      <c r="P79"/>
      <c r="Q79"/>
      <c r="T79" s="191">
        <f>INDEX('[2]Flat Rates 2025'!$A:$DZ,MATCH(V79,'[2]Flat Rates 2025'!$A:$A,0),MATCH(Z79,'[2]Flat Rates 2025'!$A$1:$DZ$1,0))</f>
        <v>11.7</v>
      </c>
      <c r="U79" s="138">
        <v>0</v>
      </c>
      <c r="V79" s="138" t="s">
        <v>64</v>
      </c>
      <c r="W79" s="116">
        <f>INDEX(Vessel_Minimum_MT,MATCH(Y79,Control!$E$11:$E$15,0),MATCH(V79,Control!$E$11:$O$11,0))</f>
        <v>80000</v>
      </c>
      <c r="X79" s="140">
        <f>AB79/Control!$D$84</f>
        <v>89882.451372997719</v>
      </c>
      <c r="Y79" s="147" t="s">
        <v>23</v>
      </c>
      <c r="Z79" s="142" t="s">
        <v>78</v>
      </c>
      <c r="AA79" s="142" t="str">
        <f t="shared" si="139"/>
        <v>Nsea/Nsea</v>
      </c>
      <c r="AB79" s="141">
        <f t="shared" si="153"/>
        <v>698333.33333333337</v>
      </c>
      <c r="AC79" s="141">
        <v>70</v>
      </c>
      <c r="AD79" s="49">
        <f t="shared" si="147"/>
        <v>125</v>
      </c>
      <c r="AE79" s="149">
        <f t="shared" si="155"/>
        <v>1.675417661097852</v>
      </c>
      <c r="AF79" s="28">
        <f t="shared" si="149"/>
        <v>0</v>
      </c>
      <c r="AG79" s="155">
        <f>IF(AND($BB$48=1,VLOOKUP(Z79,Control!$AS$37:$AV$68,4,FALSE)&lt;0),0,VLOOKUP(Z79,Control!$AS$37:$AV$68,4,FALSE))-$AG$73+2</f>
        <v>2</v>
      </c>
      <c r="AH79" s="155"/>
      <c r="AI79" s="143">
        <f>AF79*VLOOKUP($Y79,Control!$F$75:$H$87,3,FALSE)/$AB79</f>
        <v>0</v>
      </c>
      <c r="AJ79" s="144">
        <f>$AG79*Control!$D$77</f>
        <v>2.6072328767123291E-2</v>
      </c>
      <c r="AK79" s="144"/>
      <c r="AL79" s="143">
        <f>Control!$I$90/'CLK1'!AB79</f>
        <v>0.10739856801909307</v>
      </c>
      <c r="AM79" s="143">
        <f>IF(I79="Corpus Christi",Control!$D$76,0)</f>
        <v>0</v>
      </c>
      <c r="AN79" s="143">
        <v>0</v>
      </c>
      <c r="AO79" s="143">
        <f>Control!$D$78</f>
        <v>0</v>
      </c>
      <c r="AP79" s="143">
        <f>Control!$D$79</f>
        <v>6.7299999999999999E-2</v>
      </c>
      <c r="AQ79" s="143">
        <f>IF(INDEX(Control!$Q$3:$S$62,MATCH($Z79,Control!$Q$3:$Q$62,0),MATCH(AQ$8,Control!$Q$3:$S$3,0))=1,Control!$D$81*Control!$E$81,0)</f>
        <v>0</v>
      </c>
      <c r="AR79" s="143">
        <f>IF(INDEX(Control!$Q$3:$S$62,MATCH($Z79,Control!$Q$3:$Q$62,0),MATCH(AR$8,Control!$Q$3:$S$3,0))=1,INDEX(Control!$AK$3:$AO$69,MATCH('CLK1'!Z79,Control!$AK$3:$AK$29,0),MATCH('CLK1'!Y79,Control!$AK$3:$AO$3,0))/AB79*1000,0)</f>
        <v>0</v>
      </c>
      <c r="AS79" s="143" t="str">
        <f t="shared" si="150"/>
        <v/>
      </c>
      <c r="AT79" s="143"/>
      <c r="AU79" s="149">
        <f t="shared" ref="AU79:AU80" si="157">SUM(AI79:AT79)</f>
        <v>0.20077089678621637</v>
      </c>
      <c r="AV79" s="149">
        <f t="shared" si="141"/>
        <v>1.8761885578840682</v>
      </c>
      <c r="AW79" s="149">
        <f t="shared" si="142"/>
        <v>0</v>
      </c>
      <c r="AX79" s="149">
        <v>0</v>
      </c>
      <c r="AY79" s="501" t="e">
        <f t="shared" si="143"/>
        <v>#N/A</v>
      </c>
      <c r="BB79" s="153">
        <v>4</v>
      </c>
      <c r="BC79" s="163">
        <f t="shared" si="151"/>
        <v>45821</v>
      </c>
      <c r="BD79" s="163">
        <f t="shared" si="144"/>
        <v>45823</v>
      </c>
      <c r="BE79" s="163" t="s">
        <v>157</v>
      </c>
      <c r="BF79" s="490">
        <f t="shared" si="145"/>
        <v>45838</v>
      </c>
      <c r="BG79" s="490">
        <f t="shared" si="146"/>
        <v>45838</v>
      </c>
    </row>
    <row r="80" spans="1:72" ht="17.25" customHeight="1" x14ac:dyDescent="0.35">
      <c r="A80" s="230">
        <f t="shared" si="152"/>
        <v>45816</v>
      </c>
      <c r="B80" s="230">
        <f t="shared" si="152"/>
        <v>45818</v>
      </c>
      <c r="D80" s="229">
        <f>IF(AL80=0,0,VLOOKUP(Y80,Control!$G$41:$J$44,4,FALSE))</f>
        <v>0</v>
      </c>
      <c r="E80" s="519">
        <f t="shared" si="138"/>
        <v>45817</v>
      </c>
      <c r="F80"/>
      <c r="G80"/>
      <c r="H80"/>
      <c r="I80"/>
      <c r="J80"/>
      <c r="K80"/>
      <c r="L80"/>
      <c r="M80"/>
      <c r="N80"/>
      <c r="O80"/>
      <c r="P80"/>
      <c r="Q80"/>
      <c r="T80" s="220">
        <f>INDEX('[2]Flat Rates 2025'!$A:$DZ,MATCH(V80,'[2]Flat Rates 2025'!$A:$A,0),MATCH(Z80,'[2]Flat Rates 2025'!$A$1:$DZ$1,0))</f>
        <v>11.82</v>
      </c>
      <c r="U80" s="220">
        <v>0</v>
      </c>
      <c r="V80" s="220" t="s">
        <v>64</v>
      </c>
      <c r="W80" s="213">
        <f>INDEX(Vessel_Minimum_MT,MATCH(Y80,Control!$E$11:$E$15,0),MATCH(V80,Control!$E$11:$O$11,0))</f>
        <v>80000</v>
      </c>
      <c r="X80" s="222">
        <f>AB80/Control!$D$84</f>
        <v>89882.451372997719</v>
      </c>
      <c r="Y80" s="215" t="s">
        <v>23</v>
      </c>
      <c r="Z80" s="212" t="s">
        <v>29</v>
      </c>
      <c r="AA80" s="212" t="str">
        <f t="shared" si="139"/>
        <v>Nsea/Med</v>
      </c>
      <c r="AB80" s="214">
        <f t="shared" si="153"/>
        <v>698333.33333333337</v>
      </c>
      <c r="AC80" s="214"/>
      <c r="AD80" s="224">
        <f t="shared" si="147"/>
        <v>125</v>
      </c>
      <c r="AE80" s="225">
        <f t="shared" si="155"/>
        <v>1.6926014319809068</v>
      </c>
      <c r="AF80" s="306">
        <f t="shared" si="149"/>
        <v>0</v>
      </c>
      <c r="AG80" s="214">
        <f>IF(AND($BB$48=1,VLOOKUP(Z80,Control!$AS$37:$AV$68,4,FALSE)&lt;0),0,VLOOKUP(Z80,Control!$AS$37:$AV$68,4,FALSE))-$AG$73+2</f>
        <v>2</v>
      </c>
      <c r="AH80" s="214"/>
      <c r="AI80" s="227">
        <f>AF80*VLOOKUP($Y80,Control!$F$75:$H$87,3,FALSE)/$AB80</f>
        <v>0</v>
      </c>
      <c r="AJ80" s="226">
        <f>$AG80*Control!$D$77</f>
        <v>2.6072328767123291E-2</v>
      </c>
      <c r="AK80" s="226"/>
      <c r="AL80" s="227">
        <f>Control!$I$90/'CLK1'!AB80</f>
        <v>0.10739856801909307</v>
      </c>
      <c r="AM80" s="227">
        <f>IF(I80="Corpus Christi",Control!$D$76,0)</f>
        <v>0</v>
      </c>
      <c r="AN80" s="227">
        <v>0</v>
      </c>
      <c r="AO80" s="227">
        <f>Control!$D$78</f>
        <v>0</v>
      </c>
      <c r="AP80" s="227">
        <f>Control!$D$79</f>
        <v>6.7299999999999999E-2</v>
      </c>
      <c r="AQ80" s="227">
        <f>IF(INDEX(Control!$Q$3:$S$62,MATCH($Z80,Control!$Q$3:$Q$62,0),MATCH(AQ$8,Control!$Q$3:$S$3,0))=1,Control!$D$81*Control!$E$81,0)</f>
        <v>0</v>
      </c>
      <c r="AR80" s="227">
        <f>IF(INDEX(Control!$Q$3:$S$62,MATCH($Z80,Control!$Q$3:$Q$62,0),MATCH(AR$8,Control!$Q$3:$S$3,0))=1,INDEX(Control!$AK$3:$AO$69,MATCH('CLK1'!Z80,Control!$AK$3:$AK$29,0),MATCH('CLK1'!Y80,Control!$AK$3:$AO$3,0))/AB80*1000,0)</f>
        <v>0</v>
      </c>
      <c r="AS80" s="227" t="str">
        <f t="shared" si="150"/>
        <v/>
      </c>
      <c r="AT80" s="227"/>
      <c r="AU80" s="225">
        <f t="shared" si="157"/>
        <v>0.20077089678621637</v>
      </c>
      <c r="AV80" s="225">
        <f t="shared" si="141"/>
        <v>1.8933723287671231</v>
      </c>
      <c r="AW80" s="225">
        <f t="shared" si="142"/>
        <v>0</v>
      </c>
      <c r="AX80" s="225">
        <v>0</v>
      </c>
      <c r="AY80" s="498" t="e">
        <f t="shared" si="143"/>
        <v>#N/A</v>
      </c>
      <c r="BA80" s="220"/>
      <c r="BB80" s="229">
        <v>4</v>
      </c>
      <c r="BC80" s="230">
        <f t="shared" si="151"/>
        <v>45821</v>
      </c>
      <c r="BD80" s="230">
        <f t="shared" si="144"/>
        <v>45823</v>
      </c>
      <c r="BE80" s="230" t="s">
        <v>157</v>
      </c>
      <c r="BF80" s="489">
        <f t="shared" si="145"/>
        <v>45838</v>
      </c>
      <c r="BG80" s="489">
        <f t="shared" si="146"/>
        <v>45838</v>
      </c>
    </row>
    <row r="81" spans="1:59" ht="17.25" customHeight="1" x14ac:dyDescent="0.35">
      <c r="A81" s="163">
        <f t="shared" si="152"/>
        <v>45816</v>
      </c>
      <c r="B81" s="163">
        <f t="shared" si="152"/>
        <v>45818</v>
      </c>
      <c r="D81" s="153">
        <f>IF(AL81=0,0,VLOOKUP(Y81,Control!$G$41:$J$44,4,FALSE))</f>
        <v>0</v>
      </c>
      <c r="E81" s="518">
        <f t="shared" si="138"/>
        <v>45817</v>
      </c>
      <c r="F81"/>
      <c r="G81"/>
      <c r="H81"/>
      <c r="I81"/>
      <c r="J81"/>
      <c r="K81"/>
      <c r="L81"/>
      <c r="M81"/>
      <c r="N81"/>
      <c r="O81"/>
      <c r="P81"/>
      <c r="Q81"/>
      <c r="T81" s="191">
        <f>INDEX('[2]Flat Rates 2025'!$A:$DZ,MATCH(V81,'[2]Flat Rates 2025'!$A:$A,0),MATCH(Z81,'[2]Flat Rates 2025'!$A$1:$DZ$1,0))</f>
        <v>7.32</v>
      </c>
      <c r="U81" s="138">
        <v>0</v>
      </c>
      <c r="V81" s="138" t="s">
        <v>64</v>
      </c>
      <c r="W81" s="116">
        <f>INDEX(Vessel_Minimum_MT,MATCH(Y81,Control!$E$11:$E$15,0),MATCH(V81,Control!$E$11:$O$11,0))</f>
        <v>80000</v>
      </c>
      <c r="X81" s="140">
        <f>AB81/Control!$D$84</f>
        <v>89882.451372997719</v>
      </c>
      <c r="Y81" s="147" t="s">
        <v>23</v>
      </c>
      <c r="Z81" s="142" t="s">
        <v>47</v>
      </c>
      <c r="AA81" s="142" t="str">
        <f>$AA$55</f>
        <v>USGC/Med</v>
      </c>
      <c r="AB81" s="141">
        <f t="shared" si="153"/>
        <v>698333.33333333337</v>
      </c>
      <c r="AC81" s="141">
        <v>70</v>
      </c>
      <c r="AD81" s="49">
        <f t="shared" si="147"/>
        <v>125</v>
      </c>
      <c r="AE81" s="149">
        <f t="shared" si="155"/>
        <v>1.0482100238663483</v>
      </c>
      <c r="AF81" s="28">
        <f t="shared" si="149"/>
        <v>0</v>
      </c>
      <c r="AG81" s="155">
        <f>IF(AND($BB$48=1,VLOOKUP(Z81,Control!$AS$37:$AV$68,4,FALSE)&lt;0),0,VLOOKUP(Z81,Control!$AS$37:$AV$68,4,FALSE))-$AG$73+2</f>
        <v>2</v>
      </c>
      <c r="AH81" s="155"/>
      <c r="AI81" s="143">
        <f>AF81*VLOOKUP($Y81,Control!$F$75:$H$87,3,FALSE)/$AB81</f>
        <v>0</v>
      </c>
      <c r="AJ81" s="144">
        <f>$AG81*Control!$D$77</f>
        <v>2.6072328767123291E-2</v>
      </c>
      <c r="AK81" s="144"/>
      <c r="AL81" s="143">
        <f>Control!$I$90/'CLK1'!AB81</f>
        <v>0.10739856801909307</v>
      </c>
      <c r="AM81" s="143">
        <f>IF(I81="Corpus Christi",Control!$D$76,0)</f>
        <v>0</v>
      </c>
      <c r="AN81" s="143">
        <v>0</v>
      </c>
      <c r="AO81" s="143">
        <f>Control!$D$78</f>
        <v>0</v>
      </c>
      <c r="AP81" s="143">
        <f>Control!$D$79</f>
        <v>6.7299999999999999E-2</v>
      </c>
      <c r="AQ81" s="143">
        <f>IF(INDEX(Control!$Q$3:$S$62,MATCH($Z81,Control!$Q$3:$Q$62,0),MATCH(AQ$8,Control!$Q$3:$S$3,0))=1,Control!$D$81*Control!$E$81,0)</f>
        <v>0</v>
      </c>
      <c r="AR81" s="143">
        <v>0</v>
      </c>
      <c r="AS81" s="143" t="str">
        <f t="shared" si="150"/>
        <v/>
      </c>
      <c r="AT81" s="143"/>
      <c r="AU81" s="149">
        <f t="shared" ref="AU81:AU82" si="158">SUM(AI81:AT81)</f>
        <v>0.20077089678621637</v>
      </c>
      <c r="AV81" s="149">
        <f t="shared" si="141"/>
        <v>1.2489809206525646</v>
      </c>
      <c r="AW81" s="149">
        <f t="shared" si="142"/>
        <v>0</v>
      </c>
      <c r="AX81" s="149">
        <v>0</v>
      </c>
      <c r="AY81" s="590" t="e">
        <f t="shared" si="143"/>
        <v>#N/A</v>
      </c>
      <c r="BB81" s="153">
        <v>4</v>
      </c>
      <c r="BC81" s="163">
        <f t="shared" si="151"/>
        <v>45821</v>
      </c>
      <c r="BD81" s="163">
        <f t="shared" si="144"/>
        <v>45823</v>
      </c>
      <c r="BE81" s="163" t="s">
        <v>157</v>
      </c>
      <c r="BF81" s="490">
        <f t="shared" si="145"/>
        <v>45838</v>
      </c>
      <c r="BG81" s="490">
        <f t="shared" si="146"/>
        <v>45838</v>
      </c>
    </row>
    <row r="82" spans="1:59" ht="17.25" customHeight="1" x14ac:dyDescent="0.35">
      <c r="A82" s="230">
        <f t="shared" si="152"/>
        <v>45816</v>
      </c>
      <c r="B82" s="230">
        <f t="shared" si="152"/>
        <v>45818</v>
      </c>
      <c r="D82" s="229">
        <f>IF(AL82=0,0,VLOOKUP(Y82,Control!$G$41:$J$44,4,FALSE))</f>
        <v>0</v>
      </c>
      <c r="E82" s="519">
        <f t="shared" si="138"/>
        <v>45817</v>
      </c>
      <c r="F82"/>
      <c r="G82"/>
      <c r="H82"/>
      <c r="I82"/>
      <c r="J82"/>
      <c r="K82"/>
      <c r="L82"/>
      <c r="M82"/>
      <c r="N82"/>
      <c r="O82"/>
      <c r="P82"/>
      <c r="Q82"/>
      <c r="T82" s="220">
        <f>INDEX('[2]Flat Rates 2025'!$A:$DZ,MATCH(V82,'[2]Flat Rates 2025'!$A:$A,0),MATCH(Z82,'[2]Flat Rates 2025'!$A$1:$DZ$1,0))</f>
        <v>6.9</v>
      </c>
      <c r="U82" s="220">
        <v>0</v>
      </c>
      <c r="V82" s="220" t="s">
        <v>64</v>
      </c>
      <c r="W82" s="213">
        <f>INDEX(Vessel_Minimum_MT,MATCH(Y82,Control!$E$11:$E$15,0),MATCH(V82,Control!$E$11:$O$11,0))</f>
        <v>80000</v>
      </c>
      <c r="X82" s="222">
        <f>AB82/Control!$D$84</f>
        <v>89882.451372997719</v>
      </c>
      <c r="Y82" s="215" t="s">
        <v>23</v>
      </c>
      <c r="Z82" s="212" t="s">
        <v>96</v>
      </c>
      <c r="AA82" s="212" t="str">
        <f t="shared" ref="AA82:AA83" si="159">IF(Z82=V82,"",CONCATENATE(CONCATENATE(VLOOKUP(V82,Zones,2,FALSE),"/",VLOOKUP(Z82,Zones,2,FALSE))))</f>
        <v>Nsea/Nsea</v>
      </c>
      <c r="AB82" s="214">
        <f>AB75</f>
        <v>698333.33333333337</v>
      </c>
      <c r="AC82" s="214"/>
      <c r="AD82" s="264">
        <f t="shared" si="147"/>
        <v>125</v>
      </c>
      <c r="AE82" s="225">
        <f t="shared" si="155"/>
        <v>0.9880668257756563</v>
      </c>
      <c r="AF82" s="306">
        <v>0</v>
      </c>
      <c r="AG82" s="214">
        <f>IF(AND($BB$48=1,VLOOKUP(Z82,Control!$AS$37:$AV$68,4,FALSE)&lt;0),0,VLOOKUP(Z82,Control!$AS$37:$AV$68,4,FALSE))-$AG$73+2</f>
        <v>2</v>
      </c>
      <c r="AH82" s="214"/>
      <c r="AI82" s="227">
        <f>AF82*VLOOKUP($Y82,Control!$F$75:$H$87,3,FALSE)/$AB82</f>
        <v>0</v>
      </c>
      <c r="AJ82" s="226">
        <f>$AG82*Control!$D$77</f>
        <v>2.6072328767123291E-2</v>
      </c>
      <c r="AK82" s="226"/>
      <c r="AL82" s="227">
        <f>Control!$I$90/'CLK1'!AB82</f>
        <v>0.10739856801909307</v>
      </c>
      <c r="AM82" s="227">
        <f>IF(I82="Corpus Christi",Control!$D$76,0)</f>
        <v>0</v>
      </c>
      <c r="AN82" s="227">
        <v>0</v>
      </c>
      <c r="AO82" s="227">
        <f>Control!$D$78</f>
        <v>0</v>
      </c>
      <c r="AP82" s="227">
        <f>Control!$D$79</f>
        <v>6.7299999999999999E-2</v>
      </c>
      <c r="AQ82" s="227">
        <f>IF(INDEX(Control!$Q$3:$S$62,MATCH($Z82,Control!$Q$3:$Q$62,0),MATCH(AQ$8,Control!$Q$3:$S$3,0))=1,Control!$D$81*Control!$E$81,0)</f>
        <v>0</v>
      </c>
      <c r="AR82" s="227">
        <v>0</v>
      </c>
      <c r="AS82" s="227" t="str">
        <f t="shared" si="150"/>
        <v/>
      </c>
      <c r="AT82" s="227"/>
      <c r="AU82" s="225">
        <f t="shared" si="158"/>
        <v>0.20077089678621637</v>
      </c>
      <c r="AV82" s="225">
        <f t="shared" si="141"/>
        <v>1.1888377225618727</v>
      </c>
      <c r="AW82" s="225">
        <f t="shared" si="142"/>
        <v>0</v>
      </c>
      <c r="AX82" s="225">
        <v>0</v>
      </c>
      <c r="AY82" s="497" t="e">
        <f t="shared" si="143"/>
        <v>#N/A</v>
      </c>
      <c r="BA82" s="220"/>
      <c r="BB82" s="229">
        <v>4</v>
      </c>
      <c r="BC82" s="230">
        <f t="shared" si="151"/>
        <v>45821</v>
      </c>
      <c r="BD82" s="230">
        <f t="shared" si="144"/>
        <v>45823</v>
      </c>
      <c r="BE82" s="230" t="s">
        <v>157</v>
      </c>
      <c r="BF82" s="489">
        <f t="shared" si="145"/>
        <v>45838</v>
      </c>
      <c r="BG82" s="489">
        <f t="shared" si="146"/>
        <v>45838</v>
      </c>
    </row>
    <row r="83" spans="1:59" ht="17.25" customHeight="1" x14ac:dyDescent="0.35">
      <c r="A83" s="163">
        <f t="shared" si="152"/>
        <v>45816</v>
      </c>
      <c r="B83" s="163">
        <f t="shared" si="152"/>
        <v>45818</v>
      </c>
      <c r="D83" s="153">
        <f>IF(AL83=0,0,VLOOKUP(Y83,Control!$G$41:$J$44,4,FALSE))</f>
        <v>3</v>
      </c>
      <c r="E83" s="518">
        <f t="shared" si="138"/>
        <v>45820</v>
      </c>
      <c r="F83"/>
      <c r="G83"/>
      <c r="H83"/>
      <c r="I83"/>
      <c r="J83"/>
      <c r="K83"/>
      <c r="L83"/>
      <c r="M83"/>
      <c r="N83"/>
      <c r="O83"/>
      <c r="P83"/>
      <c r="Q83"/>
      <c r="T83" s="191">
        <f>INDEX('[2]Flat Rates 2025'!$A:$DZ,MATCH(V83,'[2]Flat Rates 2025'!$A:$A,0),MATCH(Z83,'[2]Flat Rates 2025'!$A$1:$DZ$1,0))</f>
        <v>6.9</v>
      </c>
      <c r="U83" s="138">
        <v>0</v>
      </c>
      <c r="V83" s="138" t="s">
        <v>64</v>
      </c>
      <c r="W83" s="641">
        <f>INDEX(Vessel_Minimum_MT,MATCH(Y83,Control!$E$11:$E$15,0),MATCH(V83,Control!$E$11:$O$11,0))</f>
        <v>145000</v>
      </c>
      <c r="X83" s="140">
        <f>AB83/Control!$D$84</f>
        <v>109403.46109839817</v>
      </c>
      <c r="Y83" s="147" t="s">
        <v>24</v>
      </c>
      <c r="Z83" s="142" t="s">
        <v>96</v>
      </c>
      <c r="AA83" s="142" t="str">
        <f t="shared" si="159"/>
        <v>Nsea/Nsea</v>
      </c>
      <c r="AB83" s="141">
        <v>850000</v>
      </c>
      <c r="AC83" s="141">
        <v>70</v>
      </c>
      <c r="AD83" s="49">
        <f t="shared" si="147"/>
        <v>125</v>
      </c>
      <c r="AE83" s="149">
        <f t="shared" si="155"/>
        <v>1.4713235294117648</v>
      </c>
      <c r="AF83" s="28">
        <f t="shared" si="149"/>
        <v>0</v>
      </c>
      <c r="AG83" s="155">
        <f>IF(AND($BB$48=1,VLOOKUP(Z83,Control!$AS$37:$AV$68,4,FALSE)&lt;0),0,VLOOKUP(Z83,Control!$AS$37:$AV$68,4,FALSE))-$AG$73+2</f>
        <v>2</v>
      </c>
      <c r="AH83" s="155"/>
      <c r="AI83" s="143">
        <f>AF83*VLOOKUP($Y83,Control!$F$75:$H$87,3,FALSE)/$AB83</f>
        <v>0</v>
      </c>
      <c r="AJ83" s="144">
        <f>$AG83*Control!$D$77</f>
        <v>2.6072328767123291E-2</v>
      </c>
      <c r="AK83" s="144"/>
      <c r="AL83" s="143">
        <f>Control!$I$90/'CLK1'!AB83</f>
        <v>8.8235294117647065E-2</v>
      </c>
      <c r="AM83" s="143">
        <f>IF(I83="Corpus Christi",Control!$D$76,0)</f>
        <v>0</v>
      </c>
      <c r="AN83" s="143">
        <f>IF(AND(Control!$D$85-ROUNDUP(((AB83-VLOOKUP(Y83,Control!$J$76:$K$82,2,FALSE))),0)&gt;0,Control!$D$85-ROUNDUP(((AB83-VLOOKUP(Y83,Control!$J$76:$K$82,2,FALSE))),0)&lt;Control!$D$86-ROUNDUP(((AB83-VLOOKUP(Y83,Control!$J$76:$K$82,2,FALSE))),0)),Control!$D$85,Control!$D$86)</f>
        <v>750000</v>
      </c>
      <c r="AO83" s="143">
        <f>Control!$D$78</f>
        <v>0</v>
      </c>
      <c r="AP83" s="143">
        <f>Control!$D$79</f>
        <v>6.7299999999999999E-2</v>
      </c>
      <c r="AQ83" s="143">
        <f>IF(INDEX(Control!$Q$3:$S$62,MATCH($Z83,Control!$Q$3:$Q$62,0),MATCH(AQ$8,Control!$Q$3:$S$3,0))=1,Control!$D$81*Control!$E$81,0)</f>
        <v>0</v>
      </c>
      <c r="AR83" s="143">
        <f>AR76</f>
        <v>0</v>
      </c>
      <c r="AS83" s="143">
        <f>116490/AB83</f>
        <v>0.13704705882352941</v>
      </c>
      <c r="AT83" s="143"/>
      <c r="AU83" s="149">
        <f t="shared" ref="AU83" si="160">SUM(AI83:AM83,AO83:AT83)</f>
        <v>0.31865468170829975</v>
      </c>
      <c r="AV83" s="149">
        <f t="shared" si="141"/>
        <v>1.7899782111200646</v>
      </c>
      <c r="AW83" s="149">
        <f t="shared" si="142"/>
        <v>0</v>
      </c>
      <c r="AX83" s="149">
        <v>0</v>
      </c>
      <c r="AY83" s="501" t="e">
        <f t="shared" si="143"/>
        <v>#N/A</v>
      </c>
      <c r="BB83" s="153">
        <v>4</v>
      </c>
      <c r="BC83" s="163">
        <f t="shared" ref="BC83" si="161">IF(ISBLANK(A83),"",A83+$BB83+D83)</f>
        <v>45823</v>
      </c>
      <c r="BD83" s="163">
        <f t="shared" si="144"/>
        <v>45825</v>
      </c>
      <c r="BE83" s="163" t="s">
        <v>157</v>
      </c>
      <c r="BF83" s="490">
        <f t="shared" si="145"/>
        <v>45838</v>
      </c>
      <c r="BG83" s="490">
        <f t="shared" si="146"/>
        <v>45838</v>
      </c>
    </row>
    <row r="84" spans="1:59" ht="17.25" customHeight="1" thickBot="1" x14ac:dyDescent="0.4">
      <c r="A84"/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W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</row>
    <row r="85" spans="1:59" ht="17.25" customHeight="1" thickBot="1" x14ac:dyDescent="0.4">
      <c r="A85" s="309">
        <v>45792</v>
      </c>
      <c r="B85" s="310">
        <f>A85+2</f>
        <v>45794</v>
      </c>
      <c r="D85" s="229">
        <v>6</v>
      </c>
      <c r="E85" s="519">
        <f t="shared" ref="E85" si="162">AVERAGE(A85:B85)+D85</f>
        <v>45799</v>
      </c>
      <c r="F85"/>
      <c r="G85"/>
      <c r="H85"/>
      <c r="I85"/>
      <c r="J85"/>
      <c r="K85"/>
      <c r="L85"/>
      <c r="M85"/>
      <c r="N85"/>
      <c r="O85"/>
      <c r="P85"/>
      <c r="Q85"/>
      <c r="T85" s="220">
        <v>0</v>
      </c>
      <c r="U85" s="220">
        <f>INDEX(Control!$E$17:$J$21,MATCH(Y85,Control!$E$17:$E$21,0),MATCH(V85,Control!$E$17:$J$17,0))</f>
        <v>0.5</v>
      </c>
      <c r="V85" s="220" t="s">
        <v>45</v>
      </c>
      <c r="W85" s="213">
        <f>INDEX(Vessel_Minimum_MT,MATCH(Y85,Control!$E$11:$E$15,0),MATCH(V85,Control!$E$11:$J$11,0))</f>
        <v>270000</v>
      </c>
      <c r="X85" s="222">
        <f>AB85/Control!$D$84</f>
        <v>269647.3541189931</v>
      </c>
      <c r="Y85" s="215" t="s">
        <v>25</v>
      </c>
      <c r="Z85" s="212" t="s">
        <v>42</v>
      </c>
      <c r="AA85" s="212" t="str">
        <f t="shared" ref="AA85" si="163">IF(Z85=V85,"",CONCATENATE(CONCATENATE(VLOOKUP(V85,Zones,2,FALSE),"/",VLOOKUP(Z85,Zones,2,FALSE))))</f>
        <v>USGC/Nsea</v>
      </c>
      <c r="AB85" s="214">
        <v>2095000</v>
      </c>
      <c r="AC85" s="214"/>
      <c r="AD85" s="377">
        <v>7700000</v>
      </c>
      <c r="AE85" s="225">
        <f>AD85/AB85</f>
        <v>3.675417661097852</v>
      </c>
      <c r="AF85" s="306">
        <v>9</v>
      </c>
      <c r="AG85" s="214">
        <f>BC85+10-(A85+30)-(D85/3)</f>
        <v>31</v>
      </c>
      <c r="AH85" s="214"/>
      <c r="AI85" s="227">
        <f>AF85*VLOOKUP($Y85,Control!$F$75:$H$87,3,FALSE)/$AB85</f>
        <v>1.9331742243436754</v>
      </c>
      <c r="AJ85" s="226">
        <f>$AG85*Control!$D$77</f>
        <v>0.40412109589041101</v>
      </c>
      <c r="AK85" s="226"/>
      <c r="AL85" s="227">
        <v>0</v>
      </c>
      <c r="AM85" s="227">
        <f>IF(I85="Corpus Christi",Control!$D$76,0)</f>
        <v>0</v>
      </c>
      <c r="AN85" s="227">
        <v>0</v>
      </c>
      <c r="AO85" s="227">
        <f>Control!$D$78</f>
        <v>0</v>
      </c>
      <c r="AP85" s="227">
        <f>Control!$D$79</f>
        <v>6.7299999999999999E-2</v>
      </c>
      <c r="AQ85" s="227">
        <f>IF(INDEX(Control!$Q$3:$S$62,MATCH($Z85,Control!$Q$3:$Q$62,0),MATCH(AQ$8,Control!$Q$3:$S$3,0))=1,Control!$D$81*Control!$E$81,0)</f>
        <v>0</v>
      </c>
      <c r="AR85" s="227">
        <f>IF(INDEX(Control!$Q$3:$S$62,MATCH($Z85,Control!$Q$3:$Q$62,0),MATCH(AR$8,Control!$Q$3:$S$3,0))=1,INDEX(Control!$AK$3:$AO$69,MATCH('CLK1'!Z85,Control!$AK$3:$AK$29,0),MATCH('CLK1'!Y85,Control!$AK$3:$AO$3,0))/AB85*1000,0)</f>
        <v>0</v>
      </c>
      <c r="AS85" s="227"/>
      <c r="AT85" s="227"/>
      <c r="AU85" s="225">
        <f>SUM(AI85:AT85)+0.5</f>
        <v>2.9045953202340864</v>
      </c>
      <c r="AV85" s="225">
        <f t="shared" ref="AV85" si="164">+R85+AE85+AU85</f>
        <v>6.5800129813319383</v>
      </c>
      <c r="AW85" s="225">
        <f>IF((MONTH(A85)=MONTH(BG85)),0,IF(((MONTH(BG85))-MONTH(A85))+12*YEAR(BF85)-YEAR(A85)&gt;1,SUMIFS($BC$4:$BG$4,$BC$3:$BG$3,"&lt;="&amp;EOMONTH(BF85,-1),$BC$3:$BG$3,"&gt;="&amp;EOMONTH(A85,0)),VLOOKUP("Spreads",$BB$3:$BG$4,MATCH(EOMONTH(A85,0),$BB$3:$BG$3,0))))</f>
        <v>0</v>
      </c>
      <c r="AX85" s="479"/>
      <c r="AY85" s="498">
        <f>$A$86+AV85+AW85+AX85</f>
        <v>7.5800129813319383</v>
      </c>
      <c r="BA85" s="220"/>
      <c r="BB85" s="229">
        <v>47</v>
      </c>
      <c r="BC85" s="230">
        <f t="shared" ref="BC85" si="165">IF(ISBLANK(A85),"",A85+$BB85+D85)</f>
        <v>45845</v>
      </c>
      <c r="BD85" s="230">
        <f t="shared" ref="BD85" si="166">BC85+2</f>
        <v>45847</v>
      </c>
      <c r="BE85" s="380" t="s">
        <v>157</v>
      </c>
      <c r="BF85" s="592">
        <f t="shared" ref="BF85" si="167">IF($BB$7=0,IF(BE85="ICE Brent",EOMONTH(BD85,2),EOMONTH(BD85,0)),IF(BE85="ICE Brent",EOMONTH(BD85,1),EOMONTH(BD85,-1)))</f>
        <v>45838</v>
      </c>
      <c r="BG85" s="489">
        <f t="shared" ref="BG85" si="168">IF($BB$7=1,EOMONTH(BD85,-1),EOMONTH(BD85,0))</f>
        <v>45838</v>
      </c>
    </row>
    <row r="86" spans="1:59" ht="16" thickBot="1" x14ac:dyDescent="0.4">
      <c r="A86" s="570">
        <v>1</v>
      </c>
      <c r="B86"/>
      <c r="D86"/>
      <c r="E86"/>
      <c r="F86" s="132"/>
      <c r="N86" s="362"/>
      <c r="O86"/>
      <c r="P86"/>
      <c r="Q86"/>
      <c r="W86"/>
      <c r="AA86"/>
      <c r="AB86" s="485"/>
      <c r="AC86" s="77"/>
      <c r="AD86"/>
      <c r="AE86" s="485"/>
      <c r="AF86"/>
      <c r="AG86" s="485"/>
      <c r="AH86" s="485"/>
      <c r="AI86" s="308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 s="194"/>
      <c r="AY86" s="503"/>
      <c r="AZ86"/>
      <c r="BA86"/>
      <c r="BB86"/>
      <c r="BC86"/>
      <c r="BD86"/>
      <c r="BE86"/>
      <c r="BF86"/>
      <c r="BG86"/>
    </row>
    <row r="87" spans="1:59" x14ac:dyDescent="0.35">
      <c r="A87"/>
      <c r="B87"/>
      <c r="D87"/>
      <c r="E87"/>
      <c r="F87" s="132"/>
      <c r="N87"/>
      <c r="O87"/>
      <c r="P87"/>
      <c r="Q87"/>
      <c r="W87"/>
      <c r="AA87"/>
      <c r="AB87" s="485"/>
      <c r="AC87"/>
      <c r="AD87"/>
      <c r="AE87" s="485"/>
      <c r="AF87"/>
      <c r="AG87" s="485"/>
      <c r="AH87" s="485"/>
      <c r="AI87" s="308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 s="511"/>
      <c r="AZ87"/>
      <c r="BA87"/>
      <c r="BB87"/>
      <c r="BC87"/>
      <c r="BD87"/>
      <c r="BE87"/>
      <c r="BF87"/>
      <c r="BG87"/>
    </row>
    <row r="88" spans="1:59" x14ac:dyDescent="0.35">
      <c r="A88"/>
      <c r="B88"/>
      <c r="N88"/>
      <c r="O88"/>
      <c r="P88"/>
      <c r="Q88"/>
      <c r="W88"/>
      <c r="AA88"/>
      <c r="AB88" s="485"/>
      <c r="AC88" s="77"/>
      <c r="AD88"/>
      <c r="AE88" s="485"/>
      <c r="AF88"/>
      <c r="AG88" s="485"/>
      <c r="AH88" s="485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 s="512"/>
    </row>
    <row r="89" spans="1:59" x14ac:dyDescent="0.35">
      <c r="A89"/>
      <c r="B89"/>
      <c r="D89"/>
      <c r="E89"/>
      <c r="N89"/>
      <c r="O89"/>
      <c r="P89"/>
      <c r="Q89"/>
      <c r="W89"/>
      <c r="Z89" t="e">
        <f>AVERAGE(Z86:Z88)</f>
        <v>#DIV/0!</v>
      </c>
      <c r="AA89"/>
      <c r="AB89" s="485"/>
      <c r="AC89"/>
      <c r="AD89"/>
      <c r="AE89" s="485"/>
      <c r="AF89"/>
      <c r="AG89" s="485"/>
      <c r="AH89" s="485"/>
      <c r="AI89"/>
      <c r="AJ89"/>
      <c r="AK89"/>
      <c r="AM89"/>
      <c r="AN89"/>
      <c r="AO89"/>
      <c r="AP89"/>
      <c r="AQ89"/>
      <c r="AR89"/>
      <c r="AS89"/>
      <c r="AT89"/>
      <c r="AU89"/>
      <c r="AV89"/>
      <c r="AW89"/>
      <c r="AY89" s="21"/>
      <c r="BB89" s="495"/>
      <c r="BC89" s="43"/>
      <c r="BD89" s="406"/>
    </row>
    <row r="90" spans="1:59" x14ac:dyDescent="0.35">
      <c r="A90"/>
      <c r="B90"/>
      <c r="D90" s="194">
        <f>BC85</f>
        <v>45845</v>
      </c>
      <c r="E90" s="194">
        <f>D90+10</f>
        <v>45855</v>
      </c>
      <c r="N90"/>
      <c r="O90"/>
      <c r="P90"/>
      <c r="Q90"/>
      <c r="W90"/>
      <c r="Z90" t="s">
        <v>224</v>
      </c>
      <c r="AA90" s="77">
        <f>Y3</f>
        <v>-21</v>
      </c>
      <c r="AB90" s="485" t="str">
        <f>Z90</f>
        <v>FOB vs ICE Brent</v>
      </c>
      <c r="AC90"/>
      <c r="AD90" s="77">
        <f>Y3</f>
        <v>-21</v>
      </c>
      <c r="AE90" s="485" t="s">
        <v>225</v>
      </c>
      <c r="AF90"/>
      <c r="AG90" s="485"/>
      <c r="AH90" s="485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BB90" s="495"/>
      <c r="BC90" s="513"/>
      <c r="BD90" s="406"/>
    </row>
    <row r="91" spans="1:59" x14ac:dyDescent="0.35">
      <c r="A91"/>
      <c r="B91"/>
      <c r="D91" s="194">
        <f>A85</f>
        <v>45792</v>
      </c>
      <c r="E91" s="194">
        <f>D91+30</f>
        <v>45822</v>
      </c>
      <c r="N91"/>
      <c r="O91"/>
      <c r="P91"/>
      <c r="Q91"/>
      <c r="W91"/>
      <c r="Z91" t="s">
        <v>226</v>
      </c>
      <c r="AA91" s="114">
        <f>AW31</f>
        <v>2.9</v>
      </c>
      <c r="AB91" s="485" t="str">
        <f t="shared" ref="AB91:AB94" si="169">Z91</f>
        <v>Brent Sprds</v>
      </c>
      <c r="AC91"/>
      <c r="AD91" s="114">
        <f>AW29</f>
        <v>5.15</v>
      </c>
      <c r="AE91" s="485" t="s">
        <v>226</v>
      </c>
      <c r="AF91"/>
      <c r="AG91" s="485"/>
      <c r="AH91" s="485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BB91" s="495"/>
      <c r="BC91" s="513"/>
      <c r="BD91" s="406"/>
      <c r="BG91" s="3"/>
    </row>
    <row r="92" spans="1:59" x14ac:dyDescent="0.35">
      <c r="A92"/>
      <c r="B92"/>
      <c r="D92" s="43">
        <f>D90-D91</f>
        <v>53</v>
      </c>
      <c r="E92" s="43">
        <f>E90-E91</f>
        <v>33</v>
      </c>
      <c r="N92" s="308"/>
      <c r="O92"/>
      <c r="P92"/>
      <c r="Q92"/>
      <c r="W92"/>
      <c r="Z92" s="577" t="s">
        <v>227</v>
      </c>
      <c r="AA92" s="480">
        <f>AX31</f>
        <v>-3.98</v>
      </c>
      <c r="AB92" s="485" t="s">
        <v>228</v>
      </c>
      <c r="AC92"/>
      <c r="AD92" s="114">
        <f>-AX46</f>
        <v>3.98</v>
      </c>
      <c r="AE92" s="485" t="s">
        <v>229</v>
      </c>
      <c r="AF92"/>
      <c r="AG92" s="485"/>
      <c r="AH92" s="485"/>
      <c r="AI92"/>
      <c r="AJ92"/>
      <c r="AK92"/>
      <c r="AL92"/>
      <c r="AM92"/>
      <c r="AN92"/>
      <c r="AO92"/>
      <c r="AP92"/>
      <c r="AQ92"/>
      <c r="AR92"/>
      <c r="AS92"/>
      <c r="AT92"/>
      <c r="AU92" s="7" t="s">
        <v>230</v>
      </c>
      <c r="AV92" s="79"/>
      <c r="AW92"/>
    </row>
    <row r="93" spans="1:59" x14ac:dyDescent="0.35">
      <c r="A93"/>
      <c r="B93"/>
      <c r="N93" s="308"/>
      <c r="O93"/>
      <c r="P93"/>
      <c r="Q93"/>
      <c r="W93"/>
      <c r="Z93" t="s">
        <v>203</v>
      </c>
      <c r="AA93" s="114">
        <f>AE28</f>
        <v>28.205128205128204</v>
      </c>
      <c r="AB93" s="485" t="str">
        <f t="shared" si="169"/>
        <v>Freight</v>
      </c>
      <c r="AC93"/>
      <c r="AD93" s="114">
        <f>AE29</f>
        <v>27.692307692307693</v>
      </c>
      <c r="AE93" s="485" t="s">
        <v>203</v>
      </c>
      <c r="AF93"/>
      <c r="AG93" s="485"/>
      <c r="AH93" s="485"/>
      <c r="AI93"/>
      <c r="AJ93"/>
      <c r="AK93"/>
      <c r="AL93"/>
      <c r="AM93"/>
      <c r="AN93"/>
      <c r="AO93"/>
      <c r="AP93"/>
      <c r="AQ93"/>
      <c r="AR93"/>
      <c r="AS93"/>
      <c r="AT93"/>
      <c r="AU93" t="str">
        <f>"1. 2,000kb WTI +/- 10% s.o. DAP 1sp"&amp;" "&amp;VLOOKUP(Z28,Zones,2,FALSE)&amp;" "&amp;TEXT(MROUND(BC28,5),"mmm-dd")&amp;" - "&amp;TEXT(MROUND(BC28+10,5),"mmm-dd")&amp;"; "&amp;TEXT(BF28,"mmm")&amp;" "&amp;BE28&amp;" "&amp;TEXT(ROUND(AY28,1),("+0.00;-0.00;0"))</f>
        <v>1. 2,000kb WTI +/- 10% s.o. DAP 1sp KOREA Jan-13 - Jan-23; Dec Dubai +11.30</v>
      </c>
      <c r="AV93"/>
      <c r="AW93" s="362"/>
      <c r="BB93"/>
    </row>
    <row r="94" spans="1:59" x14ac:dyDescent="0.35">
      <c r="N94"/>
      <c r="O94"/>
      <c r="P94"/>
      <c r="Q94"/>
      <c r="W94"/>
      <c r="Z94" t="s">
        <v>231</v>
      </c>
      <c r="AA94" s="114">
        <f>AU31</f>
        <v>1.9507885914998244</v>
      </c>
      <c r="AB94" s="485" t="str">
        <f t="shared" si="169"/>
        <v>Costs</v>
      </c>
      <c r="AC94"/>
      <c r="AD94" s="114">
        <f>AU29</f>
        <v>2.1247162627327012</v>
      </c>
      <c r="AE94" s="485" t="s">
        <v>231</v>
      </c>
      <c r="AF94"/>
      <c r="AG94" s="485"/>
      <c r="AH94" s="485"/>
      <c r="AI94"/>
      <c r="AJ94"/>
      <c r="AK94"/>
      <c r="AL94"/>
      <c r="AM94"/>
      <c r="AN94"/>
      <c r="AO94"/>
      <c r="AP94"/>
      <c r="AQ94"/>
      <c r="AR94"/>
      <c r="AS94"/>
      <c r="AT94"/>
      <c r="AU94" t="str">
        <f>"2. 2,000kb WTI +/- 10% s.o. DAP 1sp"&amp;" "&amp;VLOOKUP(Z29,Zones,2,FALSE)&amp;" "&amp;TEXT(MROUND(BC29,5),"mmm-dd")&amp;" - "&amp;TEXT(MROUND(BC29+10,5),"mmm-dd")&amp;"; "&amp;TEXT(BF29,"mmm")&amp;" "&amp;BE29&amp;" "&amp;TEXT(ROUND(AY29,1),("+0.00;-0.00;0"))</f>
        <v>2. 2,000kb WTI +/- 10% s.o. DAP 1sp Singapore Jan-03 - Jan-13; Jan Dated +11.00</v>
      </c>
      <c r="AV94"/>
      <c r="AW94"/>
      <c r="BB94"/>
      <c r="BC94"/>
      <c r="BD94"/>
    </row>
    <row r="95" spans="1:59" x14ac:dyDescent="0.35">
      <c r="N95"/>
      <c r="O95"/>
      <c r="P95"/>
      <c r="Q95"/>
      <c r="W95"/>
      <c r="Z95" t="s">
        <v>232</v>
      </c>
      <c r="AA95" s="77">
        <f>SUM(AA90:AA94)</f>
        <v>8.075916796628027</v>
      </c>
      <c r="AB95" s="485" t="s">
        <v>233</v>
      </c>
      <c r="AC95"/>
      <c r="AD95" s="77">
        <f>AD90+AD91+AD93+AD94-AD92</f>
        <v>9.9870239550403941</v>
      </c>
      <c r="AE95" s="485" t="str">
        <f>AB95</f>
        <v>Landed vs Dtd</v>
      </c>
      <c r="AF95"/>
      <c r="AG95" s="485"/>
      <c r="AH95" s="485"/>
      <c r="AI95"/>
      <c r="AJ95"/>
      <c r="AK95"/>
      <c r="AL95"/>
      <c r="AM95"/>
      <c r="AN95"/>
      <c r="AO95"/>
      <c r="AP95"/>
      <c r="AQ95"/>
      <c r="AR95"/>
      <c r="AS95"/>
      <c r="AT95"/>
      <c r="AU95" t="str">
        <f>"3. 2,000kb WTI +/- 10% s.o. DAP 1sp"&amp;" "&amp;VLOOKUP(Z30,Zones,2,FALSE)&amp;" "&amp;TEXT(MROUND(BC30,5),"mmm-dd")&amp;" - "&amp;TEXT(MROUND(BC30+10,5),"mmm-dd")&amp;"; "&amp;TEXT(BF30,"mmm")&amp;" "&amp;BE30&amp;" "&amp;TEXT(ROUND(AY30,1),("+0.00;-0.00;0"))</f>
        <v>3. 2,000kb WTI +/- 10% s.o. DAP 1sp INDIA Dec-29 - Jan-08; Nov Dated +3.50</v>
      </c>
      <c r="AV95"/>
      <c r="AW95"/>
      <c r="BB95"/>
      <c r="BC95"/>
      <c r="BD95"/>
    </row>
    <row r="96" spans="1:59" x14ac:dyDescent="0.35">
      <c r="N96"/>
      <c r="O96"/>
      <c r="P96"/>
      <c r="Q96"/>
      <c r="W96"/>
      <c r="Y96" t="s">
        <v>234</v>
      </c>
      <c r="AA96"/>
      <c r="AB96" s="485"/>
      <c r="AC96"/>
      <c r="AE96" s="485"/>
      <c r="AF96"/>
      <c r="AG96" s="485"/>
      <c r="AH96" s="485"/>
      <c r="AI96"/>
      <c r="AJ96"/>
      <c r="AK96"/>
      <c r="AL96"/>
      <c r="AM96"/>
      <c r="AN96"/>
      <c r="AO96"/>
      <c r="AP96"/>
      <c r="AQ96"/>
      <c r="AR96"/>
      <c r="AS96"/>
      <c r="AT96"/>
      <c r="AU96" t="str">
        <f>"4. 2,000kb WTI +/- 10% s.o. DAP 1sp"&amp;" "&amp;VLOOKUP(Z31,Zones,2,FALSE)&amp;" "&amp;TEXT(MROUND(BC31,5),"mmm-dd")&amp;" - "&amp;TEXT(MROUND(BC31+10,5),"mmm-dd")&amp;"; "&amp;TEXT(BF31,"mmm")&amp;" "&amp;BE31&amp;" "&amp;TEXT(ROUND(AY31,1),("+0.00;-0.00;0"))</f>
        <v>4. 2,000kb WTI +/- 10% s.o. DAP 1sp TAIWAN Jan-13 - Jan-23; Dec Dated +7.90</v>
      </c>
      <c r="AV96"/>
      <c r="AW96"/>
      <c r="AX96"/>
      <c r="BB96"/>
      <c r="BC96"/>
      <c r="BD96"/>
    </row>
    <row r="97" spans="4:57" x14ac:dyDescent="0.35">
      <c r="N97"/>
      <c r="O97"/>
      <c r="P97"/>
      <c r="Q97"/>
      <c r="W97"/>
      <c r="Y97" s="7" t="s">
        <v>235</v>
      </c>
      <c r="AA97"/>
      <c r="AB97" s="485"/>
      <c r="AC97"/>
      <c r="AD97"/>
      <c r="AE97" s="7" t="s">
        <v>236</v>
      </c>
      <c r="AF97"/>
      <c r="AG97" s="485"/>
      <c r="AH97" s="485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 s="201"/>
      <c r="AX97" s="194"/>
      <c r="AY97" s="362"/>
      <c r="BB97"/>
      <c r="BC97"/>
      <c r="BD97" s="201"/>
    </row>
    <row r="98" spans="4:57" x14ac:dyDescent="0.35">
      <c r="N98"/>
      <c r="O98"/>
      <c r="P98"/>
      <c r="Q98"/>
      <c r="W98"/>
      <c r="Y98" s="7" t="s">
        <v>237</v>
      </c>
      <c r="AA98"/>
      <c r="AB98" s="485"/>
      <c r="AC98"/>
      <c r="AE98" s="485"/>
      <c r="AG98" s="485"/>
      <c r="AH98" s="485"/>
      <c r="AI98"/>
      <c r="AJ98"/>
      <c r="AK98"/>
      <c r="AL98"/>
      <c r="AM98"/>
      <c r="AN98"/>
      <c r="AO98"/>
      <c r="AP98"/>
      <c r="AQ98"/>
      <c r="AR98"/>
      <c r="AS98"/>
      <c r="AT98"/>
      <c r="AU98" s="7" t="s">
        <v>238</v>
      </c>
      <c r="AV98"/>
      <c r="AW98" s="523"/>
      <c r="AX98"/>
      <c r="BB98"/>
      <c r="BC98"/>
      <c r="BD98" s="523"/>
    </row>
    <row r="99" spans="4:57" x14ac:dyDescent="0.35">
      <c r="N99"/>
      <c r="O99"/>
      <c r="P99"/>
      <c r="Q99"/>
      <c r="W99"/>
      <c r="Y99" t="str">
        <f>"1. 2,000kb WTI +/- 10% s.o. DAP 1sp"&amp;" "&amp;VLOOKUP(Z43,Zones,2,FALSE)&amp;" "&amp;TEXT(MROUND(BC43,5),"mmm-dd")&amp;" - "&amp;TEXT(MROUND(BC43+10,5),"mmm-dd")&amp;"; "&amp;TEXT(BF43,"mmm")&amp;" "&amp;BE43&amp;" "&amp;TEXT(ROUND(AY43,1),("+0.00;-0.00;0"))</f>
        <v>1. 2,000kb WTI +/- 10% s.o. DAP 1sp KOREA Jan-23 - Feb-02; Dec Dubai +17.20</v>
      </c>
      <c r="AA99"/>
      <c r="AB99" s="485"/>
      <c r="AC99"/>
      <c r="AE99" t="str">
        <f>"1. 2,000kb WTI +/- 10% s.o. DAP 1sp"&amp;" "&amp;VLOOKUP(Z28,Zones,2,FALSE)&amp;" "&amp;TEXT(MROUND(BC34,5),"mmm-dd")&amp;" - "&amp;TEXT(MROUND(BC34+5,5),"mmm-dd")&amp;"; "&amp;TEXT(BF34,"mmm")&amp;" "&amp;BE34&amp;" "&amp;TEXT(ROUND(AVERAGE(AY34,AY43),1),("+0.00;-0.00;0"))</f>
        <v>1. 2,000kb WTI +/- 10% s.o. DAP 1sp KOREA Jan-13 - Jan-18; Dec Dubai +14.00</v>
      </c>
      <c r="AF99"/>
      <c r="AG99" s="494"/>
      <c r="AH99" s="494"/>
      <c r="AJ99"/>
      <c r="AK99"/>
      <c r="AL99"/>
      <c r="AM99"/>
      <c r="AN99"/>
      <c r="AO99"/>
      <c r="AP99"/>
      <c r="AQ99"/>
      <c r="AR99"/>
      <c r="AS99"/>
      <c r="AT99"/>
      <c r="AU99" t="str">
        <f>"1. 2,000kb WTI +/- 10% s.o. DAP 1sp"&amp;" "&amp;VLOOKUP(Z34,Zones,2,FALSE)&amp;" "&amp;TEXT(MROUND(BC34,5),"mmm-dd")&amp;" - "&amp;TEXT(MROUND(BC34+10,5),"mmm-dd")&amp;"; "&amp;TEXT(BF34,"mmm")&amp;" "&amp;BE34&amp;" "&amp;TEXT(ROUND(AY34,1),("+0.00;-0.00;0"))</f>
        <v>1. 2,000kb WTI +/- 10% s.o. DAP 1sp KOREA Jan-13 - Jan-23; Dec Dubai +10.70</v>
      </c>
      <c r="AV99"/>
      <c r="AW99"/>
      <c r="AX99"/>
      <c r="BB99"/>
      <c r="BC99"/>
      <c r="BD99"/>
    </row>
    <row r="100" spans="4:57" x14ac:dyDescent="0.35">
      <c r="N100"/>
      <c r="O100"/>
      <c r="P100"/>
      <c r="Q100"/>
      <c r="W100"/>
      <c r="Y100" t="str">
        <f>"2. 2,000kb WTI +/- 10% s.o. DAP 1sp"&amp;" "&amp;VLOOKUP(Z44,Zones,2,FALSE)&amp;" "&amp;TEXT(MROUND(BC44,5),"mmm-dd")&amp;" - "&amp;TEXT(MROUND(BC44+10,5),"mmm-dd")&amp;"; "&amp;TEXT(BF44,"mmm")&amp;" "&amp;BE44&amp;" "&amp;TEXT(ROUND(AY44,1),("+0.00;-0.00;0"))</f>
        <v>2. 2,000kb WTI +/- 10% s.o. DAP 1sp Singapore Jan-13 - Jan-23; Jan Dated +16.80</v>
      </c>
      <c r="AE100" t="str">
        <f>"2. 2,000kb WTI +/- 5% s.o. DAP 1sp"&amp;" "&amp;VLOOKUP(Z29,Zones,2,FALSE)&amp;" "&amp;TEXT(MROUND(BC35,5),"mmm-dd")&amp;" - "&amp;TEXT(MROUND(BC35+5,5),"mmm-dd")&amp;"; "&amp;TEXT(BF35,"mmm")&amp;" "&amp;BE35&amp;" "&amp;TEXT(ROUND(AVERAGE(AY35,AY44),1),("+0.00;-0.00;0"))</f>
        <v>2. 2,000kb WTI +/- 5% s.o. DAP 1sp Singapore Jan-03 - Jan-08; Jan Dated +13.90</v>
      </c>
      <c r="AF100"/>
      <c r="AG100" s="485"/>
      <c r="AH100" s="485"/>
      <c r="AI100"/>
      <c r="AJ100"/>
      <c r="AK100"/>
      <c r="AL100"/>
      <c r="AM100"/>
      <c r="AN100"/>
      <c r="AO100"/>
      <c r="AP100"/>
      <c r="AQ100"/>
      <c r="AR100"/>
      <c r="AS100"/>
      <c r="AT100"/>
      <c r="AU100" t="str">
        <f>"2. 2,000kb WTI +/- 10% s.o. DAP 1sp"&amp;" "&amp;VLOOKUP(Z35,Zones,2,FALSE)&amp;" "&amp;TEXT(MROUND(BC35,5),"mmm-dd")&amp;" - "&amp;TEXT(MROUND(BC35+10,5),"mmm-dd")&amp;"; "&amp;TEXT(BF35,"mmm")&amp;" "&amp;BE35&amp;" "&amp;TEXT(ROUND(AY35,1),("+0.00;-0.00;0"))</f>
        <v>2. 2,000kb WTI +/- 10% s.o. DAP 1sp Singapore Jan-03 - Jan-13; Jan Dated +11.00</v>
      </c>
      <c r="AV100"/>
      <c r="AW100"/>
      <c r="AX100"/>
      <c r="BD100" s="406"/>
    </row>
    <row r="101" spans="4:57" x14ac:dyDescent="0.35">
      <c r="D101" s="2"/>
      <c r="E101" s="2"/>
      <c r="N101"/>
      <c r="O101"/>
      <c r="P101"/>
      <c r="Q101"/>
      <c r="W101"/>
      <c r="Y101" t="str">
        <f>"3. 2,000kb WTI +/- 10% s.o. DAP 1sp"&amp;" "&amp;VLOOKUP(Z46,Zones,2,FALSE)&amp;" "&amp;TEXT(MROUND(BC46,5),"mmm-dd")&amp;" - "&amp;TEXT(MROUND(BC46+10,5),"mmm-dd")&amp;"; "&amp;TEXT(BF46,"mmm")&amp;" "&amp;BE46&amp;" "&amp;TEXT(ROUND(AY46,1),("+0.00;-0.00;0"))</f>
        <v>3. 2,000kb WTI +/- 10% s.o. DAP 1sp INDIA Jan-08 - Jan-18; Dec Dated +13.50</v>
      </c>
      <c r="AA101"/>
      <c r="AB101" s="485"/>
      <c r="AC101"/>
      <c r="AE101" t="str">
        <f>"3. 2,000kb WTI +/- 10% s.o. DAP 1sp"&amp;" "&amp;VLOOKUP(Z30,Zones,2,FALSE)&amp;" "&amp;TEXT(MROUND(BC36,5),"mmm-dd")&amp;" - "&amp;TEXT(MROUND(BC36+5,5),"mmm-dd")&amp;"; "&amp;TEXT(BF36,"mmm")&amp;" "&amp;BE36&amp;" "&amp;TEXT(ROUND(AVERAGE(AY36,AY46),1),("+0.00;-0.00;0"))</f>
        <v>3. 2,000kb WTI +/- 10% s.o. DAP 1sp INDIA Jan-03 - Jan-08; Dec Dated +13.60</v>
      </c>
      <c r="AF101"/>
      <c r="AG101" s="485"/>
      <c r="AH101" s="485"/>
      <c r="AI101"/>
      <c r="AJ101"/>
      <c r="AK101"/>
      <c r="AL101"/>
      <c r="AM101"/>
      <c r="AN101"/>
      <c r="AO101"/>
      <c r="AP101"/>
      <c r="AQ101"/>
      <c r="AR101"/>
      <c r="AS101"/>
      <c r="AT101"/>
      <c r="AU101" t="str">
        <f>"3. 2,000kb WTI +/- 10% s.o. DAP 1sp"&amp;" "&amp;VLOOKUP(Z36,Zones,2,FALSE)&amp;" "&amp;TEXT(MROUND(BC36,5),"mmm-dd")&amp;" - "&amp;TEXT(MROUND(BC36+10,5),"mmm-dd")&amp;"; "&amp;TEXT(BF36,"mmm")&amp;" "&amp;BE36&amp;" "&amp;TEXT(ROUND(AY36,1),("+0.00;-0.00;0"))</f>
        <v>3. 2,000kb WTI +/- 10% s.o. DAP 1sp INDIA Jan-03 - Jan-13; Dec Dated +13.70</v>
      </c>
      <c r="AV101"/>
      <c r="AW101" s="201"/>
      <c r="AX101"/>
      <c r="AY101" s="152"/>
      <c r="BB101" s="2"/>
      <c r="BD101" s="201"/>
    </row>
    <row r="102" spans="4:57" x14ac:dyDescent="0.35">
      <c r="D102" s="2"/>
      <c r="E102" s="2"/>
      <c r="N102"/>
      <c r="O102"/>
      <c r="P102"/>
      <c r="Q102"/>
      <c r="W102"/>
      <c r="Y102" t="str">
        <f>"3. 2,000kb WTI +/- 10% s.o. CFR. 1sp"&amp;" "&amp;VLOOKUP(Z47,Zones,2,FALSE)&amp;" "&amp;TEXT(MROUND(BC47,5),"mmm-dd")&amp;" - "&amp;TEXT(MROUND(BC47+10,5),"mmm-dd")&amp;"; "&amp;TEXT(BF47,"mmm")&amp;" "&amp;BE47&amp;" "&amp;TEXT(ROUND(AY47,1),("+0.00;-0.00;0"))</f>
        <v>3. 2,000kb WTI +/- 10% s.o. CFR. 1sp TAIWAN Jan-18 - Jan-28; Dec Dated +11.90</v>
      </c>
      <c r="AA102"/>
      <c r="AB102" s="485"/>
      <c r="AC102"/>
      <c r="AE102" t="str">
        <f>"4. 2,000kb WTI +/- 10% s.o. CFR 1-2sp"&amp;" "&amp;VLOOKUP(Z31,Zones,2,FALSE)&amp;" "&amp;TEXT(MROUND(BC37,5),"mmm-dd")&amp;" - "&amp;TEXT(MROUND(BC37+5,5),"mmm-dd")&amp;"; "&amp;TEXT(BF37,"mmm")&amp;" "&amp;BE37&amp;" "&amp;TEXT(ROUND(AVERAGE(AY37,AY47),1),("+0.00;-0.00;0"))</f>
        <v>4. 2,000kb WTI +/- 10% s.o. CFR 1-2sp TAIWAN Jan-13 - Jan-18; Dec Dated +9.90</v>
      </c>
      <c r="AF102"/>
      <c r="AG102" s="485"/>
      <c r="AH102" s="485"/>
      <c r="AI102"/>
      <c r="AJ102"/>
      <c r="AK102"/>
      <c r="AL102"/>
      <c r="AM102"/>
      <c r="AN102"/>
      <c r="AO102"/>
      <c r="AP102"/>
      <c r="AQ102"/>
      <c r="AR102"/>
      <c r="AS102"/>
      <c r="AT102"/>
      <c r="AU102" t="str">
        <f>"4. 2,000kb WTI +/- 10% s.o. DAP 1sp"&amp;" "&amp;VLOOKUP(Z37,Zones,2,FALSE)&amp;" "&amp;TEXT(MROUND(BC37,5),"mmm-dd")&amp;" - "&amp;TEXT(MROUND(BC37+10,5),"mmm-dd")&amp;"; "&amp;TEXT(BF37,"mmm")&amp;" "&amp;BE37&amp;" "&amp;TEXT(ROUND(AY37,1),("+0.00;-0.00;0"))</f>
        <v>4. 2,000kb WTI +/- 10% s.o. DAP 1sp TAIWAN Jan-13 - Jan-23; Dec Dated +7.90</v>
      </c>
      <c r="AV102"/>
      <c r="AW102"/>
      <c r="AX102"/>
      <c r="AY102" s="152"/>
      <c r="BB102" s="2"/>
    </row>
    <row r="103" spans="4:57" x14ac:dyDescent="0.35">
      <c r="D103" s="2"/>
      <c r="E103" s="2"/>
      <c r="N103"/>
      <c r="O103"/>
      <c r="P103"/>
      <c r="Q103"/>
      <c r="W103"/>
      <c r="Y103" s="7" t="s">
        <v>239</v>
      </c>
      <c r="AA103"/>
      <c r="AB103" s="485"/>
      <c r="AC103"/>
      <c r="AD103"/>
      <c r="AE103" s="485"/>
      <c r="AF103"/>
      <c r="AG103" s="485"/>
      <c r="AH103" s="485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 s="152"/>
      <c r="BB103" s="2"/>
    </row>
    <row r="104" spans="4:57" x14ac:dyDescent="0.35">
      <c r="N104"/>
      <c r="O104"/>
      <c r="P104" t="str">
        <f>AB50/1000&amp;" test"</f>
        <v>670 test</v>
      </c>
      <c r="Q104"/>
      <c r="W104"/>
      <c r="Y104" t="str">
        <f>AB50/1000&amp;"kb WTI +/- 1% s.o. CIF"&amp;" "&amp;Z50&amp;" "&amp;TEXT(BC50,"mmm-dd")&amp;" - "&amp;TEXT(BC50+4,"mmm-dd")&amp;"; "&amp;TEXT(BF50,"mmm")&amp;" "&amp;BE50&amp;" "&amp;TEXT(ROUND(AY50,1),("+0.00;-0.00;0"))</f>
        <v>670kb WTI +/- 1% s.o. CIF Rotterdam Dec-03 - Dec-07; Dec Dated -17.40</v>
      </c>
      <c r="AA104"/>
      <c r="AB104" s="485"/>
      <c r="AC104"/>
      <c r="AD104" t="str">
        <f>"1,000kb WTI +/- 10% s.o. DAP 1sp"&amp;" "&amp;VLOOKUP(Z42,Zones,2,FALSE)&amp;" "&amp;TEXT(MROUND(BC42,5),"mmm-dd")&amp;" - "&amp;TEXT(MROUND(BC42+5,5),"mmm-dd")&amp;"; "&amp;TEXT(BF42,"mmm")&amp;" "&amp;BE42&amp;" "&amp;TEXT(ROUND(AVERAGE(AY42,AY49),1),("+0.00;-0.00;0"))</f>
        <v>1,000kb WTI +/- 10% s.o. DAP 1sp INDIA Dec-24 - Dec-29; Nov Dated -20.30</v>
      </c>
      <c r="AF104"/>
      <c r="AG104" s="485"/>
      <c r="AH104" s="485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4:57" x14ac:dyDescent="0.35">
      <c r="N105"/>
      <c r="O105"/>
      <c r="P105"/>
      <c r="Q105"/>
      <c r="W105"/>
      <c r="Y105" t="str">
        <f t="shared" ref="Y105:Y111" si="170">AB51/1000&amp;"kb WTI +/- 1% s.o. CIF"&amp;" "&amp;Z51&amp;" "&amp;TEXT(BC51,"mmm-dd")&amp;" - "&amp;TEXT(BC51+4,"mmm-dd")&amp;"; "&amp;TEXT(BF51,"mmm")&amp;" "&amp;BE51&amp;" "&amp;TEXT(ROUND(AY51,1),("+0.00;-0.00;0"))</f>
        <v>670kb WTI +/- 1% s.o. CIF Tranmere Dec-03 - Dec-07; Dec Dated -17.30</v>
      </c>
      <c r="AA105"/>
      <c r="AB105" s="485"/>
      <c r="AC105"/>
      <c r="AD105"/>
      <c r="AE105" s="486"/>
      <c r="AF105" s="308"/>
      <c r="AG105" s="485"/>
      <c r="AH105" s="48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4:57" x14ac:dyDescent="0.35">
      <c r="N106"/>
      <c r="O106"/>
      <c r="P106"/>
      <c r="Q106"/>
      <c r="W106"/>
      <c r="Y106" t="str">
        <f t="shared" si="170"/>
        <v>670kb WTI +/- 1% s.o. CIF Pembroke Dec-03 - Dec-07; Dec Dated -17.50</v>
      </c>
      <c r="AA106"/>
      <c r="AB106" s="485"/>
      <c r="AC106"/>
      <c r="AD106"/>
      <c r="AE106" s="485"/>
      <c r="AF106"/>
      <c r="AG106" s="485"/>
      <c r="AH106" s="485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4:57" x14ac:dyDescent="0.35">
      <c r="N107"/>
      <c r="O107"/>
      <c r="P107"/>
      <c r="Q107"/>
      <c r="W107"/>
      <c r="Y107" t="str">
        <f t="shared" si="170"/>
        <v>670kb WTI +/- 1% s.o. CIF Butinge Dec-05 - Dec-09; Dec Dated -16.20</v>
      </c>
      <c r="AA107"/>
      <c r="AB107" s="485"/>
      <c r="AC107"/>
      <c r="AD107"/>
      <c r="AE107" s="485"/>
      <c r="AF107" t="s">
        <v>240</v>
      </c>
      <c r="AG107" s="485"/>
      <c r="AH107" s="485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4:57" x14ac:dyDescent="0.35">
      <c r="N108"/>
      <c r="O108"/>
      <c r="Y108" t="str">
        <f t="shared" si="170"/>
        <v>670kb WTI +/- 1% s.o. CIF Augusta Dec-05 - Dec-09; Dec Dated -16.90</v>
      </c>
      <c r="AA108"/>
      <c r="AB108" s="485"/>
      <c r="AC108"/>
      <c r="AD108" t="s">
        <v>159</v>
      </c>
      <c r="AE108" s="485"/>
      <c r="AF108"/>
      <c r="AG108" s="485"/>
      <c r="AH108" s="485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4:57" x14ac:dyDescent="0.35">
      <c r="D109"/>
      <c r="E109"/>
      <c r="F109"/>
      <c r="G109"/>
      <c r="H109"/>
      <c r="I109"/>
      <c r="J109"/>
      <c r="K109"/>
      <c r="L109"/>
      <c r="M109"/>
      <c r="N109"/>
      <c r="O109"/>
      <c r="Y109" t="str">
        <f t="shared" si="170"/>
        <v>670kb WTI +/- 1% s.o. CIF Omisalj Dec-08 - Dec-12; Dec Dated -16.60</v>
      </c>
      <c r="AA109"/>
      <c r="AB109" s="485"/>
      <c r="AC109"/>
      <c r="AD109"/>
      <c r="AE109" s="485"/>
      <c r="AF109"/>
      <c r="AG109" s="485"/>
      <c r="AH109" s="485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4:57" x14ac:dyDescent="0.35">
      <c r="D110"/>
      <c r="F110" s="509">
        <v>4</v>
      </c>
      <c r="G110"/>
      <c r="H110"/>
      <c r="I110"/>
      <c r="J110"/>
      <c r="K110"/>
      <c r="L110"/>
      <c r="M110"/>
      <c r="N110"/>
      <c r="O110"/>
      <c r="Y110" t="str">
        <f t="shared" si="170"/>
        <v>670kb WTI +/- 1% s.o. CIF La Coruña Dec-03 - Dec-07; Dec Dated -17.80</v>
      </c>
      <c r="AA110"/>
      <c r="AB110" s="485"/>
      <c r="AC110"/>
      <c r="AD110"/>
      <c r="AE110" s="485"/>
      <c r="AF110"/>
      <c r="AG110" s="485"/>
      <c r="AH110" s="485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4:57" x14ac:dyDescent="0.35">
      <c r="D111"/>
      <c r="F111" s="509">
        <v>2</v>
      </c>
      <c r="G111"/>
      <c r="H111"/>
      <c r="I111"/>
      <c r="J111"/>
      <c r="K111"/>
      <c r="L111"/>
      <c r="M111" t="s">
        <v>241</v>
      </c>
      <c r="N111"/>
      <c r="O111"/>
      <c r="Y111" t="str">
        <f t="shared" si="170"/>
        <v>670kb WTI +/- 1% s.o. CIF Kalundborg Dec-06 - Dec-10; Dec Dated -16.70</v>
      </c>
      <c r="AA111"/>
      <c r="AB111" s="485"/>
      <c r="AC111"/>
      <c r="AD111"/>
      <c r="AE111" s="485"/>
      <c r="AF111"/>
      <c r="AG111" s="485"/>
      <c r="AH111" s="485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BD111" s="2">
        <v>1350</v>
      </c>
      <c r="BE111" s="2">
        <v>60</v>
      </c>
    </row>
    <row r="112" spans="4:57" x14ac:dyDescent="0.35">
      <c r="D112"/>
      <c r="F112" s="509">
        <v>1</v>
      </c>
      <c r="G112"/>
      <c r="H112"/>
      <c r="I112"/>
      <c r="J112"/>
      <c r="K112"/>
      <c r="L112"/>
      <c r="M112" t="s">
        <v>242</v>
      </c>
      <c r="N112"/>
      <c r="O112"/>
      <c r="AA112"/>
      <c r="AB112" s="485"/>
      <c r="AC112"/>
      <c r="AD112"/>
      <c r="AE112" s="485"/>
      <c r="AF112"/>
      <c r="AG112" s="485"/>
      <c r="AH112" s="485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BD112" s="2">
        <v>700</v>
      </c>
      <c r="BE112" s="2">
        <v>20</v>
      </c>
    </row>
    <row r="113" spans="4:57" x14ac:dyDescent="0.35">
      <c r="D113"/>
      <c r="F113" s="509">
        <v>3</v>
      </c>
      <c r="G113"/>
      <c r="H113"/>
      <c r="I113"/>
      <c r="J113"/>
      <c r="K113"/>
      <c r="L113"/>
      <c r="M113"/>
      <c r="N113"/>
      <c r="O113"/>
      <c r="Y113" s="7" t="s">
        <v>243</v>
      </c>
      <c r="AA113"/>
      <c r="AB113" s="485"/>
      <c r="AC113"/>
      <c r="AD113"/>
      <c r="AE113" s="485"/>
      <c r="AF113"/>
      <c r="AG113" s="485"/>
      <c r="AH113" s="485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4:57" x14ac:dyDescent="0.35">
      <c r="D114"/>
      <c r="F114" s="509">
        <v>3</v>
      </c>
      <c r="G114"/>
      <c r="H114"/>
      <c r="I114"/>
      <c r="J114"/>
      <c r="K114"/>
      <c r="L114"/>
      <c r="M114"/>
      <c r="N114"/>
      <c r="O114"/>
      <c r="Y114" t="str">
        <f>"2000"&amp;"kb WTI +/- 5% s.o. CIF"&amp;" "&amp;Z61&amp;" "&amp;TEXT(BC60,"mmm-dd")&amp;" - "&amp;TEXT(BC60+4,"mmm-dd")&amp;"; "&amp;TEXT(BF60,"mmm")&amp;" "&amp;BE60&amp;" "&amp;TEXT(ROUND(AY60,1),("+0.00;-0.00;0"))</f>
        <v>2000kb WTI +/- 5% s.o. CIF Rotterdam Dec-11 - Dec-15; Dec Dated -16.00</v>
      </c>
      <c r="AA114"/>
      <c r="AB114" s="485"/>
      <c r="AC114"/>
      <c r="AD114"/>
      <c r="AE114" s="485"/>
      <c r="AF114"/>
      <c r="AG114" s="485"/>
      <c r="AH114" s="485"/>
      <c r="AI114">
        <v>1350</v>
      </c>
      <c r="AJ114">
        <v>750</v>
      </c>
      <c r="AK114">
        <f>SUM(AI114:AJ114)</f>
        <v>2100</v>
      </c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4:57" x14ac:dyDescent="0.35">
      <c r="D115"/>
      <c r="F115" s="509">
        <v>1</v>
      </c>
      <c r="G115"/>
      <c r="H115"/>
      <c r="I115"/>
      <c r="J115"/>
      <c r="K115"/>
      <c r="L115"/>
      <c r="M115"/>
      <c r="N115"/>
      <c r="O115"/>
      <c r="Y115" t="str">
        <f>"2000kb WTI +/- 5% s.o. CFR"&amp;" "&amp;Z64&amp;" "&amp;TEXT(BC63,"mmm-dd")&amp;" - "&amp;TEXT(BC63+4,"mmm-dd")&amp;"; "&amp;TEXT(BF63,"mmm")&amp;" "&amp;BE63&amp;" "&amp;TEXT(ROUND(AY63,1),("+0.00;-0.00;0"))</f>
        <v>2000kb WTI +/- 5% s.o. CFR Lagos Dec-08 - Dec-12; Dec Dated -15.90</v>
      </c>
      <c r="AA115"/>
      <c r="AB115" s="485"/>
      <c r="AC115"/>
      <c r="AD115"/>
      <c r="AE115" s="485"/>
      <c r="AF115"/>
      <c r="AG115" s="485"/>
      <c r="AH115" s="48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4:57" x14ac:dyDescent="0.35">
      <c r="D116"/>
      <c r="F116" s="509">
        <v>3</v>
      </c>
      <c r="G116"/>
      <c r="H116"/>
      <c r="I116"/>
      <c r="J116"/>
      <c r="K116"/>
      <c r="L116"/>
      <c r="M116"/>
      <c r="N116"/>
      <c r="O116"/>
      <c r="Y116" t="str">
        <f>"2000"&amp;"kb WTI +/- 5% s.o. CIF"&amp;" "&amp;Z60&amp;" "&amp;TEXT(BC62,"mmm-dd")&amp;" - "&amp;TEXT(BC62+4,"mmm-dd")&amp;"; "&amp;TEXT(BF62,"mmm")&amp;" "&amp;BE62&amp;" "&amp;TEXT(ROUND(AVERAGE(AY60,AY62),1),("+0.00;-0.00;0"))</f>
        <v>2000kb WTI +/- 5% s.o. CIF Rotterdam Dec-05 - Dec-09; Dec Dated -17.60</v>
      </c>
      <c r="AA116"/>
      <c r="AB116" s="485"/>
      <c r="AC116"/>
      <c r="AD116"/>
      <c r="AE116" s="485"/>
      <c r="AF116"/>
      <c r="AG116" s="485"/>
      <c r="AH116" s="485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BE116" s="2">
        <f>SUMPRODUCT(BD111:BD112,BE111:BE112/SUM(BD111:BD112))</f>
        <v>46.341463414634148</v>
      </c>
    </row>
    <row r="117" spans="4:57" x14ac:dyDescent="0.35">
      <c r="D117"/>
      <c r="F117" s="509">
        <v>1</v>
      </c>
      <c r="G117"/>
      <c r="H117"/>
      <c r="I117"/>
      <c r="J117"/>
      <c r="K117"/>
      <c r="L117"/>
      <c r="M117"/>
      <c r="N117"/>
      <c r="O117"/>
      <c r="Y117" t="str">
        <f>"2000"&amp;"kb WTI +/- 5% s.o. CIF"&amp;" "&amp;Z63&amp;" "&amp;TEXT(BC64,"mmm-dd")&amp;" - "&amp;TEXT(BC64+4,"mmm-dd")&amp;"; "&amp;TEXT(BF64,"mmm")&amp;" "&amp;BE64&amp;" "&amp;TEXT(ROUND(AVERAGE(AY63,AY64),1),("+0.00;-0.00;0"))</f>
        <v>2000kb WTI +/- 5% s.o. CIF Lagos Dec-02 - Dec-06; Dec Dated -17.10</v>
      </c>
      <c r="AA117"/>
      <c r="AB117" s="485"/>
      <c r="AC117"/>
      <c r="AD117"/>
      <c r="AE117" s="485"/>
      <c r="AF117"/>
      <c r="AG117" s="485"/>
      <c r="AH117" s="485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4:57" x14ac:dyDescent="0.35">
      <c r="D118"/>
      <c r="F118" s="509">
        <v>1</v>
      </c>
      <c r="G118"/>
      <c r="H118"/>
      <c r="I118"/>
      <c r="J118"/>
      <c r="K118"/>
      <c r="L118"/>
      <c r="M118"/>
      <c r="N118"/>
      <c r="O118"/>
      <c r="AA118"/>
      <c r="AB118" s="485"/>
      <c r="AC118"/>
      <c r="AD118"/>
      <c r="AE118" s="485"/>
      <c r="AF118"/>
      <c r="AG118" s="485"/>
      <c r="AH118" s="485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4:57" x14ac:dyDescent="0.35">
      <c r="D119"/>
      <c r="G119"/>
      <c r="H119"/>
      <c r="I119"/>
      <c r="J119"/>
      <c r="K119"/>
      <c r="L119"/>
      <c r="M119" t="s">
        <v>242</v>
      </c>
      <c r="N119"/>
      <c r="O119"/>
      <c r="AA119"/>
      <c r="AB119" s="485"/>
      <c r="AC119"/>
      <c r="AD119"/>
      <c r="AE119" s="485"/>
      <c r="AF119"/>
      <c r="AG119" s="485"/>
      <c r="AH119" s="485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4:57" x14ac:dyDescent="0.35">
      <c r="AJ120" s="2">
        <v>1250</v>
      </c>
      <c r="AK120" s="2">
        <v>0.11</v>
      </c>
      <c r="AL120" s="2">
        <f t="shared" ref="AL120:AL121" si="171">AK120*AJ120</f>
        <v>137.5</v>
      </c>
    </row>
    <row r="121" spans="4:57" x14ac:dyDescent="0.35">
      <c r="AJ121" s="2">
        <v>850</v>
      </c>
      <c r="AK121" s="2">
        <v>0</v>
      </c>
      <c r="AL121" s="2">
        <f t="shared" si="171"/>
        <v>0</v>
      </c>
    </row>
    <row r="122" spans="4:57" x14ac:dyDescent="0.35">
      <c r="Y122" t="str">
        <f>"2000"&amp;"kb Forties +/- 10% s.o. CFR Korea "&amp;TEXT(BC85,"mmm-dd")&amp;" - "&amp;TEXT(BC85+4,"mmm-dd")&amp;"; "&amp;TEXT(BF85,"mmm")&amp;" "&amp;BE85&amp;" "&amp;TEXT(ROUND(AY85,1),("+0.00;-0.00;0"))</f>
        <v>2000kb Forties +/- 10% s.o. CFR Korea Jul-07 - Jul-11; Jun Dated +7.60</v>
      </c>
      <c r="AL122" s="2">
        <f>SUM(AL120:AL121)/SUM(AJ120:AJ121)</f>
        <v>6.5476190476190479E-2</v>
      </c>
    </row>
    <row r="124" spans="4:57" x14ac:dyDescent="0.35">
      <c r="D124"/>
      <c r="G124"/>
      <c r="H124"/>
      <c r="I124"/>
      <c r="J124"/>
      <c r="K124"/>
      <c r="L124"/>
      <c r="M124"/>
      <c r="N124"/>
      <c r="O124"/>
      <c r="AA124"/>
      <c r="AB124" s="485"/>
      <c r="AC124"/>
      <c r="AD124"/>
      <c r="AE124" s="485"/>
      <c r="AF124"/>
      <c r="AG124" s="485"/>
      <c r="AH124" s="485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4:57" x14ac:dyDescent="0.35">
      <c r="D125"/>
      <c r="E125"/>
      <c r="F125" s="509"/>
      <c r="G125"/>
      <c r="H125"/>
      <c r="I125"/>
      <c r="J125"/>
      <c r="K125"/>
      <c r="L125"/>
      <c r="M125"/>
      <c r="N125"/>
      <c r="O125"/>
      <c r="AA125"/>
      <c r="AB125" s="485"/>
      <c r="AC125"/>
      <c r="AD125"/>
      <c r="AE125" s="485"/>
      <c r="AF125"/>
      <c r="AG125" s="485"/>
      <c r="AH125" s="48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4:57" x14ac:dyDescent="0.35">
      <c r="D126"/>
      <c r="E126"/>
      <c r="F126" s="509"/>
      <c r="G126"/>
      <c r="H126"/>
      <c r="I126"/>
      <c r="J126"/>
      <c r="K126"/>
      <c r="L126"/>
      <c r="M126"/>
      <c r="N126"/>
      <c r="O126"/>
      <c r="AA126"/>
      <c r="AB126" s="485"/>
      <c r="AC126"/>
      <c r="AD126"/>
      <c r="AE126" s="485" t="s">
        <v>272</v>
      </c>
      <c r="AF126">
        <v>390</v>
      </c>
      <c r="AG126" s="485"/>
      <c r="AH126" s="485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4:57" x14ac:dyDescent="0.35">
      <c r="D127"/>
      <c r="E127"/>
      <c r="F127">
        <f>SUM(F110:F126)</f>
        <v>19</v>
      </c>
      <c r="G127"/>
      <c r="H127"/>
      <c r="I127"/>
      <c r="J127"/>
      <c r="K127"/>
      <c r="L127"/>
      <c r="M127"/>
      <c r="AE127" s="21" t="s">
        <v>273</v>
      </c>
      <c r="AF127" s="44">
        <f>AF126-AG127</f>
        <v>385</v>
      </c>
      <c r="AG127" s="124">
        <v>5</v>
      </c>
    </row>
    <row r="128" spans="4:57" x14ac:dyDescent="0.35">
      <c r="D128" s="2"/>
      <c r="E128" s="2"/>
      <c r="F128"/>
      <c r="G128"/>
      <c r="H128"/>
      <c r="I128"/>
      <c r="J128"/>
      <c r="K128" s="2"/>
      <c r="L128"/>
      <c r="M128"/>
      <c r="AE128" s="21" t="s">
        <v>274</v>
      </c>
      <c r="AF128" s="44">
        <f t="shared" ref="AF128" si="172">AF127-AG128</f>
        <v>347</v>
      </c>
      <c r="AG128" s="124">
        <v>38</v>
      </c>
      <c r="AH128" s="124" t="s">
        <v>126</v>
      </c>
    </row>
    <row r="129" spans="4:33" x14ac:dyDescent="0.35">
      <c r="D129" s="2"/>
      <c r="E129" s="2"/>
      <c r="F129"/>
      <c r="G129"/>
      <c r="H129"/>
      <c r="I129"/>
      <c r="J129"/>
      <c r="K129" s="2"/>
      <c r="L129"/>
      <c r="M129"/>
      <c r="AE129" s="848" t="s">
        <v>272</v>
      </c>
      <c r="AF129" s="44">
        <f>AF128+AG129</f>
        <v>398</v>
      </c>
      <c r="AG129" s="124">
        <v>51</v>
      </c>
    </row>
    <row r="130" spans="4:33" x14ac:dyDescent="0.35">
      <c r="AE130" s="21" t="s">
        <v>275</v>
      </c>
      <c r="AF130" s="44">
        <f>AF129</f>
        <v>398</v>
      </c>
    </row>
    <row r="145" spans="27:30" x14ac:dyDescent="0.35">
      <c r="AA145"/>
      <c r="AB145"/>
      <c r="AD145" s="3"/>
    </row>
    <row r="146" spans="27:30" x14ac:dyDescent="0.35">
      <c r="AA146"/>
      <c r="AB146"/>
      <c r="AD146" s="3"/>
    </row>
    <row r="147" spans="27:30" x14ac:dyDescent="0.35">
      <c r="AA147"/>
      <c r="AB147"/>
      <c r="AD147" s="3"/>
    </row>
    <row r="148" spans="27:30" x14ac:dyDescent="0.35">
      <c r="AA148"/>
      <c r="AB148"/>
      <c r="AD148" s="3"/>
    </row>
    <row r="149" spans="27:30" x14ac:dyDescent="0.35">
      <c r="AA149"/>
      <c r="AB149"/>
      <c r="AD149" s="3"/>
    </row>
    <row r="151" spans="27:30" x14ac:dyDescent="0.35">
      <c r="AB151" s="3"/>
      <c r="AD151" s="3"/>
    </row>
  </sheetData>
  <dataConsolidate/>
  <mergeCells count="19">
    <mergeCell ref="A7:B7"/>
    <mergeCell ref="Y7:AY7"/>
    <mergeCell ref="Y32:AY32"/>
    <mergeCell ref="D2:BG2"/>
    <mergeCell ref="D3:E3"/>
    <mergeCell ref="D4:E4"/>
    <mergeCell ref="D5:E5"/>
    <mergeCell ref="BC8:BD8"/>
    <mergeCell ref="Y22:AY22"/>
    <mergeCell ref="A23:B23"/>
    <mergeCell ref="BC23:BD23"/>
    <mergeCell ref="Y26:AY26"/>
    <mergeCell ref="Y72:AY72"/>
    <mergeCell ref="Y39:AY39"/>
    <mergeCell ref="Y48:AY48"/>
    <mergeCell ref="A49:B49"/>
    <mergeCell ref="Y65:AY65"/>
    <mergeCell ref="A66:B66"/>
    <mergeCell ref="AW69:AX69"/>
  </mergeCells>
  <conditionalFormatting sqref="A8:B21 A24:B47 BC24:BG47">
    <cfRule type="expression" dxfId="125" priority="12">
      <formula>LEN(A8)=0</formula>
    </cfRule>
  </conditionalFormatting>
  <conditionalFormatting sqref="A65:B65 A67:B67">
    <cfRule type="expression" dxfId="124" priority="14">
      <formula>LEN(A65)=0</formula>
    </cfRule>
  </conditionalFormatting>
  <conditionalFormatting sqref="A70:B73">
    <cfRule type="expression" dxfId="123" priority="1">
      <formula>LEN(A70)=0</formula>
    </cfRule>
  </conditionalFormatting>
  <conditionalFormatting sqref="A85:B85">
    <cfRule type="expression" dxfId="122" priority="6">
      <formula>LEN(A85)=0</formula>
    </cfRule>
  </conditionalFormatting>
  <conditionalFormatting sqref="C26:R26 BB26">
    <cfRule type="expression" dxfId="121" priority="3">
      <formula>LEN(C26)=0</formula>
    </cfRule>
  </conditionalFormatting>
  <conditionalFormatting sqref="AF9:AF21 AF40:AF47 AF75:AF83">
    <cfRule type="cellIs" dxfId="120" priority="13" operator="greaterThan">
      <formula>2</formula>
    </cfRule>
  </conditionalFormatting>
  <conditionalFormatting sqref="AF24:AF25 AF27:AF31 AF33:AF38">
    <cfRule type="cellIs" dxfId="119" priority="4" operator="greaterThan">
      <formula>2</formula>
    </cfRule>
  </conditionalFormatting>
  <conditionalFormatting sqref="AF50:AF64">
    <cfRule type="cellIs" dxfId="118" priority="2" operator="greaterThan">
      <formula>2</formula>
    </cfRule>
  </conditionalFormatting>
  <conditionalFormatting sqref="AF67">
    <cfRule type="cellIs" dxfId="117" priority="10" operator="greaterThan">
      <formula>2</formula>
    </cfRule>
  </conditionalFormatting>
  <conditionalFormatting sqref="AF70:AF71">
    <cfRule type="cellIs" dxfId="116" priority="8" operator="greaterThan">
      <formula>2</formula>
    </cfRule>
  </conditionalFormatting>
  <conditionalFormatting sqref="AF73">
    <cfRule type="cellIs" dxfId="115" priority="9" operator="greaterThan">
      <formula>2</formula>
    </cfRule>
  </conditionalFormatting>
  <conditionalFormatting sqref="AF85">
    <cfRule type="cellIs" dxfId="114" priority="7" operator="greaterThan">
      <formula>2</formula>
    </cfRule>
  </conditionalFormatting>
  <conditionalFormatting sqref="BC9:BG21">
    <cfRule type="expression" dxfId="113" priority="11">
      <formula>LEN(BC9)=0</formula>
    </cfRule>
  </conditionalFormatting>
  <conditionalFormatting sqref="BE85:BG85">
    <cfRule type="expression" dxfId="112" priority="5">
      <formula>LEN(BE85)=0</formula>
    </cfRule>
  </conditionalFormatting>
  <dataValidations disablePrompts="1" count="3">
    <dataValidation type="list" allowBlank="1" showInputMessage="1" showErrorMessage="1" sqref="BB3 BB7 AK3:AK4 BG7 AL3" xr:uid="{F3D7E6EC-C4CF-4457-AAAA-6987C0BA5A1C}">
      <formula1>$AV$4:$AX$4</formula1>
    </dataValidation>
    <dataValidation type="list" allowBlank="1" showInputMessage="1" showErrorMessage="1" sqref="U9:U21 U24:U47" xr:uid="{7770DC74-6FA1-4EB0-A37F-E8AE1F79F088}">
      <formula1>Overages</formula1>
    </dataValidation>
    <dataValidation type="list" allowBlank="1" showInputMessage="1" showErrorMessage="1" sqref="Z9:Z21 V9:V21 Z70:Z71 Z85 Z67 Z24:Z25 Z27:Z31 Z33:Z38 Z73 Z50:Z64 Z75:Z83 Z40:Z47 V24:V47" xr:uid="{0CBECFA3-DB99-4600-A61D-555A54F772A7}">
      <formula1>Port_List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02B4055-A355-4475-BFA2-A1DAE9653364}">
          <x14:formula1>
            <xm:f>Control!$AC$3:$AI$3</xm:f>
          </x14:formula1>
          <xm:sqref>Y70:Y71 Y85 Y67 Y24:Y25 Y27:Y31 Y33:Y38 Y73 Y50:Y64 Y75:Y83 Y40:Y47</xm:sqref>
        </x14:dataValidation>
        <x14:dataValidation type="list" allowBlank="1" showInputMessage="1" showErrorMessage="1" xr:uid="{DC77262E-035B-4108-9D9E-99A374391589}">
          <x14:formula1>
            <xm:f>Control!$E$6:$E$9</xm:f>
          </x14:formula1>
          <xm:sqref>Y9:Y21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FF9900"/>
    <outlinePr summaryRight="0"/>
  </sheetPr>
  <dimension ref="A1:BO65"/>
  <sheetViews>
    <sheetView showGridLines="0" topLeftCell="A2" zoomScale="80" zoomScaleNormal="80" workbookViewId="0">
      <pane xSplit="1" ySplit="4" topLeftCell="B6" activePane="bottomRight" state="frozen"/>
      <selection pane="topRight" activeCell="B2" sqref="B2"/>
      <selection pane="bottomLeft" activeCell="A6" sqref="A6"/>
      <selection pane="bottomRight" activeCell="B2" sqref="B2"/>
    </sheetView>
  </sheetViews>
  <sheetFormatPr defaultColWidth="8.81640625" defaultRowHeight="15.5" outlineLevelCol="1" x14ac:dyDescent="0.35"/>
  <cols>
    <col min="1" max="1" width="2.54296875" style="2" customWidth="1"/>
    <col min="2" max="2" width="8.453125" style="2" bestFit="1" customWidth="1"/>
    <col min="3" max="3" width="7.54296875" style="2" bestFit="1" customWidth="1"/>
    <col min="4" max="4" width="1.1796875" customWidth="1"/>
    <col min="5" max="5" width="12.54296875" style="2" customWidth="1" collapsed="1"/>
    <col min="6" max="6" width="5.54296875" style="2" hidden="1" customWidth="1" outlineLevel="1"/>
    <col min="7" max="8" width="9.453125" style="2" hidden="1" customWidth="1" outlineLevel="1"/>
    <col min="9" max="9" width="18" style="2" hidden="1" customWidth="1" outlineLevel="1"/>
    <col min="10" max="10" width="14" style="124" hidden="1" customWidth="1" outlineLevel="1"/>
    <col min="11" max="11" width="15.81640625" style="2" hidden="1" customWidth="1" outlineLevel="1"/>
    <col min="12" max="12" width="14.54296875" style="2" hidden="1" customWidth="1" outlineLevel="1"/>
    <col min="13" max="13" width="11.453125" style="133" customWidth="1"/>
    <col min="14" max="14" width="12.54296875" style="2" bestFit="1" customWidth="1"/>
    <col min="15" max="15" width="10.453125" style="2" bestFit="1" customWidth="1"/>
    <col min="16" max="16" width="12.54296875" style="2" customWidth="1"/>
    <col min="17" max="17" width="12.54296875" customWidth="1"/>
    <col min="18" max="18" width="2.54296875" customWidth="1" collapsed="1"/>
    <col min="19" max="19" width="6.54296875" hidden="1" customWidth="1" outlineLevel="1"/>
    <col min="20" max="20" width="9.453125" hidden="1" customWidth="1" outlineLevel="1"/>
    <col min="21" max="21" width="17.453125" hidden="1" customWidth="1" outlineLevel="1"/>
    <col min="22" max="22" width="14.54296875" hidden="1" customWidth="1" outlineLevel="1"/>
    <col min="23" max="23" width="7.54296875" hidden="1" customWidth="1" outlineLevel="1"/>
    <col min="24" max="24" width="18" style="2" hidden="1" customWidth="1" outlineLevel="1"/>
    <col min="25" max="25" width="13.54296875" hidden="1" customWidth="1" outlineLevel="1"/>
    <col min="26" max="26" width="11.453125" customWidth="1"/>
    <col min="27" max="27" width="18.54296875" customWidth="1"/>
    <col min="28" max="28" width="24.1796875" style="2" customWidth="1"/>
    <col min="29" max="29" width="13.453125" style="2" bestFit="1" customWidth="1"/>
    <col min="30" max="30" width="17.453125" style="124" bestFit="1" customWidth="1"/>
    <col min="31" max="31" width="17.453125" style="124" customWidth="1"/>
    <col min="32" max="32" width="15.453125" style="21" customWidth="1"/>
    <col min="33" max="33" width="12.54296875" style="2" customWidth="1"/>
    <col min="34" max="34" width="12.54296875" style="124" bestFit="1" customWidth="1"/>
    <col min="35" max="35" width="11.453125" style="2" customWidth="1"/>
    <col min="36" max="36" width="7.54296875" style="2" customWidth="1"/>
    <col min="37" max="37" width="7.54296875" style="2" bestFit="1" customWidth="1" collapsed="1"/>
    <col min="38" max="38" width="10.453125" style="2" hidden="1" customWidth="1" outlineLevel="1"/>
    <col min="39" max="39" width="16" style="2" hidden="1" customWidth="1" outlineLevel="1"/>
    <col min="40" max="40" width="11" style="2" hidden="1" customWidth="1" outlineLevel="1"/>
    <col min="41" max="41" width="11.54296875" style="2" hidden="1" customWidth="1" outlineLevel="1"/>
    <col min="42" max="42" width="17" style="2" hidden="1" customWidth="1" outlineLevel="1"/>
    <col min="43" max="43" width="9.54296875" style="2" hidden="1" customWidth="1" outlineLevel="1"/>
    <col min="44" max="44" width="11.54296875" style="2" hidden="1" customWidth="1" outlineLevel="1"/>
    <col min="45" max="45" width="12.54296875" style="2" hidden="1" customWidth="1" outlineLevel="1"/>
    <col min="46" max="46" width="11" style="21" customWidth="1"/>
    <col min="47" max="47" width="8.453125" style="21" customWidth="1"/>
    <col min="48" max="48" width="10.453125" style="21" customWidth="1"/>
    <col min="49" max="49" width="8.81640625" style="6" customWidth="1"/>
    <col min="50" max="50" width="1.1796875" style="2" customWidth="1"/>
    <col min="51" max="51" width="8.81640625" style="43" customWidth="1"/>
    <col min="52" max="52" width="1.1796875" style="2" customWidth="1"/>
    <col min="53" max="53" width="9" style="2" bestFit="1" customWidth="1"/>
    <col min="54" max="54" width="7.54296875" style="2" bestFit="1" customWidth="1"/>
    <col min="55" max="55" width="9.54296875" bestFit="1" customWidth="1"/>
    <col min="56" max="56" width="28.54296875" style="2" bestFit="1" customWidth="1"/>
    <col min="57" max="58" width="14.54296875" style="2" bestFit="1" customWidth="1"/>
    <col min="59" max="59" width="11.453125" style="2" bestFit="1" customWidth="1"/>
    <col min="60" max="60" width="8.81640625" style="2"/>
    <col min="61" max="61" width="12.54296875" style="2" bestFit="1" customWidth="1"/>
    <col min="62" max="62" width="10.453125" style="2" bestFit="1" customWidth="1"/>
    <col min="63" max="63" width="8.81640625" style="2"/>
    <col min="64" max="64" width="13.453125" style="2" bestFit="1" customWidth="1"/>
    <col min="65" max="65" width="10.453125" style="2" bestFit="1" customWidth="1"/>
    <col min="66" max="16384" width="8.81640625" style="2"/>
  </cols>
  <sheetData>
    <row r="1" spans="1:67" ht="15.65" hidden="1" customHeight="1" x14ac:dyDescent="0.35">
      <c r="Q1" s="20"/>
      <c r="R1" s="2"/>
      <c r="S1" s="2"/>
      <c r="T1" s="2"/>
      <c r="U1" s="2"/>
      <c r="V1" s="2"/>
      <c r="W1" s="2"/>
      <c r="X1" s="2" t="e">
        <f>INDEX(Vessel_Minimum_MT,MATCH(Z1,Control!$E$11:$E$15,0),MATCH(U1,Control!$E$11:$J$11,0))</f>
        <v>#N/A</v>
      </c>
      <c r="Y1" s="2"/>
      <c r="Z1" s="2"/>
      <c r="AA1" s="2"/>
      <c r="AI1" s="2" t="e">
        <f>AG1*VLOOKUP($Z1,$BH$7:$BJ$11,3,FALSE)/$AC1</f>
        <v>#N/A</v>
      </c>
    </row>
    <row r="2" spans="1:67" ht="28.5" x14ac:dyDescent="0.65">
      <c r="A2" s="365"/>
      <c r="B2" s="363"/>
      <c r="C2" s="364"/>
      <c r="E2" s="1042" t="s">
        <v>285</v>
      </c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1042"/>
      <c r="W2" s="1042"/>
      <c r="X2" s="1042"/>
      <c r="Y2" s="1042"/>
      <c r="Z2" s="1042"/>
      <c r="AA2" s="1042"/>
      <c r="AB2" s="1042"/>
      <c r="AC2" s="1042"/>
      <c r="AD2" s="1042"/>
      <c r="AE2" s="1042"/>
      <c r="AF2" s="1042"/>
      <c r="AG2" s="1042"/>
      <c r="AH2" s="1042"/>
      <c r="AI2" s="1042"/>
      <c r="AJ2" s="1042"/>
      <c r="AK2" s="1042"/>
      <c r="AL2" s="1042"/>
      <c r="AM2" s="1042"/>
      <c r="AN2" s="1042"/>
      <c r="AO2" s="1042"/>
      <c r="AP2" s="1042"/>
      <c r="AQ2" s="1042"/>
      <c r="AR2" s="1042"/>
      <c r="AS2" s="1042"/>
      <c r="AT2" s="1042"/>
      <c r="AU2" s="1042"/>
      <c r="AV2" s="1042"/>
      <c r="AW2" s="1042"/>
      <c r="AY2"/>
      <c r="BA2" s="195"/>
      <c r="BB2" s="201"/>
      <c r="BC2" s="114"/>
      <c r="BD2" s="51"/>
    </row>
    <row r="3" spans="1:67" ht="15.65" customHeight="1" x14ac:dyDescent="0.35">
      <c r="A3" s="365"/>
      <c r="B3" s="388"/>
      <c r="C3" s="364"/>
      <c r="E3" s="203" t="s">
        <v>286</v>
      </c>
      <c r="F3" s="204"/>
      <c r="G3" s="204"/>
      <c r="H3" s="205"/>
      <c r="I3" s="206"/>
      <c r="J3" s="207"/>
      <c r="K3" s="206"/>
      <c r="L3" s="206"/>
      <c r="M3" s="208">
        <v>-1.6</v>
      </c>
      <c r="N3" s="11"/>
      <c r="O3" s="193"/>
      <c r="R3" s="37"/>
      <c r="S3" s="37"/>
      <c r="T3" s="126"/>
      <c r="U3" s="38"/>
      <c r="V3" s="126"/>
      <c r="W3" s="126"/>
      <c r="X3" s="126"/>
      <c r="Y3" s="37"/>
      <c r="Z3" s="193"/>
      <c r="AA3" s="109"/>
      <c r="AB3" s="36"/>
      <c r="AC3" s="22"/>
      <c r="AD3" s="193"/>
      <c r="AE3" s="36"/>
      <c r="AF3" s="193"/>
      <c r="AG3" s="36"/>
      <c r="AH3" s="24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46" t="s">
        <v>164</v>
      </c>
      <c r="AV3" s="46">
        <v>0.01</v>
      </c>
      <c r="AW3" s="46">
        <v>0.08</v>
      </c>
      <c r="AY3" s="194"/>
      <c r="BA3" s="198"/>
      <c r="BB3" s="114"/>
      <c r="BC3" s="114"/>
    </row>
    <row r="4" spans="1:67" ht="15" customHeight="1" thickBot="1" x14ac:dyDescent="0.4">
      <c r="A4" s="365"/>
      <c r="B4" s="365"/>
      <c r="C4" s="365"/>
      <c r="E4" s="203" t="s">
        <v>229</v>
      </c>
      <c r="F4" s="204"/>
      <c r="G4" s="204"/>
      <c r="H4" s="205"/>
      <c r="I4" s="206"/>
      <c r="J4" s="207"/>
      <c r="K4" s="206"/>
      <c r="L4" s="206"/>
      <c r="M4" s="208">
        <v>-0.5</v>
      </c>
      <c r="Q4" s="20"/>
      <c r="R4" s="2"/>
      <c r="U4" s="2"/>
      <c r="V4" s="2"/>
      <c r="W4" s="2"/>
      <c r="Y4" s="2"/>
      <c r="Z4" s="2"/>
      <c r="AA4" s="2">
        <v>11.59</v>
      </c>
      <c r="AB4" s="52" t="s">
        <v>287</v>
      </c>
      <c r="AC4" s="52"/>
      <c r="AD4" s="1043" t="s">
        <v>288</v>
      </c>
      <c r="AE4" s="1043"/>
      <c r="AF4" s="1043"/>
      <c r="AG4" s="192"/>
      <c r="AH4" s="3">
        <f>IF(INDEX(Index,MATCH(AA7,TVM_PortList,0),MATCH("Type",Control!$Q$3:$U$3,0))="BL",INDEX(Index,MATCH(AA7,TVM_PortList,0),MATCH("Payment",Control!$Q$3:$U$3,0))-INDEX(Index,MATCH(U7,TVM_PortList,0),MATCH("Payment",Control!$Q$3:$U$3,0)),AY7+INDEX(Index,MATCH(AA7,TVM_PortList,0),MATCH("Payment",Control!$Q$3:$U$3,0))-INDEX(Index,MATCH(U7,TVM_PortList,0),MATCH("Payment",Control!$Q$3:$U$3,0)))</f>
        <v>15</v>
      </c>
      <c r="AT4" s="3"/>
      <c r="AY4" s="85"/>
      <c r="BA4" s="198"/>
      <c r="BB4" s="3"/>
    </row>
    <row r="5" spans="1:67" ht="19" thickBot="1" x14ac:dyDescent="0.5">
      <c r="A5" s="365"/>
      <c r="B5" s="364"/>
      <c r="C5" s="364"/>
      <c r="E5" s="1044" t="s">
        <v>289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2"/>
      <c r="S5" s="9"/>
      <c r="T5" s="9"/>
      <c r="U5" s="9"/>
      <c r="V5" s="9"/>
      <c r="W5" s="9"/>
      <c r="X5" s="9"/>
      <c r="Y5" s="9"/>
      <c r="Z5" s="1044" t="s">
        <v>290</v>
      </c>
      <c r="AA5" s="1045"/>
      <c r="AB5" s="1045"/>
      <c r="AC5" s="1045"/>
      <c r="AD5" s="1045"/>
      <c r="AE5" s="1045"/>
      <c r="AF5" s="1045"/>
      <c r="AG5" s="1045"/>
      <c r="AH5" s="1045"/>
      <c r="AI5" s="1045"/>
      <c r="AJ5" s="1045"/>
      <c r="AK5" s="1045"/>
      <c r="AL5" s="1045"/>
      <c r="AM5" s="1045"/>
      <c r="AN5" s="1045"/>
      <c r="AO5" s="1045"/>
      <c r="AP5" s="1045"/>
      <c r="AQ5" s="1045"/>
      <c r="AR5" s="1045"/>
      <c r="AS5" s="1045"/>
      <c r="AT5" s="1045"/>
      <c r="AU5" s="1045"/>
      <c r="AV5" s="1045"/>
      <c r="AW5" s="1046"/>
      <c r="AY5" s="112"/>
      <c r="BA5" s="78"/>
      <c r="BB5" s="76"/>
      <c r="BD5"/>
    </row>
    <row r="6" spans="1:67" ht="29.5" customHeight="1" thickBot="1" x14ac:dyDescent="0.4">
      <c r="B6" s="1005" t="s">
        <v>167</v>
      </c>
      <c r="C6" s="1005"/>
      <c r="E6" s="120" t="s">
        <v>276</v>
      </c>
      <c r="F6" s="152" t="s">
        <v>172</v>
      </c>
      <c r="G6" s="152" t="s">
        <v>2</v>
      </c>
      <c r="H6" s="152" t="s">
        <v>173</v>
      </c>
      <c r="I6" s="152" t="s">
        <v>174</v>
      </c>
      <c r="J6" s="125" t="s">
        <v>175</v>
      </c>
      <c r="K6" s="152" t="s">
        <v>177</v>
      </c>
      <c r="L6" s="152" t="s">
        <v>178</v>
      </c>
      <c r="M6" s="122" t="s">
        <v>176</v>
      </c>
      <c r="N6" s="120" t="s">
        <v>200</v>
      </c>
      <c r="O6" s="120" t="s">
        <v>277</v>
      </c>
      <c r="P6" s="121" t="s">
        <v>202</v>
      </c>
      <c r="Q6" s="123" t="s">
        <v>291</v>
      </c>
      <c r="R6" s="2"/>
      <c r="S6" s="120" t="s">
        <v>172</v>
      </c>
      <c r="T6" s="120" t="s">
        <v>2</v>
      </c>
      <c r="U6" s="120" t="s">
        <v>173</v>
      </c>
      <c r="V6" s="120" t="s">
        <v>167</v>
      </c>
      <c r="W6" s="120"/>
      <c r="X6" s="152" t="s">
        <v>174</v>
      </c>
      <c r="Y6" s="120" t="s">
        <v>175</v>
      </c>
      <c r="Z6" s="120" t="s">
        <v>176</v>
      </c>
      <c r="AA6" s="120" t="s">
        <v>177</v>
      </c>
      <c r="AB6" s="120" t="s">
        <v>178</v>
      </c>
      <c r="AC6" s="120" t="s">
        <v>179</v>
      </c>
      <c r="AD6" s="146" t="s">
        <v>180</v>
      </c>
      <c r="AE6" s="128" t="s">
        <v>181</v>
      </c>
      <c r="AF6" s="150" t="s">
        <v>182</v>
      </c>
      <c r="AG6" s="136" t="s">
        <v>183</v>
      </c>
      <c r="AH6" s="146" t="s">
        <v>279</v>
      </c>
      <c r="AI6" s="136" t="s">
        <v>184</v>
      </c>
      <c r="AJ6" s="136" t="s">
        <v>140</v>
      </c>
      <c r="AK6" s="136" t="s">
        <v>98</v>
      </c>
      <c r="AL6" s="136" t="s">
        <v>186</v>
      </c>
      <c r="AM6" s="136" t="s">
        <v>187</v>
      </c>
      <c r="AN6" s="136" t="s">
        <v>141</v>
      </c>
      <c r="AO6" s="136" t="s">
        <v>188</v>
      </c>
      <c r="AP6" s="136" t="s">
        <v>17</v>
      </c>
      <c r="AQ6" s="136" t="s">
        <v>207</v>
      </c>
      <c r="AR6" s="136" t="s">
        <v>189</v>
      </c>
      <c r="AS6" s="136" t="s">
        <v>152</v>
      </c>
      <c r="AT6" s="150" t="s">
        <v>190</v>
      </c>
      <c r="AU6" s="150" t="s">
        <v>191</v>
      </c>
      <c r="AV6" s="150" t="s">
        <v>192</v>
      </c>
      <c r="AW6" s="137" t="s">
        <v>194</v>
      </c>
      <c r="AY6" s="137" t="s">
        <v>195</v>
      </c>
      <c r="BA6" s="1011" t="s">
        <v>196</v>
      </c>
      <c r="BB6" s="1011"/>
      <c r="BD6" s="118" t="s">
        <v>135</v>
      </c>
      <c r="BL6" s="132"/>
      <c r="BM6" s="127"/>
      <c r="BN6" s="132"/>
      <c r="BO6" s="132"/>
    </row>
    <row r="7" spans="1:67" ht="16" thickBot="1" x14ac:dyDescent="0.4">
      <c r="B7" s="83">
        <v>44253</v>
      </c>
      <c r="C7" s="84">
        <f>B7+2</f>
        <v>44255</v>
      </c>
      <c r="E7" s="16"/>
      <c r="F7" s="138">
        <f>INDEX('[2]Flat Rates 2022'!$A:$DB,MATCH(H7,'[2]Flat Rates 2022'!$A:$A,0),MATCH(K7,'[2]Flat Rates 2022'!$A$1:$DB$1,0))</f>
        <v>8.1199999999999992</v>
      </c>
      <c r="G7" s="138" t="e">
        <f>INDEX(Control!$E$17:$J$21,MATCH(M7,Control!$E$17:$E$21,0),MATCH(H7,Control!$E$17:$J$17,0))</f>
        <v>#N/A</v>
      </c>
      <c r="H7" s="138" t="s">
        <v>46</v>
      </c>
      <c r="I7" s="116" t="e">
        <f>INDEX(Vessel_Minimum_MT,MATCH(M7,Control!$E$11:$E$15,0),MATCH(H7,Control!$E$11:$J$11,0))</f>
        <v>#N/A</v>
      </c>
      <c r="J7" s="116">
        <f t="shared" ref="J7:J13" si="0">N7/$BF$15</f>
        <v>106053.53535353536</v>
      </c>
      <c r="K7" s="138" t="s">
        <v>55</v>
      </c>
      <c r="L7" s="138" t="e">
        <f t="shared" ref="L7:L13" si="1">IF(K7=H7,"",CONCATENATE(CONCATENATE(VLOOKUP(H7,Zones,2,FALSE),"/",VLOOKUP(K7,Zones,2,FALSE))))</f>
        <v>#N/A</v>
      </c>
      <c r="M7" s="147" t="s">
        <v>23</v>
      </c>
      <c r="N7" s="15">
        <v>700000</v>
      </c>
      <c r="O7" s="17">
        <v>170</v>
      </c>
      <c r="P7" s="18">
        <v>85</v>
      </c>
      <c r="Q7" s="149" t="e">
        <f t="shared" ref="Q7:Q13" si="2">IF($H7="Esmeraldas",IF(O7&gt;1000,IF(P7=0,O7,P7)/N7*1.1,((I7*F7*(IF(P7=0,O7,P7)/100))+IF(J7&lt;I7,0,(J7-I7)*F7*IF(P7=0,O7,P7)/100*G7))/N7*1.1),IF(O7&gt;1000,IF(P7=0,O7,P7)/N7,((I7*F7*(IF(P7=0,O7,P7)/100))+IF(J7&lt;I7,0,(J7-I7)*F7*IF(P7=0,O7,P7)/100*G7)))/N7)</f>
        <v>#N/A</v>
      </c>
      <c r="R7" s="2"/>
      <c r="S7" s="165">
        <f>INDEX('[2]Flat Rates 2022'!$A:$DB,MATCH(U7,'[2]Flat Rates 2022'!$A:$A,0),MATCH(AA7,'[2]Flat Rates 2022'!$A$1:$DB$1,0))</f>
        <v>10.63</v>
      </c>
      <c r="T7" s="138">
        <f>INDEX(Control!$E$17:$J$21,MATCH(Z7,Control!$E$17:$E$21,0),MATCH(U7,Control!$E$17:$J$17,0))</f>
        <v>0.5</v>
      </c>
      <c r="U7" s="138" t="s">
        <v>63</v>
      </c>
      <c r="V7" s="139">
        <v>43430</v>
      </c>
      <c r="W7" s="139">
        <f t="shared" ref="W7:W13" si="3">+V7+4</f>
        <v>43434</v>
      </c>
      <c r="X7" s="116">
        <f>INDEX(Vessel_Minimum_MT,MATCH(Z7,Control!$E$11:$E$15,0),MATCH(U7,Control!$E$11:$J$11,0))</f>
        <v>50000</v>
      </c>
      <c r="Y7" s="140">
        <f t="shared" ref="Y7:Y13" si="4">AC7/$BF$15</f>
        <v>73479.949494949498</v>
      </c>
      <c r="Z7" s="147" t="s">
        <v>22</v>
      </c>
      <c r="AA7" s="164" t="s">
        <v>110</v>
      </c>
      <c r="AB7" s="142" t="str">
        <f t="shared" ref="AB7:AB13" si="5">IF(AA7=U7,"",CONCATENATE(CONCATENATE(VLOOKUP(U7,Zones,2,FALSE),"/",VLOOKUP(AA7,Zones,2,FALSE))))</f>
        <v>Panama WC/LATAM WEST</v>
      </c>
      <c r="AC7" s="141">
        <v>485000</v>
      </c>
      <c r="AD7" s="141">
        <v>245</v>
      </c>
      <c r="AE7" s="151"/>
      <c r="AF7" s="149">
        <f t="shared" ref="AF7:AF13" si="6">IF($U7="Esmeraldas",IF(AD7&gt;1000,IF(AE7=0,AD7,AE7)/AC7*1.1,((X7*S7*(IF(AE7=0,AD7,AE7)/100))+IF(Y7&lt;X7,0,(Y7-X7)*S7*IF(AE7=0,AD7,AE7)/100*T7))/AC7*1.1),IF(AD7&gt;1000,IF(AE7=0,AD7,AE7)/AC7,((X7*S7*(IF(AE7=0,AD7,AE7)/100))+IF(Y7&lt;X7,0,(Y7-X7)*S7*IF(AE7=0,AD7,AE7)/100*T7))/AC7))</f>
        <v>3.3153093450223889</v>
      </c>
      <c r="AG7" s="144">
        <v>5</v>
      </c>
      <c r="AH7" s="155">
        <f>IF(INDEX(Index,MATCH(AA7,TVM_PortList,0),MATCH("Type",Control!$Q$3:$U$3,0))="BL",INDEX(Index,MATCH(AA7,TVM_PortList,0),MATCH("Payment",Control!$Q$3:$U$3,0))-INDEX(Index,MATCH(U7,TVM_PortList,0),MATCH("Payment",Control!$Q$3:$U$3,0)),AY7+INDEX(Index,MATCH(AA7,TVM_PortList,0),MATCH("Payment",Control!$Q$3:$U$3,0))-INDEX(Index,MATCH(U7,TVM_PortList,0),MATCH("Payment",Control!$Q$3:$U$3,0)))</f>
        <v>15</v>
      </c>
      <c r="AI7" s="143">
        <f t="shared" ref="AI7:AI13" si="7">AG7*VLOOKUP($Z7,$BH$7:$BJ$11,3,FALSE)/$AC7</f>
        <v>0.18041237113402062</v>
      </c>
      <c r="AJ7" s="143">
        <f t="shared" ref="AJ7:AJ13" si="8">IF(AH7&lt;0,0,$AH7*$BF$9)</f>
        <v>0.14054794520547945</v>
      </c>
      <c r="AK7" s="143">
        <f>INDEX(Lightering,MATCH($U7,Control!$AB$3:$AB$29,0),MATCH(BAKKEN!$Z7,Control!$AB$3:$AF$3,0))*($AC7/$BF$16)*$BJ$13/$AC7</f>
        <v>0</v>
      </c>
      <c r="AL7" s="143">
        <f t="shared" ref="AL7:AL13" si="9">IF(H7="Beaumont",$BF$8,0)</f>
        <v>0.09</v>
      </c>
      <c r="AM7" s="143">
        <v>0</v>
      </c>
      <c r="AN7" s="143">
        <f t="shared" ref="AN7:AN13" si="10">$BF$10</f>
        <v>0.01</v>
      </c>
      <c r="AO7" s="143">
        <f t="shared" ref="AO7:AO13" si="11">$BF$11</f>
        <v>0.01</v>
      </c>
      <c r="AP7" s="143">
        <f>IF(INDEX(Control!$Q$3:$S$62,MATCH($AA7,Control!$Q$3:$Q$62,0),MATCH(AP$6,Control!$Q$3:$S$3,0))=1,$BF$12*$BG$12,0)</f>
        <v>0</v>
      </c>
      <c r="AQ7" s="143" t="e">
        <f>IF(INDEX(Control!$Q$3:$S$62,MATCH($AA7,Control!$Q$3:$Q$62,0),MATCH(AQ$6,Control!$Q$3:$S$3,0))=1,$BF$13/$AC7,0)</f>
        <v>#N/A</v>
      </c>
      <c r="AR7" s="143">
        <f t="shared" ref="AR7:AR13" si="12">$BF$14</f>
        <v>0</v>
      </c>
      <c r="AS7" s="143">
        <f t="shared" ref="AS7:AS13" si="13">IF(AND(K7="Chiriqui Grande",U7="Puerto Armuelles"),$BI$16,0)</f>
        <v>0.55000000000000004</v>
      </c>
      <c r="AT7" s="149" t="e">
        <f>SUM(AI7:AS7)</f>
        <v>#N/A</v>
      </c>
      <c r="AU7" s="149" t="e">
        <f t="shared" ref="AU7:AU13" si="14">+Q7+AF7+AT7</f>
        <v>#N/A</v>
      </c>
      <c r="AV7" s="149">
        <f t="shared" ref="AV7:AV13" si="15">IF(MONTH(BB7)-MONTH(B7)=1,$AV$3,IF(MONTH(BB7)-MONTH(B7)=0,0,$AV$3+$AW$3))</f>
        <v>0.01</v>
      </c>
      <c r="AW7" s="135" t="e">
        <f t="shared" ref="AW7:AW13" si="16">$M$3+AU7+AV7</f>
        <v>#N/A</v>
      </c>
      <c r="AY7" s="153">
        <f>INDEX('[1]Transit Time'!$A:$DC,MATCH(H7,'[1]Transit Time'!$A:$A,0),MATCH(K7,'[1]Transit Time'!$A$1:$DC$1,0))+INDEX('[1]Transit Time'!$A:$DC,MATCH(K7,'[1]Transit Time'!$A:$A,0),MATCH(U7,'[1]Transit Time'!$A$1:$DC$1,0))+INDEX('[1]Transit Time'!$A:$DC,MATCH(U7,'[1]Transit Time'!$A:$A,0),MATCH(AA7,'[1]Transit Time'!$A$1:$DC$1,0))</f>
        <v>25</v>
      </c>
      <c r="BA7" s="163">
        <f t="shared" ref="BA7:BA13" si="17">IF(ISBLANK(B7),"",B7+$AY7)</f>
        <v>44278</v>
      </c>
      <c r="BB7" s="163">
        <f t="shared" ref="BB7:BB13" si="18">IFERROR(IF(ISBLANK(C7),"",C7+$AY7),"")</f>
        <v>44280</v>
      </c>
      <c r="BD7" s="118" t="s">
        <v>136</v>
      </c>
      <c r="BE7"/>
      <c r="BF7" s="2">
        <v>17</v>
      </c>
      <c r="BG7"/>
      <c r="BH7" s="185" t="s">
        <v>137</v>
      </c>
      <c r="BI7" s="185"/>
      <c r="BJ7" s="186" t="s">
        <v>138</v>
      </c>
      <c r="BL7" s="118" t="s">
        <v>102</v>
      </c>
    </row>
    <row r="8" spans="1:67" s="165" customFormat="1" x14ac:dyDescent="0.35">
      <c r="A8" s="2"/>
      <c r="B8" s="209">
        <f>+$B$7</f>
        <v>44253</v>
      </c>
      <c r="C8" s="209">
        <f t="shared" ref="C8:C13" si="19">IF(ISBLANK(B8),"",B8+2)</f>
        <v>44255</v>
      </c>
      <c r="D8" s="210"/>
      <c r="E8" s="211"/>
      <c r="F8" s="212">
        <f>INDEX('[2]Flat Rates 2022'!$A:$DB,MATCH(H8,'[2]Flat Rates 2022'!$A:$A,0),MATCH(K8,'[2]Flat Rates 2022'!$A$1:$DB$1,0))</f>
        <v>8.1199999999999992</v>
      </c>
      <c r="G8" s="212" t="e">
        <f>INDEX(Control!$E$17:$J$21,MATCH(M8,Control!$E$17:$E$21,0),MATCH(H8,Control!$E$17:$J$17,0))</f>
        <v>#N/A</v>
      </c>
      <c r="H8" s="212" t="s">
        <v>46</v>
      </c>
      <c r="I8" s="213" t="e">
        <f>INDEX(Vessel_Minimum_MT,MATCH(M8,Control!$E$11:$E$15,0),MATCH(H8,Control!$E$11:$J$11,0))</f>
        <v>#N/A</v>
      </c>
      <c r="J8" s="214">
        <f t="shared" si="0"/>
        <v>106053.53535353536</v>
      </c>
      <c r="K8" s="212" t="s">
        <v>55</v>
      </c>
      <c r="L8" s="212" t="e">
        <f t="shared" si="1"/>
        <v>#N/A</v>
      </c>
      <c r="M8" s="215" t="s">
        <v>23</v>
      </c>
      <c r="N8" s="216">
        <v>700000</v>
      </c>
      <c r="O8" s="217">
        <v>170</v>
      </c>
      <c r="P8" s="218">
        <v>85</v>
      </c>
      <c r="Q8" s="219" t="e">
        <f t="shared" si="2"/>
        <v>#N/A</v>
      </c>
      <c r="R8" s="2"/>
      <c r="S8" s="220">
        <f>INDEX('[2]Flat Rates 2022'!$A:$DB,MATCH(U8,'[2]Flat Rates 2022'!$A:$A,0),MATCH(AA8,'[2]Flat Rates 2022'!$A$1:$DB$1,0))</f>
        <v>10.63</v>
      </c>
      <c r="T8" s="220">
        <f>INDEX(Control!$E$17:$J$21,MATCH(Z8,Control!$E$17:$E$21,0),MATCH(U8,Control!$E$17:$J$17,0))</f>
        <v>0.5</v>
      </c>
      <c r="U8" s="220" t="s">
        <v>63</v>
      </c>
      <c r="V8" s="221">
        <v>43430</v>
      </c>
      <c r="W8" s="221">
        <f t="shared" si="3"/>
        <v>43434</v>
      </c>
      <c r="X8" s="213">
        <f>INDEX(Vessel_Minimum_MT,MATCH(Z8,Control!$E$11:$E$15,0),MATCH(U8,Control!$E$11:$J$11,0))</f>
        <v>70000</v>
      </c>
      <c r="Y8" s="222">
        <f t="shared" si="4"/>
        <v>113628.78787878789</v>
      </c>
      <c r="Z8" s="215" t="s">
        <v>23</v>
      </c>
      <c r="AA8" s="223" t="s">
        <v>110</v>
      </c>
      <c r="AB8" s="212" t="str">
        <f t="shared" si="5"/>
        <v>Panama WC/LATAM WEST</v>
      </c>
      <c r="AC8" s="214">
        <v>750000</v>
      </c>
      <c r="AD8" s="214">
        <v>155</v>
      </c>
      <c r="AE8" s="224"/>
      <c r="AF8" s="225">
        <f t="shared" si="6"/>
        <v>2.0170398156565659</v>
      </c>
      <c r="AG8" s="226">
        <v>0</v>
      </c>
      <c r="AH8" s="214">
        <f>IF(INDEX(Index,MATCH(AA8,TVM_PortList,0),MATCH("Type",Control!$Q$3:$U$3,0))="BL",INDEX(Index,MATCH(AA8,TVM_PortList,0),MATCH("Payment",Control!$Q$3:$U$3,0))-INDEX(Index,MATCH(U8,TVM_PortList,0),MATCH("Payment",Control!$Q$3:$U$3,0)),AY8+INDEX(Index,MATCH(AA8,TVM_PortList,0),MATCH("Payment",Control!$Q$3:$U$3,0))-INDEX(Index,MATCH(U8,TVM_PortList,0),MATCH("Payment",Control!$Q$3:$U$3,0)))</f>
        <v>15</v>
      </c>
      <c r="AI8" s="227">
        <f t="shared" si="7"/>
        <v>0</v>
      </c>
      <c r="AJ8" s="227">
        <f t="shared" si="8"/>
        <v>0.14054794520547945</v>
      </c>
      <c r="AK8" s="227">
        <f>INDEX(Lightering,MATCH($U8,Control!$AB$3:$AB$29,0),MATCH(BAKKEN!$Z8,Control!$AB$3:$AF$3,0))*($AC8/$BF$16)*$BJ$13/$AC8</f>
        <v>0</v>
      </c>
      <c r="AL8" s="227">
        <f t="shared" si="9"/>
        <v>0.09</v>
      </c>
      <c r="AM8" s="227">
        <v>0</v>
      </c>
      <c r="AN8" s="227">
        <f t="shared" si="10"/>
        <v>0.01</v>
      </c>
      <c r="AO8" s="227">
        <f t="shared" si="11"/>
        <v>0.01</v>
      </c>
      <c r="AP8" s="227">
        <f>IF(INDEX(Control!$Q$3:$S$62,MATCH($AA8,Control!$Q$3:$Q$62,0),MATCH(AP$6,Control!$Q$3:$S$3,0))=1,$BF$12*$BG$12,0)</f>
        <v>0</v>
      </c>
      <c r="AQ8" s="227" t="e">
        <f>IF(INDEX(Control!$Q$3:$S$62,MATCH($AA8,Control!$Q$3:$Q$62,0),MATCH(AQ$6,Control!$Q$3:$S$3,0))=1,$BF$13/$AC8,0)</f>
        <v>#N/A</v>
      </c>
      <c r="AR8" s="227">
        <f t="shared" si="12"/>
        <v>0</v>
      </c>
      <c r="AS8" s="227">
        <f t="shared" si="13"/>
        <v>0.55000000000000004</v>
      </c>
      <c r="AT8" s="225" t="e">
        <f t="shared" ref="AT8:AT13" si="20">SUM(AI8:AS8)</f>
        <v>#N/A</v>
      </c>
      <c r="AU8" s="225" t="e">
        <f t="shared" si="14"/>
        <v>#N/A</v>
      </c>
      <c r="AV8" s="225">
        <f t="shared" si="15"/>
        <v>0.01</v>
      </c>
      <c r="AW8" s="228" t="e">
        <f t="shared" si="16"/>
        <v>#N/A</v>
      </c>
      <c r="AX8" s="220"/>
      <c r="AY8" s="229">
        <f>INDEX('[1]Transit Time'!$A:$DC,MATCH(H8,'[1]Transit Time'!$A:$A,0),MATCH(K8,'[1]Transit Time'!$A$1:$DC$1,0))+INDEX('[1]Transit Time'!$A:$DC,MATCH(K8,'[1]Transit Time'!$A:$A,0),MATCH(U8,'[1]Transit Time'!$A$1:$DC$1,0))+INDEX('[1]Transit Time'!$A:$DC,MATCH(U8,'[1]Transit Time'!$A:$A,0),MATCH(AA8,'[1]Transit Time'!$A$1:$DC$1,0))</f>
        <v>25</v>
      </c>
      <c r="AZ8" s="220"/>
      <c r="BA8" s="230">
        <f t="shared" si="17"/>
        <v>44278</v>
      </c>
      <c r="BB8" s="230">
        <f t="shared" si="18"/>
        <v>44280</v>
      </c>
      <c r="BC8"/>
      <c r="BD8" s="183" t="s">
        <v>292</v>
      </c>
      <c r="BE8" s="183"/>
      <c r="BF8" s="184">
        <v>0.09</v>
      </c>
      <c r="BG8" s="181"/>
      <c r="BH8" s="133" t="s">
        <v>22</v>
      </c>
      <c r="BI8" s="133"/>
      <c r="BJ8" s="154">
        <v>17500</v>
      </c>
      <c r="BL8" s="2" t="s">
        <v>22</v>
      </c>
      <c r="BM8" s="267">
        <v>490000</v>
      </c>
    </row>
    <row r="9" spans="1:67" x14ac:dyDescent="0.35">
      <c r="B9" s="163">
        <f t="shared" ref="B9:B13" si="21">+$B$7</f>
        <v>44253</v>
      </c>
      <c r="C9" s="163">
        <f t="shared" si="19"/>
        <v>44255</v>
      </c>
      <c r="E9" s="8"/>
      <c r="F9" s="142">
        <f>INDEX('[2]Flat Rates 2022'!$A:$DB,MATCH(H9,'[2]Flat Rates 2022'!$A:$A,0),MATCH(K9,'[2]Flat Rates 2022'!$A$1:$DB$1,0))</f>
        <v>8.1199999999999992</v>
      </c>
      <c r="G9" s="142" t="e">
        <f>INDEX(Control!$E$17:$J$21,MATCH(M9,Control!$E$17:$E$21,0),MATCH(H9,Control!$E$17:$J$17,0))</f>
        <v>#N/A</v>
      </c>
      <c r="H9" s="142" t="str">
        <f>$H$7</f>
        <v>Beaumont</v>
      </c>
      <c r="I9" s="116" t="e">
        <f>INDEX(Vessel_Minimum_MT,MATCH(M9,Control!$E$11:$E$15,0),MATCH(H9,Control!$E$11:$J$11,0))</f>
        <v>#N/A</v>
      </c>
      <c r="J9" s="141">
        <f t="shared" si="0"/>
        <v>106053.53535353536</v>
      </c>
      <c r="K9" s="142" t="s">
        <v>55</v>
      </c>
      <c r="L9" s="142" t="e">
        <f t="shared" si="1"/>
        <v>#N/A</v>
      </c>
      <c r="M9" s="147" t="s">
        <v>23</v>
      </c>
      <c r="N9" s="15">
        <v>700000</v>
      </c>
      <c r="O9" s="13">
        <v>170</v>
      </c>
      <c r="P9" s="14">
        <v>85</v>
      </c>
      <c r="Q9" s="259" t="e">
        <f t="shared" si="2"/>
        <v>#N/A</v>
      </c>
      <c r="R9" s="2"/>
      <c r="S9" s="191">
        <f>INDEX('[2]Flat Rates 2022'!$A:$DB,MATCH(U9,'[2]Flat Rates 2022'!$A:$A,0),MATCH(AA9,'[2]Flat Rates 2022'!$A$1:$DB$1,0))</f>
        <v>10.63</v>
      </c>
      <c r="T9" s="138">
        <f>INDEX(Control!$E$17:$J$21,MATCH(Z9,Control!$E$17:$E$21,0),MATCH(U9,Control!$E$17:$J$17,0))</f>
        <v>0.5</v>
      </c>
      <c r="U9" s="138" t="s">
        <v>63</v>
      </c>
      <c r="V9" s="139">
        <v>43430</v>
      </c>
      <c r="W9" s="139">
        <f t="shared" si="3"/>
        <v>43434</v>
      </c>
      <c r="X9" s="116">
        <f>INDEX(Vessel_Minimum_MT,MATCH(Z9,Control!$E$11:$E$15,0),MATCH(U9,Control!$E$11:$J$11,0))</f>
        <v>145000</v>
      </c>
      <c r="Y9" s="140">
        <f t="shared" si="4"/>
        <v>151505.05050505052</v>
      </c>
      <c r="Z9" s="147" t="s">
        <v>24</v>
      </c>
      <c r="AA9" s="164" t="s">
        <v>110</v>
      </c>
      <c r="AB9" s="142" t="str">
        <f t="shared" si="5"/>
        <v>Panama WC/LATAM WEST</v>
      </c>
      <c r="AC9" s="141">
        <v>1000000</v>
      </c>
      <c r="AD9" s="141">
        <v>110</v>
      </c>
      <c r="AE9" s="151"/>
      <c r="AF9" s="149">
        <f t="shared" si="6"/>
        <v>1.733516777777778</v>
      </c>
      <c r="AG9" s="144">
        <v>0</v>
      </c>
      <c r="AH9" s="141">
        <f>IF(INDEX(Index,MATCH(AA9,TVM_PortList,0),MATCH("Type",Control!$Q$3:$U$3,0))="BL",INDEX(Index,MATCH(AA9,TVM_PortList,0),MATCH("Payment",Control!$Q$3:$U$3,0))-INDEX(Index,MATCH(U9,TVM_PortList,0),MATCH("Payment",Control!$Q$3:$U$3,0)),AY9+INDEX(Index,MATCH(AA9,TVM_PortList,0),MATCH("Payment",Control!$Q$3:$U$3,0))-INDEX(Index,MATCH(U9,TVM_PortList,0),MATCH("Payment",Control!$Q$3:$U$3,0)))</f>
        <v>15</v>
      </c>
      <c r="AI9" s="143">
        <f t="shared" si="7"/>
        <v>0</v>
      </c>
      <c r="AJ9" s="143">
        <f t="shared" si="8"/>
        <v>0.14054794520547945</v>
      </c>
      <c r="AK9" s="143">
        <f>INDEX(Lightering,MATCH($U9,Control!$AB$3:$AB$29,0),MATCH(BAKKEN!$Z9,Control!$AB$3:$AF$3,0))*($AC9/$BF$16)*$BJ$13/$AC9</f>
        <v>0</v>
      </c>
      <c r="AL9" s="143">
        <f t="shared" si="9"/>
        <v>0.09</v>
      </c>
      <c r="AM9" s="143">
        <v>0</v>
      </c>
      <c r="AN9" s="143">
        <f t="shared" si="10"/>
        <v>0.01</v>
      </c>
      <c r="AO9" s="143">
        <f t="shared" si="11"/>
        <v>0.01</v>
      </c>
      <c r="AP9" s="143">
        <f>IF(INDEX(Control!$Q$3:$S$62,MATCH($AA9,Control!$Q$3:$Q$62,0),MATCH(AP$6,Control!$Q$3:$S$3,0))=1,$BF$12*$BG$12,0)</f>
        <v>0</v>
      </c>
      <c r="AQ9" s="143" t="e">
        <f>IF(INDEX(Control!$Q$3:$S$62,MATCH($AA9,Control!$Q$3:$Q$62,0),MATCH(AQ$6,Control!$Q$3:$S$3,0))=1,$BF$13/$AC9,0)</f>
        <v>#N/A</v>
      </c>
      <c r="AR9" s="143">
        <f t="shared" si="12"/>
        <v>0</v>
      </c>
      <c r="AS9" s="143">
        <f t="shared" si="13"/>
        <v>0.55000000000000004</v>
      </c>
      <c r="AT9" s="149" t="e">
        <f t="shared" si="20"/>
        <v>#N/A</v>
      </c>
      <c r="AU9" s="149" t="e">
        <f t="shared" si="14"/>
        <v>#N/A</v>
      </c>
      <c r="AV9" s="149">
        <f t="shared" si="15"/>
        <v>0.01</v>
      </c>
      <c r="AW9" s="145" t="e">
        <f t="shared" si="16"/>
        <v>#N/A</v>
      </c>
      <c r="AY9" s="153">
        <f>INDEX('[1]Transit Time'!$A:$DC,MATCH(H9,'[1]Transit Time'!$A:$A,0),MATCH(K9,'[1]Transit Time'!$A$1:$DC$1,0))+INDEX('[1]Transit Time'!$A:$DC,MATCH(K9,'[1]Transit Time'!$A:$A,0),MATCH(U9,'[1]Transit Time'!$A$1:$DC$1,0))+INDEX('[1]Transit Time'!$A:$DC,MATCH(U9,'[1]Transit Time'!$A:$A,0),MATCH(AA9,'[1]Transit Time'!$A$1:$DC$1,0))</f>
        <v>25</v>
      </c>
      <c r="BA9" s="163">
        <f t="shared" si="17"/>
        <v>44278</v>
      </c>
      <c r="BB9" s="163">
        <f t="shared" si="18"/>
        <v>44280</v>
      </c>
      <c r="BD9" s="133" t="s">
        <v>140</v>
      </c>
      <c r="BE9" s="133"/>
      <c r="BF9" s="119">
        <f>BF20</f>
        <v>9.3698630136986299E-3</v>
      </c>
      <c r="BG9"/>
      <c r="BH9" s="133" t="s">
        <v>23</v>
      </c>
      <c r="BI9" s="133"/>
      <c r="BJ9" s="154">
        <v>19500</v>
      </c>
      <c r="BL9" s="2" t="s">
        <v>23</v>
      </c>
      <c r="BM9" s="267">
        <v>600000</v>
      </c>
    </row>
    <row r="10" spans="1:67" s="165" customFormat="1" x14ac:dyDescent="0.35">
      <c r="A10" s="2"/>
      <c r="B10" s="230">
        <f t="shared" si="21"/>
        <v>44253</v>
      </c>
      <c r="C10" s="230">
        <f t="shared" si="19"/>
        <v>44255</v>
      </c>
      <c r="D10" s="210"/>
      <c r="E10" s="211"/>
      <c r="F10" s="212">
        <f>INDEX('[2]Flat Rates 2022'!$A:$DB,MATCH(H10,'[2]Flat Rates 2022'!$A:$A,0),MATCH(K10,'[2]Flat Rates 2022'!$A$1:$DB$1,0))</f>
        <v>8.1199999999999992</v>
      </c>
      <c r="G10" s="212" t="e">
        <f>INDEX(Control!$E$17:$J$21,MATCH(M10,Control!$E$17:$E$21,0),MATCH(H10,Control!$E$17:$J$17,0))</f>
        <v>#N/A</v>
      </c>
      <c r="H10" s="212" t="str">
        <f>$H$7</f>
        <v>Beaumont</v>
      </c>
      <c r="I10" s="213" t="e">
        <f>INDEX(Vessel_Minimum_MT,MATCH(M10,Control!$E$11:$E$15,0),MATCH(H10,Control!$E$11:$J$11,0))</f>
        <v>#N/A</v>
      </c>
      <c r="J10" s="214">
        <f t="shared" si="0"/>
        <v>106053.53535353536</v>
      </c>
      <c r="K10" s="212" t="s">
        <v>55</v>
      </c>
      <c r="L10" s="212" t="e">
        <f t="shared" si="1"/>
        <v>#N/A</v>
      </c>
      <c r="M10" s="215" t="s">
        <v>23</v>
      </c>
      <c r="N10" s="216">
        <v>700000</v>
      </c>
      <c r="O10" s="217">
        <v>170</v>
      </c>
      <c r="P10" s="218">
        <v>85</v>
      </c>
      <c r="Q10" s="219" t="e">
        <f t="shared" si="2"/>
        <v>#N/A</v>
      </c>
      <c r="R10" s="2"/>
      <c r="S10" s="220">
        <f>INDEX('[2]Flat Rates 2022'!$A:$DB,MATCH(U10,'[2]Flat Rates 2022'!$A:$A,0),MATCH(AA10,'[2]Flat Rates 2022'!$A$1:$DB$1,0))</f>
        <v>5.93</v>
      </c>
      <c r="T10" s="220">
        <f>INDEX(Control!$E$17:$J$21,MATCH(Z10,Control!$E$17:$E$21,0),MATCH(U10,Control!$E$17:$J$17,0))</f>
        <v>0.5</v>
      </c>
      <c r="U10" s="220" t="s">
        <v>63</v>
      </c>
      <c r="V10" s="221">
        <v>43430</v>
      </c>
      <c r="W10" s="221">
        <f t="shared" si="3"/>
        <v>43434</v>
      </c>
      <c r="X10" s="213">
        <f>INDEX(Vessel_Minimum_MT,MATCH(Z10,Control!$E$11:$E$15,0),MATCH(U10,Control!$E$11:$J$11,0))</f>
        <v>50000</v>
      </c>
      <c r="Y10" s="222">
        <f t="shared" si="4"/>
        <v>71964.898989898997</v>
      </c>
      <c r="Z10" s="215" t="s">
        <v>22</v>
      </c>
      <c r="AA10" s="223" t="s">
        <v>94</v>
      </c>
      <c r="AB10" s="212" t="str">
        <f t="shared" si="5"/>
        <v>Panama WC/PAMPILLA</v>
      </c>
      <c r="AC10" s="214">
        <v>475000</v>
      </c>
      <c r="AD10" s="214">
        <v>1001</v>
      </c>
      <c r="AE10" s="224">
        <v>700000</v>
      </c>
      <c r="AF10" s="225">
        <f t="shared" si="6"/>
        <v>1.4736842105263157</v>
      </c>
      <c r="AG10" s="226">
        <v>0</v>
      </c>
      <c r="AH10" s="214">
        <f>IF(INDEX(Index,MATCH(AA10,TVM_PortList,0),MATCH("Type",Control!$Q$3:$U$3,0))="BL",INDEX(Index,MATCH(AA10,TVM_PortList,0),MATCH("Payment",Control!$Q$3:$U$3,0))-INDEX(Index,MATCH(U10,TVM_PortList,0),MATCH("Payment",Control!$Q$3:$U$3,0)),AY10+INDEX(Index,MATCH(AA10,TVM_PortList,0),MATCH("Payment",Control!$Q$3:$U$3,0))-INDEX(Index,MATCH(U10,TVM_PortList,0),MATCH("Payment",Control!$Q$3:$U$3,0)))</f>
        <v>19</v>
      </c>
      <c r="AI10" s="227">
        <f t="shared" si="7"/>
        <v>0</v>
      </c>
      <c r="AJ10" s="227">
        <f t="shared" si="8"/>
        <v>0.17802739726027397</v>
      </c>
      <c r="AK10" s="227">
        <f>INDEX(Lightering,MATCH($U10,Control!$AB$3:$AB$29,0),MATCH(BAKKEN!$Z10,Control!$AB$3:$AF$3,0))*($AC10/$BF$16)*$BJ$13/$AC10</f>
        <v>0</v>
      </c>
      <c r="AL10" s="227">
        <f t="shared" si="9"/>
        <v>0.09</v>
      </c>
      <c r="AM10" s="227">
        <v>0</v>
      </c>
      <c r="AN10" s="227">
        <f t="shared" si="10"/>
        <v>0.01</v>
      </c>
      <c r="AO10" s="227">
        <f t="shared" si="11"/>
        <v>0.01</v>
      </c>
      <c r="AP10" s="227">
        <f>IF(INDEX(Control!$Q$3:$S$62,MATCH($AA10,Control!$Q$3:$Q$62,0),MATCH(AP$6,Control!$Q$3:$S$3,0))=1,$BF$12*$BG$12,0)</f>
        <v>0</v>
      </c>
      <c r="AQ10" s="227" t="e">
        <f>IF(INDEX(Control!$Q$3:$S$62,MATCH($AA10,Control!$Q$3:$Q$62,0),MATCH(AQ$6,Control!$Q$3:$S$3,0))=1,$BF$13/$AC10,0)</f>
        <v>#N/A</v>
      </c>
      <c r="AR10" s="227">
        <f t="shared" si="12"/>
        <v>0</v>
      </c>
      <c r="AS10" s="227">
        <f t="shared" si="13"/>
        <v>0.55000000000000004</v>
      </c>
      <c r="AT10" s="225" t="e">
        <f t="shared" si="20"/>
        <v>#N/A</v>
      </c>
      <c r="AU10" s="225" t="e">
        <f t="shared" si="14"/>
        <v>#N/A</v>
      </c>
      <c r="AV10" s="225">
        <f t="shared" si="15"/>
        <v>0.01</v>
      </c>
      <c r="AW10" s="228" t="e">
        <f t="shared" si="16"/>
        <v>#N/A</v>
      </c>
      <c r="AX10" s="220"/>
      <c r="AY10" s="229">
        <f>INDEX('[1]Transit Time'!$A:$DC,MATCH(H10,'[1]Transit Time'!$A:$A,0),MATCH(K10,'[1]Transit Time'!$A$1:$DC$1,0))+INDEX('[1]Transit Time'!$A:$DC,MATCH(K10,'[1]Transit Time'!$A:$A,0),MATCH(U10,'[1]Transit Time'!$A$1:$DC$1,0))+INDEX('[1]Transit Time'!$A:$DC,MATCH(U10,'[1]Transit Time'!$A:$A,0),MATCH(AA10,'[1]Transit Time'!$A$1:$DC$1,0))</f>
        <v>21</v>
      </c>
      <c r="AZ10" s="220"/>
      <c r="BA10" s="230">
        <f t="shared" si="17"/>
        <v>44274</v>
      </c>
      <c r="BB10" s="230">
        <f t="shared" si="18"/>
        <v>44276</v>
      </c>
      <c r="BC10"/>
      <c r="BD10" s="183" t="s">
        <v>141</v>
      </c>
      <c r="BE10" s="183"/>
      <c r="BF10" s="184">
        <v>0.01</v>
      </c>
      <c r="BG10" s="181"/>
      <c r="BH10" s="118" t="s">
        <v>24</v>
      </c>
      <c r="BI10" s="2"/>
      <c r="BJ10" s="154">
        <v>25000</v>
      </c>
      <c r="BL10" s="165" t="s">
        <v>24</v>
      </c>
      <c r="BM10" s="267">
        <v>705000</v>
      </c>
    </row>
    <row r="11" spans="1:67" x14ac:dyDescent="0.35">
      <c r="B11" s="163">
        <f t="shared" si="21"/>
        <v>44253</v>
      </c>
      <c r="C11" s="163">
        <f t="shared" si="19"/>
        <v>44255</v>
      </c>
      <c r="E11" s="8"/>
      <c r="F11" s="142">
        <f>INDEX('[2]Flat Rates 2022'!$A:$DB,MATCH(H11,'[2]Flat Rates 2022'!$A:$A,0),MATCH(K11,'[2]Flat Rates 2022'!$A$1:$DB$1,0))</f>
        <v>8.1199999999999992</v>
      </c>
      <c r="G11" s="142" t="e">
        <f>INDEX(Control!$E$17:$J$21,MATCH(M11,Control!$E$17:$E$21,0),MATCH(H11,Control!$E$17:$J$17,0))</f>
        <v>#N/A</v>
      </c>
      <c r="H11" s="142" t="str">
        <f>$H$7</f>
        <v>Beaumont</v>
      </c>
      <c r="I11" s="116" t="e">
        <f>INDEX(Vessel_Minimum_MT,MATCH(M11,Control!$E$11:$E$15,0),MATCH(H11,Control!$E$11:$J$11,0))</f>
        <v>#N/A</v>
      </c>
      <c r="J11" s="141">
        <f t="shared" si="0"/>
        <v>106053.53535353536</v>
      </c>
      <c r="K11" s="142" t="s">
        <v>55</v>
      </c>
      <c r="L11" s="142" t="e">
        <f t="shared" si="1"/>
        <v>#N/A</v>
      </c>
      <c r="M11" s="147" t="s">
        <v>23</v>
      </c>
      <c r="N11" s="15">
        <v>700000</v>
      </c>
      <c r="O11" s="13">
        <v>170</v>
      </c>
      <c r="P11" s="14">
        <v>85</v>
      </c>
      <c r="Q11" s="148" t="e">
        <f t="shared" si="2"/>
        <v>#N/A</v>
      </c>
      <c r="R11" s="2"/>
      <c r="S11" s="138">
        <f>INDEX('[2]Flat Rates 2022'!$A:$DB,MATCH(U11,'[2]Flat Rates 2022'!$A:$A,0),MATCH(AA11,'[2]Flat Rates 2022'!$A$1:$DB$1,0))</f>
        <v>5.93</v>
      </c>
      <c r="T11" s="138">
        <f>INDEX(Control!$E$17:$J$21,MATCH(Z11,Control!$E$17:$E$21,0),MATCH(U11,Control!$E$17:$J$17,0))</f>
        <v>0.5</v>
      </c>
      <c r="U11" s="138" t="s">
        <v>63</v>
      </c>
      <c r="V11" s="139">
        <v>43430</v>
      </c>
      <c r="W11" s="139">
        <f t="shared" si="3"/>
        <v>43434</v>
      </c>
      <c r="X11" s="116">
        <f>INDEX(Vessel_Minimum_MT,MATCH(Z11,Control!$E$11:$E$15,0),MATCH(U11,Control!$E$11:$J$11,0))</f>
        <v>70000</v>
      </c>
      <c r="Y11" s="140">
        <f t="shared" si="4"/>
        <v>99993.333333333343</v>
      </c>
      <c r="Z11" s="147" t="s">
        <v>23</v>
      </c>
      <c r="AA11" s="164" t="s">
        <v>94</v>
      </c>
      <c r="AB11" s="142" t="str">
        <f t="shared" si="5"/>
        <v>Panama WC/PAMPILLA</v>
      </c>
      <c r="AC11" s="141">
        <v>660000</v>
      </c>
      <c r="AD11" s="141">
        <v>205</v>
      </c>
      <c r="AE11" s="151">
        <v>0</v>
      </c>
      <c r="AF11" s="149">
        <f t="shared" si="6"/>
        <v>1.5655484520202019</v>
      </c>
      <c r="AG11" s="144">
        <v>0</v>
      </c>
      <c r="AH11" s="141">
        <f>IF(INDEX(Index,MATCH(AA11,TVM_PortList,0),MATCH("Type",Control!$Q$3:$U$3,0))="BL",INDEX(Index,MATCH(AA11,TVM_PortList,0),MATCH("Payment",Control!$Q$3:$U$3,0))-INDEX(Index,MATCH(U11,TVM_PortList,0),MATCH("Payment",Control!$Q$3:$U$3,0)),AY11+INDEX(Index,MATCH(AA11,TVM_PortList,0),MATCH("Payment",Control!$Q$3:$U$3,0))-INDEX(Index,MATCH(U11,TVM_PortList,0),MATCH("Payment",Control!$Q$3:$U$3,0)))</f>
        <v>19</v>
      </c>
      <c r="AI11" s="143">
        <f t="shared" si="7"/>
        <v>0</v>
      </c>
      <c r="AJ11" s="143">
        <f t="shared" si="8"/>
        <v>0.17802739726027397</v>
      </c>
      <c r="AK11" s="143">
        <f>INDEX(Lightering,MATCH($U11,Control!$AB$3:$AB$29,0),MATCH(BAKKEN!$Z11,Control!$AB$3:$AF$3,0))*($AC11/$BF$16)*$BJ$13/$AC11</f>
        <v>0</v>
      </c>
      <c r="AL11" s="143">
        <f t="shared" si="9"/>
        <v>0.09</v>
      </c>
      <c r="AM11" s="143">
        <v>0</v>
      </c>
      <c r="AN11" s="143">
        <f t="shared" si="10"/>
        <v>0.01</v>
      </c>
      <c r="AO11" s="143">
        <f t="shared" si="11"/>
        <v>0.01</v>
      </c>
      <c r="AP11" s="143">
        <f>IF(INDEX(Control!$Q$3:$S$62,MATCH($AA11,Control!$Q$3:$Q$62,0),MATCH(AP$6,Control!$Q$3:$S$3,0))=1,$BF$12*$BG$12,0)</f>
        <v>0</v>
      </c>
      <c r="AQ11" s="143" t="e">
        <f>IF(INDEX(Control!$Q$3:$S$62,MATCH($AA11,Control!$Q$3:$Q$62,0),MATCH(AQ$6,Control!$Q$3:$S$3,0))=1,$BF$13/$AC11,0)</f>
        <v>#N/A</v>
      </c>
      <c r="AR11" s="143">
        <f t="shared" si="12"/>
        <v>0</v>
      </c>
      <c r="AS11" s="143">
        <f t="shared" si="13"/>
        <v>0.55000000000000004</v>
      </c>
      <c r="AT11" s="149" t="e">
        <f t="shared" si="20"/>
        <v>#N/A</v>
      </c>
      <c r="AU11" s="149" t="e">
        <f t="shared" si="14"/>
        <v>#N/A</v>
      </c>
      <c r="AV11" s="149">
        <f t="shared" si="15"/>
        <v>0.01</v>
      </c>
      <c r="AW11" s="145" t="e">
        <f t="shared" si="16"/>
        <v>#N/A</v>
      </c>
      <c r="AY11" s="153">
        <f>INDEX('[1]Transit Time'!$A:$DC,MATCH(H11,'[1]Transit Time'!$A:$A,0),MATCH(K11,'[1]Transit Time'!$A$1:$DC$1,0))+INDEX('[1]Transit Time'!$A:$DC,MATCH(K11,'[1]Transit Time'!$A:$A,0),MATCH(U11,'[1]Transit Time'!$A$1:$DC$1,0))+INDEX('[1]Transit Time'!$A:$DC,MATCH(U11,'[1]Transit Time'!$A:$A,0),MATCH(AA11,'[1]Transit Time'!$A$1:$DC$1,0))</f>
        <v>21</v>
      </c>
      <c r="BA11" s="163">
        <f t="shared" si="17"/>
        <v>44274</v>
      </c>
      <c r="BB11" s="163">
        <f t="shared" si="18"/>
        <v>44276</v>
      </c>
      <c r="BD11" s="2" t="s">
        <v>188</v>
      </c>
      <c r="BE11"/>
      <c r="BF11" s="117">
        <v>0.01</v>
      </c>
      <c r="BG11"/>
      <c r="BH11" s="133" t="s">
        <v>25</v>
      </c>
      <c r="BI11" s="133"/>
      <c r="BJ11" s="154">
        <v>34000</v>
      </c>
      <c r="BL11" s="2" t="s">
        <v>25</v>
      </c>
      <c r="BM11" s="267">
        <v>0</v>
      </c>
    </row>
    <row r="12" spans="1:67" s="165" customFormat="1" x14ac:dyDescent="0.35">
      <c r="A12" s="2"/>
      <c r="B12" s="230">
        <f t="shared" si="21"/>
        <v>44253</v>
      </c>
      <c r="C12" s="230">
        <f t="shared" si="19"/>
        <v>44255</v>
      </c>
      <c r="D12" s="210"/>
      <c r="E12" s="211"/>
      <c r="F12" s="212">
        <f>INDEX('[2]Flat Rates 2022'!$A:$DB,MATCH(H12,'[2]Flat Rates 2022'!$A:$A,0),MATCH(K12,'[2]Flat Rates 2022'!$A$1:$DB$1,0))</f>
        <v>8.1199999999999992</v>
      </c>
      <c r="G12" s="212" t="e">
        <f>INDEX(Control!$E$17:$J$21,MATCH(M12,Control!$E$17:$E$21,0),MATCH(H12,Control!$E$17:$J$17,0))</f>
        <v>#N/A</v>
      </c>
      <c r="H12" s="212" t="str">
        <f>$H$7</f>
        <v>Beaumont</v>
      </c>
      <c r="I12" s="213" t="e">
        <f>INDEX(Vessel_Minimum_MT,MATCH(M12,Control!$E$11:$E$15,0),MATCH(H12,Control!$E$11:$J$11,0))</f>
        <v>#N/A</v>
      </c>
      <c r="J12" s="214">
        <f t="shared" si="0"/>
        <v>106053.53535353536</v>
      </c>
      <c r="K12" s="212" t="s">
        <v>55</v>
      </c>
      <c r="L12" s="212" t="e">
        <f t="shared" si="1"/>
        <v>#N/A</v>
      </c>
      <c r="M12" s="215" t="s">
        <v>23</v>
      </c>
      <c r="N12" s="216">
        <v>700000</v>
      </c>
      <c r="O12" s="217">
        <v>170</v>
      </c>
      <c r="P12" s="218">
        <v>85</v>
      </c>
      <c r="Q12" s="219" t="e">
        <f t="shared" si="2"/>
        <v>#N/A</v>
      </c>
      <c r="R12" s="2"/>
      <c r="S12" s="220" t="e">
        <f>INDEX('[2]Flat Rates 2022'!$A:$DB,MATCH(U12,'[2]Flat Rates 2022'!$A:$A,0),MATCH(AA12,'[2]Flat Rates 2022'!$A$1:$DB$1,0))</f>
        <v>#N/A</v>
      </c>
      <c r="T12" s="220">
        <f>INDEX(Control!$E$17:$J$21,MATCH(Z12,Control!$E$17:$E$21,0),MATCH(U12,Control!$E$17:$J$17,0))</f>
        <v>0.5</v>
      </c>
      <c r="U12" s="220" t="s">
        <v>63</v>
      </c>
      <c r="V12" s="221">
        <v>43430</v>
      </c>
      <c r="W12" s="221">
        <f t="shared" si="3"/>
        <v>43434</v>
      </c>
      <c r="X12" s="213">
        <f>INDEX(Vessel_Minimum_MT,MATCH(Z12,Control!$E$11:$E$15,0),MATCH(U12,Control!$E$11:$J$11,0))</f>
        <v>50000</v>
      </c>
      <c r="Y12" s="222">
        <f t="shared" si="4"/>
        <v>60450.515151515152</v>
      </c>
      <c r="Z12" s="215" t="s">
        <v>22</v>
      </c>
      <c r="AA12" s="223" t="s">
        <v>199</v>
      </c>
      <c r="AB12" s="212" t="e">
        <f t="shared" si="5"/>
        <v>#N/A</v>
      </c>
      <c r="AC12" s="214">
        <v>399000</v>
      </c>
      <c r="AD12" s="214">
        <v>1001</v>
      </c>
      <c r="AE12" s="224">
        <v>700000</v>
      </c>
      <c r="AF12" s="225">
        <f t="shared" si="6"/>
        <v>1.7543859649122806</v>
      </c>
      <c r="AG12" s="226">
        <v>0</v>
      </c>
      <c r="AH12" s="214" t="e">
        <f>IF(INDEX(Index,MATCH(AA12,TVM_PortList,0),MATCH("Type",Control!$Q$3:$U$3,0))="BL",INDEX(Index,MATCH(AA12,TVM_PortList,0),MATCH("Payment",Control!$Q$3:$U$3,0))-INDEX(Index,MATCH(U12,TVM_PortList,0),MATCH("Payment",Control!$Q$3:$U$3,0)),AY12+INDEX(Index,MATCH(AA12,TVM_PortList,0),MATCH("Payment",Control!$Q$3:$U$3,0))-INDEX(Index,MATCH(U12,TVM_PortList,0),MATCH("Payment",Control!$Q$3:$U$3,0)))</f>
        <v>#N/A</v>
      </c>
      <c r="AI12" s="227">
        <f t="shared" si="7"/>
        <v>0</v>
      </c>
      <c r="AJ12" s="227" t="e">
        <f t="shared" si="8"/>
        <v>#N/A</v>
      </c>
      <c r="AK12" s="227">
        <f>INDEX(Lightering,MATCH($U12,Control!$AB$3:$AB$29,0),MATCH(BAKKEN!$Z12,Control!$AB$3:$AF$3,0))*($AC12/$BF$16)*$BJ$13/$AC12</f>
        <v>0</v>
      </c>
      <c r="AL12" s="227">
        <f t="shared" si="9"/>
        <v>0.09</v>
      </c>
      <c r="AM12" s="227">
        <v>0</v>
      </c>
      <c r="AN12" s="227">
        <f t="shared" si="10"/>
        <v>0.01</v>
      </c>
      <c r="AO12" s="227">
        <f t="shared" si="11"/>
        <v>0.01</v>
      </c>
      <c r="AP12" s="227" t="e">
        <f>IF(INDEX(Control!$Q$3:$S$62,MATCH($AA12,Control!$Q$3:$Q$62,0),MATCH(AP$6,Control!$Q$3:$S$3,0))=1,$BF$12*$BG$12,0)</f>
        <v>#N/A</v>
      </c>
      <c r="AQ12" s="227" t="e">
        <f>IF(INDEX(Control!$Q$3:$S$62,MATCH($AA12,Control!$Q$3:$Q$62,0),MATCH(AQ$6,Control!$Q$3:$S$3,0))=1,$BF$13/$AC12,0)</f>
        <v>#N/A</v>
      </c>
      <c r="AR12" s="227">
        <f t="shared" si="12"/>
        <v>0</v>
      </c>
      <c r="AS12" s="227">
        <f t="shared" si="13"/>
        <v>0.55000000000000004</v>
      </c>
      <c r="AT12" s="225" t="e">
        <f t="shared" si="20"/>
        <v>#N/A</v>
      </c>
      <c r="AU12" s="225" t="e">
        <f t="shared" si="14"/>
        <v>#N/A</v>
      </c>
      <c r="AV12" s="225" t="e">
        <f t="shared" si="15"/>
        <v>#VALUE!</v>
      </c>
      <c r="AW12" s="228" t="e">
        <f t="shared" si="16"/>
        <v>#N/A</v>
      </c>
      <c r="AX12" s="220"/>
      <c r="AY12" s="229" t="e">
        <f>INDEX('[1]Transit Time'!$A:$DC,MATCH(H12,'[1]Transit Time'!$A:$A,0),MATCH(K12,'[1]Transit Time'!$A$1:$DC$1,0))+INDEX('[1]Transit Time'!$A:$DC,MATCH(K12,'[1]Transit Time'!$A:$A,0),MATCH(U12,'[1]Transit Time'!$A$1:$DC$1,0))+INDEX('[1]Transit Time'!$A:$DC,MATCH(U12,'[1]Transit Time'!$A:$A,0),MATCH(AA12,'[1]Transit Time'!$A$1:$DC$1,0))</f>
        <v>#N/A</v>
      </c>
      <c r="AZ12" s="220"/>
      <c r="BA12" s="230" t="e">
        <f t="shared" si="17"/>
        <v>#N/A</v>
      </c>
      <c r="BB12" s="230" t="str">
        <f t="shared" si="18"/>
        <v/>
      </c>
      <c r="BC12"/>
      <c r="BD12" s="183" t="s">
        <v>17</v>
      </c>
      <c r="BE12" s="183"/>
      <c r="BF12" s="182">
        <f>Control!$D$81</f>
        <v>100</v>
      </c>
      <c r="BG12" s="190">
        <v>2E-3</v>
      </c>
      <c r="BH12" s="185" t="s">
        <v>149</v>
      </c>
      <c r="BI12" s="185"/>
      <c r="BJ12" s="186" t="s">
        <v>138</v>
      </c>
      <c r="BK12" s="166"/>
      <c r="BM12" s="78">
        <f t="shared" ref="BM12" si="22">BM9</f>
        <v>600000</v>
      </c>
      <c r="BO12" s="166"/>
    </row>
    <row r="13" spans="1:67" ht="16" thickBot="1" x14ac:dyDescent="0.4">
      <c r="B13" s="163">
        <f t="shared" si="21"/>
        <v>44253</v>
      </c>
      <c r="C13" s="163">
        <f t="shared" si="19"/>
        <v>44255</v>
      </c>
      <c r="E13" s="8"/>
      <c r="F13" s="142">
        <f>INDEX('[2]Flat Rates 2022'!$A:$DB,MATCH(H13,'[2]Flat Rates 2022'!$A:$A,0),MATCH(K13,'[2]Flat Rates 2022'!$A$1:$DB$1,0))</f>
        <v>8.1199999999999992</v>
      </c>
      <c r="G13" s="142" t="e">
        <f>INDEX(Control!$E$17:$J$21,MATCH(M13,Control!$E$17:$E$21,0),MATCH(H13,Control!$E$17:$J$17,0))</f>
        <v>#N/A</v>
      </c>
      <c r="H13" s="142" t="str">
        <f>$H$7</f>
        <v>Beaumont</v>
      </c>
      <c r="I13" s="116" t="e">
        <f>INDEX(Vessel_Minimum_MT,MATCH(M13,Control!$E$11:$E$15,0),MATCH(H13,Control!$E$11:$J$11,0))</f>
        <v>#N/A</v>
      </c>
      <c r="J13" s="141">
        <f t="shared" si="0"/>
        <v>106053.53535353536</v>
      </c>
      <c r="K13" s="142" t="s">
        <v>55</v>
      </c>
      <c r="L13" s="142" t="e">
        <f t="shared" si="1"/>
        <v>#N/A</v>
      </c>
      <c r="M13" s="147" t="s">
        <v>23</v>
      </c>
      <c r="N13" s="15">
        <v>700000</v>
      </c>
      <c r="O13" s="13">
        <v>170</v>
      </c>
      <c r="P13" s="14">
        <v>85</v>
      </c>
      <c r="Q13" s="148" t="e">
        <f t="shared" si="2"/>
        <v>#N/A</v>
      </c>
      <c r="R13" s="2"/>
      <c r="S13" s="138">
        <f>INDEX('[2]Flat Rates 2022'!$A:$DB,MATCH(U13,'[2]Flat Rates 2022'!$A:$A,0),MATCH(AA13,'[2]Flat Rates 2022'!$A$1:$DB$1,0))</f>
        <v>3.99</v>
      </c>
      <c r="T13" s="138">
        <f>INDEX(Control!$E$17:$J$21,MATCH(Z13,Control!$E$17:$E$21,0),MATCH(U13,Control!$E$17:$J$17,0))</f>
        <v>0</v>
      </c>
      <c r="U13" s="138" t="s">
        <v>55</v>
      </c>
      <c r="V13" s="139">
        <v>43430</v>
      </c>
      <c r="W13" s="139">
        <f t="shared" si="3"/>
        <v>43434</v>
      </c>
      <c r="X13" s="116">
        <f>INDEX(Vessel_Minimum_MT,MATCH(Z13,Control!$E$11:$E$15,0),MATCH(U13,Control!$E$11:$J$11,0))</f>
        <v>70000</v>
      </c>
      <c r="Y13" s="140">
        <f t="shared" si="4"/>
        <v>75752.525252525258</v>
      </c>
      <c r="Z13" s="147" t="s">
        <v>23</v>
      </c>
      <c r="AA13" s="164" t="s">
        <v>112</v>
      </c>
      <c r="AB13" s="142" t="str">
        <f t="shared" si="5"/>
        <v>CARIBS/CARIBS</v>
      </c>
      <c r="AC13" s="141">
        <v>500000</v>
      </c>
      <c r="AD13" s="141">
        <v>180</v>
      </c>
      <c r="AE13" s="151">
        <v>325</v>
      </c>
      <c r="AF13" s="149">
        <f t="shared" si="6"/>
        <v>1.81545</v>
      </c>
      <c r="AG13" s="144">
        <v>0</v>
      </c>
      <c r="AH13" s="141">
        <f>IF(INDEX(Index,MATCH(AA13,TVM_PortList,0),MATCH("Type",Control!$Q$3:$U$3,0))="BL",INDEX(Index,MATCH(AA13,TVM_PortList,0),MATCH("Payment",Control!$Q$3:$U$3,0))-INDEX(Index,MATCH(U13,TVM_PortList,0),MATCH("Payment",Control!$Q$3:$U$3,0)),AY13+INDEX(Index,MATCH(AA13,TVM_PortList,0),MATCH("Payment",Control!$Q$3:$U$3,0))-INDEX(Index,MATCH(U13,TVM_PortList,0),MATCH("Payment",Control!$Q$3:$U$3,0)))</f>
        <v>7</v>
      </c>
      <c r="AI13" s="143">
        <f t="shared" si="7"/>
        <v>0</v>
      </c>
      <c r="AJ13" s="143">
        <f t="shared" si="8"/>
        <v>6.5589041095890407E-2</v>
      </c>
      <c r="AK13" s="143">
        <f>INDEX(Lightering,MATCH($U13,Control!$AB$3:$AB$29,0),MATCH(BAKKEN!$Z13,Control!$AB$3:$AF$3,0))*($AC13/$BF$16)*$BJ$13/$AC13</f>
        <v>0</v>
      </c>
      <c r="AL13" s="143">
        <f t="shared" si="9"/>
        <v>0.09</v>
      </c>
      <c r="AM13" s="143">
        <v>0</v>
      </c>
      <c r="AN13" s="143">
        <f t="shared" si="10"/>
        <v>0.01</v>
      </c>
      <c r="AO13" s="143">
        <f t="shared" si="11"/>
        <v>0.01</v>
      </c>
      <c r="AP13" s="143">
        <f>IF(INDEX(Control!$Q$3:$S$62,MATCH($AA13,Control!$Q$3:$Q$62,0),MATCH(AP$6,Control!$Q$3:$S$3,0))=1,$BF$12*$BG$12,0)</f>
        <v>0.2</v>
      </c>
      <c r="AQ13" s="143" t="e">
        <f>IF(INDEX(Control!$Q$3:$S$62,MATCH($AA13,Control!$Q$3:$Q$62,0),MATCH(AQ$6,Control!$Q$3:$S$3,0))=1,$BF$13/$AC13,0)</f>
        <v>#N/A</v>
      </c>
      <c r="AR13" s="143">
        <f t="shared" si="12"/>
        <v>0</v>
      </c>
      <c r="AS13" s="143">
        <f t="shared" si="13"/>
        <v>0</v>
      </c>
      <c r="AT13" s="149" t="e">
        <f t="shared" si="20"/>
        <v>#N/A</v>
      </c>
      <c r="AU13" s="149" t="e">
        <f t="shared" si="14"/>
        <v>#N/A</v>
      </c>
      <c r="AV13" s="149">
        <f t="shared" si="15"/>
        <v>0.01</v>
      </c>
      <c r="AW13" s="145" t="e">
        <f t="shared" si="16"/>
        <v>#N/A</v>
      </c>
      <c r="AY13" s="153">
        <f>INDEX('[1]Transit Time'!$A:$DC,MATCH(H13,'[1]Transit Time'!$A:$A,0),MATCH(K13,'[1]Transit Time'!$A$1:$DC$1,0))+INDEX('[1]Transit Time'!$A:$DC,MATCH(K13,'[1]Transit Time'!$A:$A,0),MATCH(U13,'[1]Transit Time'!$A$1:$DC$1,0))+INDEX('[1]Transit Time'!$A:$DC,MATCH(U13,'[1]Transit Time'!$A:$A,0),MATCH(AA13,'[1]Transit Time'!$A$1:$DC$1,0))</f>
        <v>7</v>
      </c>
      <c r="BA13" s="163">
        <f t="shared" si="17"/>
        <v>44260</v>
      </c>
      <c r="BB13" s="163">
        <f t="shared" si="18"/>
        <v>44262</v>
      </c>
      <c r="BD13" s="133" t="s">
        <v>207</v>
      </c>
      <c r="BE13" s="133"/>
      <c r="BF13" s="124">
        <v>20000</v>
      </c>
      <c r="BG13"/>
      <c r="BH13" s="167"/>
      <c r="BI13" s="168"/>
      <c r="BJ13" s="169">
        <f>Control!$H$90</f>
        <v>1850000</v>
      </c>
      <c r="BK13" s="132"/>
    </row>
    <row r="14" spans="1:67" ht="17.25" customHeight="1" thickBot="1" x14ac:dyDescent="0.5">
      <c r="B14"/>
      <c r="C14"/>
      <c r="E14" s="1044" t="s">
        <v>293</v>
      </c>
      <c r="F14" s="1045"/>
      <c r="G14" s="1045"/>
      <c r="H14" s="1045"/>
      <c r="I14" s="1045"/>
      <c r="J14" s="1045"/>
      <c r="K14" s="1045"/>
      <c r="L14" s="1045"/>
      <c r="M14" s="1045"/>
      <c r="N14" s="1045"/>
      <c r="O14" s="1045"/>
      <c r="P14" s="1045"/>
      <c r="Q14" s="1045"/>
      <c r="R14" s="2"/>
      <c r="S14" s="9"/>
      <c r="T14" s="9"/>
      <c r="U14" s="9"/>
      <c r="V14" s="9"/>
      <c r="W14" s="9"/>
      <c r="X14" s="9"/>
      <c r="Y14" s="9"/>
      <c r="Z14" s="1044" t="s">
        <v>294</v>
      </c>
      <c r="AA14" s="1045"/>
      <c r="AB14" s="1045"/>
      <c r="AC14" s="1045"/>
      <c r="AD14" s="1045"/>
      <c r="AE14" s="1045"/>
      <c r="AF14" s="1045"/>
      <c r="AG14" s="1045"/>
      <c r="AH14" s="1045"/>
      <c r="AI14" s="1045"/>
      <c r="AJ14" s="1045"/>
      <c r="AK14" s="1045"/>
      <c r="AL14" s="1045"/>
      <c r="AM14" s="1045"/>
      <c r="AN14" s="1045"/>
      <c r="AO14" s="1045"/>
      <c r="AP14" s="1045"/>
      <c r="AQ14" s="1045"/>
      <c r="AR14" s="1045"/>
      <c r="AS14" s="1045"/>
      <c r="AT14" s="1045"/>
      <c r="AU14" s="1045"/>
      <c r="AV14" s="1045"/>
      <c r="AW14" s="1046"/>
      <c r="AY14"/>
      <c r="BA14"/>
      <c r="BB14"/>
      <c r="BD14" s="133" t="s">
        <v>282</v>
      </c>
      <c r="BE14" s="133"/>
      <c r="BF14" s="3"/>
      <c r="BG14"/>
      <c r="BH14"/>
      <c r="BI14"/>
      <c r="BJ14"/>
      <c r="BM14" s="3"/>
    </row>
    <row r="15" spans="1:67" ht="29.5" customHeight="1" thickBot="1" x14ac:dyDescent="0.4">
      <c r="B15" s="1005" t="s">
        <v>167</v>
      </c>
      <c r="C15" s="1005"/>
      <c r="E15" s="120" t="s">
        <v>276</v>
      </c>
      <c r="F15" s="152" t="s">
        <v>172</v>
      </c>
      <c r="G15" s="152" t="s">
        <v>2</v>
      </c>
      <c r="H15" s="152" t="s">
        <v>173</v>
      </c>
      <c r="I15" s="152" t="s">
        <v>174</v>
      </c>
      <c r="J15" s="125" t="s">
        <v>175</v>
      </c>
      <c r="K15" s="152" t="s">
        <v>177</v>
      </c>
      <c r="L15" s="152" t="s">
        <v>178</v>
      </c>
      <c r="M15" s="122" t="s">
        <v>176</v>
      </c>
      <c r="N15" s="120" t="s">
        <v>200</v>
      </c>
      <c r="O15" s="120" t="s">
        <v>277</v>
      </c>
      <c r="P15" s="121" t="s">
        <v>202</v>
      </c>
      <c r="Q15" s="123" t="s">
        <v>291</v>
      </c>
      <c r="R15" s="2"/>
      <c r="S15" s="120" t="s">
        <v>172</v>
      </c>
      <c r="T15" s="120" t="s">
        <v>2</v>
      </c>
      <c r="U15" s="120" t="s">
        <v>173</v>
      </c>
      <c r="V15" s="120" t="s">
        <v>167</v>
      </c>
      <c r="W15" s="120"/>
      <c r="X15" s="152" t="str">
        <f>$X$6</f>
        <v>Vessel MT</v>
      </c>
      <c r="Y15" s="120" t="s">
        <v>175</v>
      </c>
      <c r="Z15" s="120" t="s">
        <v>176</v>
      </c>
      <c r="AA15" s="120" t="s">
        <v>177</v>
      </c>
      <c r="AB15" s="120" t="s">
        <v>178</v>
      </c>
      <c r="AC15" s="120" t="s">
        <v>200</v>
      </c>
      <c r="AD15" s="146" t="s">
        <v>201</v>
      </c>
      <c r="AE15" s="128" t="s">
        <v>202</v>
      </c>
      <c r="AF15" s="150" t="s">
        <v>182</v>
      </c>
      <c r="AG15" s="136" t="s">
        <v>137</v>
      </c>
      <c r="AH15" s="146" t="s">
        <v>281</v>
      </c>
      <c r="AI15" s="136" t="s">
        <v>184</v>
      </c>
      <c r="AJ15" s="136" t="s">
        <v>140</v>
      </c>
      <c r="AK15" s="136" t="str">
        <f>AK6</f>
        <v>STS</v>
      </c>
      <c r="AL15" s="136" t="s">
        <v>186</v>
      </c>
      <c r="AM15" s="136" t="s">
        <v>187</v>
      </c>
      <c r="AN15" s="136" t="s">
        <v>141</v>
      </c>
      <c r="AO15" s="136" t="s">
        <v>188</v>
      </c>
      <c r="AP15" s="136" t="s">
        <v>17</v>
      </c>
      <c r="AQ15" s="136" t="s">
        <v>207</v>
      </c>
      <c r="AR15" s="136" t="s">
        <v>189</v>
      </c>
      <c r="AS15" s="136" t="s">
        <v>152</v>
      </c>
      <c r="AT15" s="150" t="s">
        <v>208</v>
      </c>
      <c r="AU15" s="150" t="s">
        <v>209</v>
      </c>
      <c r="AV15" s="150" t="s">
        <v>210</v>
      </c>
      <c r="AW15" s="137" t="s">
        <v>211</v>
      </c>
      <c r="AY15" s="137" t="s">
        <v>195</v>
      </c>
      <c r="BA15" s="1011" t="s">
        <v>196</v>
      </c>
      <c r="BB15" s="1011"/>
      <c r="BD15" s="118" t="s">
        <v>144</v>
      </c>
      <c r="BF15" s="2">
        <f>($BF$7+131.5)/(141.5*0.159)</f>
        <v>6.6004400293352887</v>
      </c>
      <c r="BH15"/>
      <c r="BI15"/>
      <c r="BJ15"/>
      <c r="BL15" s="132"/>
      <c r="BM15" s="127"/>
      <c r="BN15" s="132"/>
      <c r="BO15" s="132"/>
    </row>
    <row r="16" spans="1:67" ht="16" thickBot="1" x14ac:dyDescent="0.4">
      <c r="B16" s="230">
        <f t="shared" ref="B16:B22" si="23">+$B$7</f>
        <v>44253</v>
      </c>
      <c r="C16" s="230">
        <f t="shared" ref="C16:C22" si="24">IF(ISBLANK(B16),"",B16+2)</f>
        <v>44255</v>
      </c>
      <c r="D16" s="210"/>
      <c r="E16" s="211" t="s">
        <v>15</v>
      </c>
      <c r="F16" s="212">
        <f>IF(H16=K16,0,INDEX('[2]Flat Rates 2022'!$A:$DB,MATCH(H16,'[2]Flat Rates 2022'!$A:$A,0),MATCH(K16,'[2]Flat Rates 2022'!$A$1:$DB$1,0)))</f>
        <v>0</v>
      </c>
      <c r="G16" s="212" t="e">
        <f>INDEX(Control!$E$17:$J$21,MATCH(M16,Control!$E$17:$E$21,0),MATCH(H16,Control!$E$17:$J$17,0))</f>
        <v>#N/A</v>
      </c>
      <c r="H16" s="212" t="s">
        <v>46</v>
      </c>
      <c r="I16" s="213" t="e">
        <f>INDEX(Vessel_Minimum_MT,MATCH(M16,Control!$E$11:$E$15,0),MATCH(H16,Control!$E$11:$J$11,0))</f>
        <v>#N/A</v>
      </c>
      <c r="J16" s="214">
        <f>N16/$BF$15</f>
        <v>106053.53535353536</v>
      </c>
      <c r="K16" s="212" t="s">
        <v>46</v>
      </c>
      <c r="L16" s="212" t="str">
        <f>IF(K16=H16,"",CONCATENATE(CONCATENATE(VLOOKUP(H16,Zones,2,FALSE),"/",VLOOKUP(K16,Zones,2,FALSE))))</f>
        <v/>
      </c>
      <c r="M16" s="215" t="s">
        <v>22</v>
      </c>
      <c r="N16" s="216">
        <v>700000</v>
      </c>
      <c r="O16" s="217">
        <v>0</v>
      </c>
      <c r="P16" s="218">
        <v>0</v>
      </c>
      <c r="Q16" s="219" t="e">
        <f>IF($H16="Esmeraldas",IF(O16&gt;1000,IF(P16=0,O16,P16)/N16*1.1,((I16*F16*(IF(P16=0,O16,P16)/100))+IF(J16&lt;I16,0,(J16-I16)*F16*IF(P16=0,O16,P16)/100*G16))/N16*1.1),IF(O16&gt;1000,IF(P16=0,O16,P16)/N16,((I16*F16*(IF(P16=0,O16,P16)/100))+IF(J16&lt;I16,0,(J16-I16)*F16*IF(P16=0,O16,P16)/100*G16)))/N16)</f>
        <v>#N/A</v>
      </c>
      <c r="R16" s="2"/>
      <c r="S16" s="220">
        <f>INDEX('[2]Flat Rates 2022'!$A:$DB,MATCH(U16,'[2]Flat Rates 2022'!$A:$A,0),MATCH(AA16,'[2]Flat Rates 2022'!$A$1:$DB$1,0))</f>
        <v>19.149999999999999</v>
      </c>
      <c r="T16" s="220" t="e">
        <f>INDEX(Control!$E$17:$J$21,MATCH(Z16,Control!$E$17:$E$21,0),MATCH(U16,Control!$E$17:$J$17,0))</f>
        <v>#N/A</v>
      </c>
      <c r="U16" s="220" t="s">
        <v>46</v>
      </c>
      <c r="V16" s="221">
        <v>43430</v>
      </c>
      <c r="W16" s="221">
        <f t="shared" ref="W16:W18" si="25">+V16+4</f>
        <v>43434</v>
      </c>
      <c r="X16" s="213" t="e">
        <f>INDEX(Vessel_Minimum_MT,MATCH(Z16,Control!$E$11:$E$15,0),MATCH(U16,Control!$E$11:$J$11,0))</f>
        <v>#N/A</v>
      </c>
      <c r="Y16" s="222">
        <f>AC16/$BF$15</f>
        <v>71964.898989898997</v>
      </c>
      <c r="Z16" s="215" t="s">
        <v>22</v>
      </c>
      <c r="AA16" s="223" t="s">
        <v>110</v>
      </c>
      <c r="AB16" s="212" t="e">
        <f>IF(AA16=U16,"",CONCATENATE(CONCATENATE(VLOOKUP(U16,Zones,2,FALSE),"/",VLOOKUP(AA16,Zones,2,FALSE))))</f>
        <v>#N/A</v>
      </c>
      <c r="AC16" s="214">
        <v>475000</v>
      </c>
      <c r="AD16" s="214">
        <v>180</v>
      </c>
      <c r="AE16" s="224"/>
      <c r="AF16" s="225" t="e">
        <f>IF($U16="Esmeraldas",IF(AD16&gt;1000,IF(AE16=0,AD16,AE16)/AC16*1.1,((X16*S16*(IF(AE16=0,AD16,AE16)/100))+IF(Y16&lt;X16,0,(Y16-X16)*S16*IF(AE16=0,AD16,AE16)/100*T16))/AC16*1.1),IF(AD16&gt;1000,IF(AE16=0,AD16,AE16)/AC16,((X16*S16*(IF(AE16=0,AD16,AE16)/100))+IF(Y16&lt;X16,0,(Y16-X16)*S16*IF(AE16=0,AD16,AE16)/100*T16))/AC16))</f>
        <v>#N/A</v>
      </c>
      <c r="AG16" s="226">
        <v>2</v>
      </c>
      <c r="AH16" s="214" t="e">
        <f>IF(INDEX(Index,MATCH(AA16,TVM_PortList,0),MATCH("Type",Control!$Q$3:$U$3,0))="BL",INDEX(Index,MATCH(AA16,TVM_PortList,0),MATCH("Payment",Control!$Q$3:$U$3,0))-INDEX(Index,MATCH(U16,TVM_PortList,0),MATCH("Payment",Control!$Q$3:$U$3,0)),AY16+INDEX(Index,MATCH(AA16,TVM_PortList,0),MATCH("Payment",Control!$Q$3:$U$3,0))-INDEX(Index,MATCH(U16,TVM_PortList,0),MATCH("Payment",Control!$Q$3:$U$3,0)))</f>
        <v>#N/A</v>
      </c>
      <c r="AI16" s="227">
        <f>AG16*VLOOKUP($Z16,$BH$7:$BJ$11,3,FALSE)/$AC16</f>
        <v>7.3684210526315783E-2</v>
      </c>
      <c r="AJ16" s="227" t="e">
        <f>IF(AH16&lt;0,0,$AH16*$BF$9)</f>
        <v>#N/A</v>
      </c>
      <c r="AK16" s="227">
        <f>INDEX(Lightering,MATCH($U16,Control!$AB$3:$AB$29,0),MATCH(BAKKEN!$Z16,Control!$AB$3:$AF$3,0))*($AC16/$BF$16)*$BJ$13/$AC16</f>
        <v>0</v>
      </c>
      <c r="AL16" s="227">
        <f>IF(H16="Beaumont",$BF$8,0)</f>
        <v>0.09</v>
      </c>
      <c r="AM16" s="227">
        <v>0.8</v>
      </c>
      <c r="AN16" s="227">
        <f>$BF$10</f>
        <v>0.01</v>
      </c>
      <c r="AO16" s="227">
        <f>$BF$11</f>
        <v>0.01</v>
      </c>
      <c r="AP16" s="227">
        <f>IF(INDEX(Control!$Q$3:$S$62,MATCH($AA16,Control!$Q$3:$Q$62,0),MATCH(AP$6,Control!$Q$3:$S$3,0))=1,$BF$12*$BG$12,0)</f>
        <v>0</v>
      </c>
      <c r="AQ16" s="227" t="e">
        <f>IF(INDEX(Control!$Q$3:$S$62,MATCH($AA16,Control!$Q$3:$Q$62,0),MATCH(AQ$6,Control!$Q$3:$S$3,0))=1,$BF$13/$AC16,0)</f>
        <v>#N/A</v>
      </c>
      <c r="AR16" s="227">
        <f>$BF$14</f>
        <v>0</v>
      </c>
      <c r="AS16" s="227">
        <f>IF(AND(K16="Chiriqui Grande",U16="Puerto Armuelles"),$BI$16,0)</f>
        <v>0</v>
      </c>
      <c r="AT16" s="225" t="e">
        <f t="shared" ref="AT16:AT18" si="26">SUM(AI16:AS16)</f>
        <v>#N/A</v>
      </c>
      <c r="AU16" s="225" t="e">
        <f>+Q16+AF16+AT16</f>
        <v>#N/A</v>
      </c>
      <c r="AV16" s="225">
        <f>IF(MONTH(BB16)-MONTH(B16)=1,$AV$3,IF(MONTH(BB16)-MONTH(B16)=0,0,$AV$3+$AW$3))</f>
        <v>0.01</v>
      </c>
      <c r="AW16" s="228" t="e">
        <f>$M$3+AU16+AV16</f>
        <v>#N/A</v>
      </c>
      <c r="AX16" s="220"/>
      <c r="AY16" s="229">
        <f>INDEX('[1]Transit Time'!$A:$DC,MATCH(H16,'[1]Transit Time'!$A:$A,0),MATCH(K16,'[1]Transit Time'!$A$1:$DC$1,0))+INDEX('[1]Transit Time'!$A:$DC,MATCH(K16,'[1]Transit Time'!$A:$A,0),MATCH(U16,'[1]Transit Time'!$A$1:$DC$1,0))+INDEX('[1]Transit Time'!$A:$DC,MATCH(U16,'[1]Transit Time'!$A:$A,0),MATCH(AA16,'[1]Transit Time'!$A$1:$DC$1,0))</f>
        <v>18</v>
      </c>
      <c r="AZ16" s="220"/>
      <c r="BA16" s="230">
        <f>IF(ISBLANK(B16),"",B16+$AY16)</f>
        <v>44271</v>
      </c>
      <c r="BB16" s="230">
        <f>IFERROR(IF(ISBLANK(C16),"",C16+$AY16),"")</f>
        <v>44273</v>
      </c>
      <c r="BD16" s="133" t="s">
        <v>117</v>
      </c>
      <c r="BE16"/>
      <c r="BF16" s="130">
        <f>BM12</f>
        <v>600000</v>
      </c>
      <c r="BG16"/>
      <c r="BH16" s="23" t="s">
        <v>152</v>
      </c>
      <c r="BI16" s="10">
        <v>0.55000000000000004</v>
      </c>
      <c r="BL16" s="3">
        <f>(2000000-BM11)/BM12</f>
        <v>3.3333333333333335</v>
      </c>
    </row>
    <row r="17" spans="1:67" s="165" customFormat="1" x14ac:dyDescent="0.35">
      <c r="A17" s="2"/>
      <c r="B17" s="163">
        <f t="shared" si="23"/>
        <v>44253</v>
      </c>
      <c r="C17" s="163">
        <f t="shared" si="24"/>
        <v>44255</v>
      </c>
      <c r="D17"/>
      <c r="E17" s="8" t="s">
        <v>15</v>
      </c>
      <c r="F17" s="142">
        <f>IF(H17=K17,0,INDEX('[2]Flat Rates 2022'!$A:$DB,MATCH(H17,'[2]Flat Rates 2022'!$A:$A,0),MATCH(K17,'[2]Flat Rates 2022'!$A$1:$DB$1,0)))</f>
        <v>0</v>
      </c>
      <c r="G17" s="142" t="e">
        <f>INDEX(Control!$E$17:$J$21,MATCH(M17,Control!$E$17:$E$21,0),MATCH(H17,Control!$E$17:$J$17,0))</f>
        <v>#N/A</v>
      </c>
      <c r="H17" s="142" t="s">
        <v>46</v>
      </c>
      <c r="I17" s="116" t="e">
        <f>INDEX(Vessel_Minimum_MT,MATCH(M17,Control!$E$11:$E$15,0),MATCH(H17,Control!$E$11:$J$11,0))</f>
        <v>#N/A</v>
      </c>
      <c r="J17" s="141">
        <f>N17/$BF$15</f>
        <v>106053.53535353536</v>
      </c>
      <c r="K17" s="142" t="s">
        <v>46</v>
      </c>
      <c r="L17" s="142" t="str">
        <f>IF(K17=H17,"",CONCATENATE(CONCATENATE(VLOOKUP(H17,Zones,2,FALSE),"/",VLOOKUP(K17,Zones,2,FALSE))))</f>
        <v/>
      </c>
      <c r="M17" s="147" t="s">
        <v>22</v>
      </c>
      <c r="N17" s="15">
        <v>700000</v>
      </c>
      <c r="O17" s="13">
        <v>0</v>
      </c>
      <c r="P17" s="14">
        <v>0</v>
      </c>
      <c r="Q17" s="148" t="e">
        <f>IF($H17="Esmeraldas",IF(O17&gt;1000,IF(P17=0,O17,P17)/N17*1.1,((I17*F17*(IF(P17=0,O17,P17)/100))+IF(J17&lt;I17,0,(J17-I17)*F17*IF(P17=0,O17,P17)/100*G17))/N17*1.1),IF(O17&gt;1000,IF(P17=0,O17,P17)/N17,((I17*F17*(IF(P17=0,O17,P17)/100))+IF(J17&lt;I17,0,(J17-I17)*F17*IF(P17=0,O17,P17)/100*G17)))/N17)</f>
        <v>#N/A</v>
      </c>
      <c r="R17" s="2"/>
      <c r="S17" s="138">
        <f>INDEX('[2]Flat Rates 2022'!$A:$DB,MATCH(U17,'[2]Flat Rates 2022'!$A:$A,0),MATCH(AA17,'[2]Flat Rates 2022'!$A$1:$DB$1,0))</f>
        <v>19.149999999999999</v>
      </c>
      <c r="T17" s="138" t="e">
        <f>INDEX(Control!$E$17:$J$21,MATCH(Z17,Control!$E$17:$E$21,0),MATCH(U17,Control!$E$17:$J$17,0))</f>
        <v>#N/A</v>
      </c>
      <c r="U17" s="138" t="s">
        <v>46</v>
      </c>
      <c r="V17" s="139">
        <v>43430</v>
      </c>
      <c r="W17" s="139">
        <f t="shared" si="25"/>
        <v>43434</v>
      </c>
      <c r="X17" s="116" t="e">
        <f>INDEX(Vessel_Minimum_MT,MATCH(Z17,Control!$E$11:$E$15,0),MATCH(U17,Control!$E$11:$J$11,0))</f>
        <v>#N/A</v>
      </c>
      <c r="Y17" s="140">
        <f>AC17/$BF$15</f>
        <v>90903.030303030304</v>
      </c>
      <c r="Z17" s="147" t="s">
        <v>23</v>
      </c>
      <c r="AA17" s="164" t="s">
        <v>110</v>
      </c>
      <c r="AB17" s="142" t="e">
        <f>IF(AA17=U17,"",CONCATENATE(CONCATENATE(VLOOKUP(U17,Zones,2,FALSE),"/",VLOOKUP(AA17,Zones,2,FALSE))))</f>
        <v>#N/A</v>
      </c>
      <c r="AC17" s="141">
        <v>600000</v>
      </c>
      <c r="AD17" s="141">
        <v>1001</v>
      </c>
      <c r="AE17" s="151">
        <v>1300000</v>
      </c>
      <c r="AF17" s="149">
        <f>IF($U17="Esmeraldas",IF(AD17&gt;1000,IF(AE17=0,AD17,AE17)/AC17*1.1,((X17*S17*(IF(AE17=0,AD17,AE17)/100))+IF(Y17&lt;X17,0,(Y17-X17)*S17*IF(AE17=0,AD17,AE17)/100*T17))/AC17*1.1),IF(AD17&gt;1000,IF(AE17=0,AD17,AE17)/AC17,((X17*S17*(IF(AE17=0,AD17,AE17)/100))+IF(Y17&lt;X17,0,(Y17-X17)*S17*IF(AE17=0,AD17,AE17)/100*T17))/AC17))</f>
        <v>2.1666666666666665</v>
      </c>
      <c r="AG17" s="144">
        <v>5</v>
      </c>
      <c r="AH17" s="141" t="e">
        <f>IF(INDEX(Index,MATCH(AA17,TVM_PortList,0),MATCH("Type",Control!$Q$3:$U$3,0))="BL",INDEX(Index,MATCH(AA17,TVM_PortList,0),MATCH("Payment",Control!$Q$3:$U$3,0))-INDEX(Index,MATCH(U17,TVM_PortList,0),MATCH("Payment",Control!$Q$3:$U$3,0)),AY17+INDEX(Index,MATCH(AA17,TVM_PortList,0),MATCH("Payment",Control!$Q$3:$U$3,0))-INDEX(Index,MATCH(U17,TVM_PortList,0),MATCH("Payment",Control!$Q$3:$U$3,0)))</f>
        <v>#N/A</v>
      </c>
      <c r="AI17" s="143">
        <f>AG17*VLOOKUP($Z17,$BH$7:$BJ$11,3,FALSE)/$AC17</f>
        <v>0.16250000000000001</v>
      </c>
      <c r="AJ17" s="143" t="e">
        <f>IF(AH17&lt;0,0,$AH17*$BF$9)</f>
        <v>#N/A</v>
      </c>
      <c r="AK17" s="143">
        <f>INDEX(Lightering,MATCH($U17,Control!$AB$3:$AB$29,0),MATCH(BAKKEN!$Z17,Control!$AB$3:$AF$3,0))*($AC17/$BF$16)*$BJ$13/$AC17</f>
        <v>0</v>
      </c>
      <c r="AL17" s="143">
        <f>IF(H17="Beaumont",$BF$8,0)</f>
        <v>0.09</v>
      </c>
      <c r="AM17" s="143">
        <v>0</v>
      </c>
      <c r="AN17" s="143">
        <f>$BF$10</f>
        <v>0.01</v>
      </c>
      <c r="AO17" s="143">
        <f>$BF$11</f>
        <v>0.01</v>
      </c>
      <c r="AP17" s="143">
        <f>IF(INDEX(Control!$Q$3:$S$62,MATCH($AA17,Control!$Q$3:$Q$62,0),MATCH(AP$6,Control!$Q$3:$S$3,0))=1,$BF$12*$BG$12,0)</f>
        <v>0</v>
      </c>
      <c r="AQ17" s="143" t="e">
        <f>IF(INDEX(Control!$Q$3:$S$62,MATCH($AA17,Control!$Q$3:$Q$62,0),MATCH(AQ$6,Control!$Q$3:$S$3,0))=1,$BF$13/$AC17,0)</f>
        <v>#N/A</v>
      </c>
      <c r="AR17" s="143">
        <f>$BF$14</f>
        <v>0</v>
      </c>
      <c r="AS17" s="143">
        <f>IF(AND(K17="Chiriqui Grande",U17="Puerto Armuelles"),$BI$16,0)</f>
        <v>0</v>
      </c>
      <c r="AT17" s="149" t="e">
        <f t="shared" si="26"/>
        <v>#N/A</v>
      </c>
      <c r="AU17" s="149" t="e">
        <f>+Q17+AF17+AT17</f>
        <v>#N/A</v>
      </c>
      <c r="AV17" s="149">
        <f>IF(MONTH(BB17)-MONTH(B17)=1,$AV$3,IF(MONTH(BB17)-MONTH(B17)=0,0,$AV$3+$AW$3))</f>
        <v>0.01</v>
      </c>
      <c r="AW17" s="145" t="e">
        <f>$M$3+AU17+AV17</f>
        <v>#N/A</v>
      </c>
      <c r="AX17" s="2"/>
      <c r="AY17" s="153">
        <f>INDEX('[1]Transit Time'!$A:$DC,MATCH(H17,'[1]Transit Time'!$A:$A,0),MATCH(K17,'[1]Transit Time'!$A$1:$DC$1,0))+INDEX('[1]Transit Time'!$A:$DC,MATCH(K17,'[1]Transit Time'!$A:$A,0),MATCH(U17,'[1]Transit Time'!$A$1:$DC$1,0))+INDEX('[1]Transit Time'!$A:$DC,MATCH(U17,'[1]Transit Time'!$A:$A,0),MATCH(AA17,'[1]Transit Time'!$A$1:$DC$1,0))</f>
        <v>18</v>
      </c>
      <c r="AZ17" s="2"/>
      <c r="BA17" s="163">
        <f>IF(ISBLANK(B17),"",B17+$AY17)</f>
        <v>44271</v>
      </c>
      <c r="BB17" s="163">
        <f>IFERROR(IF(ISBLANK(C17),"",C17+$AY17),"")</f>
        <v>44273</v>
      </c>
      <c r="BC17"/>
      <c r="BL17" s="165">
        <f>IF(AC25-VLOOKUP(Z25,$BL$8:$BM$12,2,FALSE)/$BM$12&gt;0,BJ13/AC25,0)</f>
        <v>1.9473684210526316</v>
      </c>
    </row>
    <row r="18" spans="1:67" ht="16" thickBot="1" x14ac:dyDescent="0.4">
      <c r="B18" s="230">
        <f t="shared" si="23"/>
        <v>44253</v>
      </c>
      <c r="C18" s="230">
        <f t="shared" si="24"/>
        <v>44255</v>
      </c>
      <c r="D18" s="210"/>
      <c r="E18" s="211"/>
      <c r="F18" s="212">
        <f>IF(H18=K18,0,INDEX('[2]Flat Rates 2022'!$A:$DB,MATCH(H18,'[2]Flat Rates 2022'!$A:$A,0),MATCH(K18,'[2]Flat Rates 2022'!$A$1:$DB$1,0)))</f>
        <v>0</v>
      </c>
      <c r="G18" s="212" t="e">
        <f>INDEX(Control!$E$17:$J$21,MATCH(M18,Control!$E$17:$E$21,0),MATCH(H18,Control!$E$17:$J$17,0))</f>
        <v>#N/A</v>
      </c>
      <c r="H18" s="212" t="s">
        <v>46</v>
      </c>
      <c r="I18" s="213" t="e">
        <f>INDEX(Vessel_Minimum_MT,MATCH(M18,Control!$E$11:$E$15,0),MATCH(H18,Control!$E$11:$J$11,0))</f>
        <v>#N/A</v>
      </c>
      <c r="J18" s="214">
        <f>N18/$BF$15</f>
        <v>106053.53535353536</v>
      </c>
      <c r="K18" s="212" t="s">
        <v>46</v>
      </c>
      <c r="L18" s="212" t="str">
        <f>IF(K18=H18,"",CONCATENATE(CONCATENATE(VLOOKUP(H18,Zones,2,FALSE),"/",VLOOKUP(K18,Zones,2,FALSE))))</f>
        <v/>
      </c>
      <c r="M18" s="215" t="s">
        <v>23</v>
      </c>
      <c r="N18" s="216">
        <v>700000</v>
      </c>
      <c r="O18" s="217">
        <v>0</v>
      </c>
      <c r="P18" s="218">
        <v>0</v>
      </c>
      <c r="Q18" s="219" t="e">
        <f>IF($H18="Esmeraldas",IF(O18&gt;1000,IF(P18=0,O18,P18)/N18*1.1,((I18*F18*(IF(P18=0,O18,P18)/100))+IF(J18&lt;I18,0,(J18-I18)*F18*IF(P18=0,O18,P18)/100*G18))/N18*1.1),IF(O18&gt;1000,IF(P18=0,O18,P18)/N18,((I18*F18*(IF(P18=0,O18,P18)/100))+IF(J18&lt;I18,0,(J18-I18)*F18*IF(P18=0,O18,P18)/100*G18)))/N18)</f>
        <v>#N/A</v>
      </c>
      <c r="R18" s="2"/>
      <c r="S18" s="220">
        <f>INDEX('[2]Flat Rates 2022'!$A:$DB,MATCH(U18,'[2]Flat Rates 2022'!$A:$A,0),MATCH(AA18,'[2]Flat Rates 2022'!$A$1:$DB$1,0))</f>
        <v>8.27</v>
      </c>
      <c r="T18" s="220" t="e">
        <f>INDEX(Control!$E$17:$J$21,MATCH(Z18,Control!$E$17:$E$21,0),MATCH(U18,Control!$E$17:$J$17,0))</f>
        <v>#N/A</v>
      </c>
      <c r="U18" s="220" t="s">
        <v>46</v>
      </c>
      <c r="V18" s="221">
        <v>43430</v>
      </c>
      <c r="W18" s="221">
        <f t="shared" si="25"/>
        <v>43434</v>
      </c>
      <c r="X18" s="213" t="e">
        <f>INDEX(Vessel_Minimum_MT,MATCH(Z18,Control!$E$11:$E$15,0),MATCH(U18,Control!$E$11:$J$11,0))</f>
        <v>#N/A</v>
      </c>
      <c r="Y18" s="222">
        <f>AC18/$BF$15</f>
        <v>75752.525252525258</v>
      </c>
      <c r="Z18" s="215" t="s">
        <v>23</v>
      </c>
      <c r="AA18" s="223" t="s">
        <v>112</v>
      </c>
      <c r="AB18" s="212" t="e">
        <f>IF(AA18=U18,"",CONCATENATE(CONCATENATE(VLOOKUP(U18,Zones,2,FALSE),"/",VLOOKUP(AA18,Zones,2,FALSE))))</f>
        <v>#N/A</v>
      </c>
      <c r="AC18" s="214">
        <v>500000</v>
      </c>
      <c r="AD18" s="214">
        <v>170</v>
      </c>
      <c r="AE18" s="224">
        <v>325</v>
      </c>
      <c r="AF18" s="225" t="e">
        <f>IF($U18="Esmeraldas",IF(AD18&gt;1000,IF(AE18=0,AD18,AE18)/AC18*1.1,((X18*S18*(IF(AE18=0,AD18,AE18)/100))+IF(Y18&lt;X18,0,(Y18-X18)*S18*IF(AE18=0,AD18,AE18)/100*T18))/AC18*1.1),IF(AD18&gt;1000,IF(AE18=0,AD18,AE18)/AC18,((X18*S18*(IF(AE18=0,AD18,AE18)/100))+IF(Y18&lt;X18,0,(Y18-X18)*S18*IF(AE18=0,AD18,AE18)/100*T18))/AC18))</f>
        <v>#N/A</v>
      </c>
      <c r="AG18" s="226">
        <v>2</v>
      </c>
      <c r="AH18" s="214" t="e">
        <f>IF(INDEX(Index,MATCH(AA18,TVM_PortList,0),MATCH("Type",Control!$Q$3:$U$3,0))="BL",INDEX(Index,MATCH(AA18,TVM_PortList,0),MATCH("Payment",Control!$Q$3:$U$3,0))-INDEX(Index,MATCH(U18,TVM_PortList,0),MATCH("Payment",Control!$Q$3:$U$3,0)),AY18+INDEX(Index,MATCH(AA18,TVM_PortList,0),MATCH("Payment",Control!$Q$3:$U$3,0))-INDEX(Index,MATCH(U18,TVM_PortList,0),MATCH("Payment",Control!$Q$3:$U$3,0)))</f>
        <v>#N/A</v>
      </c>
      <c r="AI18" s="227">
        <f>AG18*VLOOKUP($Z18,$BH$7:$BJ$11,3,FALSE)/$AC18</f>
        <v>7.8E-2</v>
      </c>
      <c r="AJ18" s="227" t="e">
        <f>IF(AH18&lt;0,0,$AH18*$BF$9)</f>
        <v>#N/A</v>
      </c>
      <c r="AK18" s="227">
        <f>INDEX(Lightering,MATCH($U18,Control!$AB$3:$AB$29,0),MATCH(BAKKEN!$Z18,Control!$AB$3:$AF$3,0))*($AC18/$BF$16)*$BJ$13/$AC18</f>
        <v>0</v>
      </c>
      <c r="AL18" s="227">
        <f>IF(H18="Beaumont",$BF$8,0)</f>
        <v>0.09</v>
      </c>
      <c r="AM18" s="227">
        <v>0</v>
      </c>
      <c r="AN18" s="227">
        <f>$BF$10</f>
        <v>0.01</v>
      </c>
      <c r="AO18" s="227">
        <f>$BF$11</f>
        <v>0.01</v>
      </c>
      <c r="AP18" s="227">
        <f>IF(INDEX(Control!$Q$3:$S$62,MATCH($AA18,Control!$Q$3:$Q$62,0),MATCH(AP$6,Control!$Q$3:$S$3,0))=1,$BF$12*$BG$12,0)</f>
        <v>0.2</v>
      </c>
      <c r="AQ18" s="227" t="e">
        <f>IF(INDEX(Control!$Q$3:$S$62,MATCH($AA18,Control!$Q$3:$Q$62,0),MATCH(AQ$6,Control!$Q$3:$S$3,0))=1,$BF$13/$AC18,0)</f>
        <v>#N/A</v>
      </c>
      <c r="AR18" s="227">
        <f>$BF$14</f>
        <v>0</v>
      </c>
      <c r="AS18" s="227">
        <f>IF(AND(K18="Chiriqui Grande",U18="Puerto Armuelles"),$BI$16,0)</f>
        <v>0</v>
      </c>
      <c r="AT18" s="225" t="e">
        <f t="shared" si="26"/>
        <v>#N/A</v>
      </c>
      <c r="AU18" s="225" t="e">
        <f>+Q18+AF18+AT18</f>
        <v>#N/A</v>
      </c>
      <c r="AV18" s="225">
        <f>IF(MONTH(BB18)-MONTH(B18)=1,$AV$3,IF(MONTH(BB18)-MONTH(B18)=0,0,$AV$3+$AW$3))</f>
        <v>0.01</v>
      </c>
      <c r="AW18" s="228" t="e">
        <f>$M$3+AU18+AV18</f>
        <v>#N/A</v>
      </c>
      <c r="AX18" s="220"/>
      <c r="AY18" s="229">
        <f>INDEX('[1]Transit Time'!$A:$DC,MATCH(H18,'[1]Transit Time'!$A:$A,0),MATCH(K18,'[1]Transit Time'!$A$1:$DC$1,0))+INDEX('[1]Transit Time'!$A:$DC,MATCH(K18,'[1]Transit Time'!$A:$A,0),MATCH(U18,'[1]Transit Time'!$A$1:$DC$1,0))+INDEX('[1]Transit Time'!$A:$DC,MATCH(U18,'[1]Transit Time'!$A:$A,0),MATCH(AA18,'[1]Transit Time'!$A$1:$DC$1,0))</f>
        <v>6</v>
      </c>
      <c r="AZ18" s="220"/>
      <c r="BA18" s="230">
        <f>IF(ISBLANK(B18),"",B18+$AY18)</f>
        <v>44259</v>
      </c>
      <c r="BB18" s="230">
        <f>IFERROR(IF(ISBLANK(C18),"",C18+$AY18),"")</f>
        <v>44261</v>
      </c>
      <c r="BD18" s="133" t="s">
        <v>283</v>
      </c>
      <c r="BK18" s="34"/>
    </row>
    <row r="19" spans="1:67" ht="19.5" customHeight="1" thickBot="1" x14ac:dyDescent="0.5">
      <c r="B19"/>
      <c r="C19"/>
      <c r="E19" s="1044" t="str">
        <f>E5</f>
        <v>BMT-PTP</v>
      </c>
      <c r="F19" s="1045"/>
      <c r="G19" s="1045"/>
      <c r="H19" s="1045"/>
      <c r="I19" s="1045"/>
      <c r="J19" s="1045"/>
      <c r="K19" s="1045"/>
      <c r="L19" s="1045"/>
      <c r="M19" s="1045"/>
      <c r="N19" s="1045"/>
      <c r="O19" s="1045"/>
      <c r="P19" s="1045"/>
      <c r="Q19" s="1045"/>
      <c r="R19" s="2"/>
      <c r="S19" s="9"/>
      <c r="T19" s="9"/>
      <c r="U19" s="9"/>
      <c r="V19" s="9"/>
      <c r="W19" s="9"/>
      <c r="X19" s="9"/>
      <c r="Y19" s="9"/>
      <c r="Z19" s="1044" t="s">
        <v>280</v>
      </c>
      <c r="AA19" s="1045"/>
      <c r="AB19" s="1045"/>
      <c r="AC19" s="1045"/>
      <c r="AD19" s="1045"/>
      <c r="AE19" s="1045"/>
      <c r="AF19" s="1045"/>
      <c r="AG19" s="1045"/>
      <c r="AH19" s="1045"/>
      <c r="AI19" s="1045"/>
      <c r="AJ19" s="1045"/>
      <c r="AK19" s="1045"/>
      <c r="AL19" s="1045"/>
      <c r="AM19" s="1045"/>
      <c r="AN19" s="1045"/>
      <c r="AO19" s="1045"/>
      <c r="AP19" s="1045"/>
      <c r="AQ19" s="1045"/>
      <c r="AR19" s="1045"/>
      <c r="AS19" s="1045"/>
      <c r="AT19" s="1045"/>
      <c r="AU19" s="1045"/>
      <c r="AV19" s="1045"/>
      <c r="AW19" s="1046"/>
      <c r="AY19"/>
      <c r="BA19"/>
      <c r="BB19"/>
      <c r="BD19" s="133" t="s">
        <v>148</v>
      </c>
      <c r="BE19" s="2">
        <v>2.85</v>
      </c>
      <c r="BF19" s="268">
        <f>$BE$19*$BF$12/365/100</f>
        <v>7.8082191780821921E-3</v>
      </c>
    </row>
    <row r="20" spans="1:67" ht="29.5" customHeight="1" x14ac:dyDescent="0.35">
      <c r="B20" s="1005" t="s">
        <v>167</v>
      </c>
      <c r="C20" s="1005"/>
      <c r="E20" s="120" t="s">
        <v>276</v>
      </c>
      <c r="F20" s="152" t="s">
        <v>172</v>
      </c>
      <c r="G20" s="152" t="s">
        <v>2</v>
      </c>
      <c r="H20" s="152" t="s">
        <v>173</v>
      </c>
      <c r="I20" s="152" t="s">
        <v>174</v>
      </c>
      <c r="J20" s="125" t="s">
        <v>175</v>
      </c>
      <c r="K20" s="152" t="s">
        <v>177</v>
      </c>
      <c r="L20" s="152" t="s">
        <v>178</v>
      </c>
      <c r="M20" s="122" t="s">
        <v>176</v>
      </c>
      <c r="N20" s="120" t="s">
        <v>200</v>
      </c>
      <c r="O20" s="120" t="s">
        <v>277</v>
      </c>
      <c r="P20" s="121"/>
      <c r="Q20" s="123" t="s">
        <v>291</v>
      </c>
      <c r="R20" s="2"/>
      <c r="S20" s="120" t="s">
        <v>172</v>
      </c>
      <c r="T20" s="120" t="e">
        <f>INDEX(Control!$E$17:$J$21,MATCH(Z20,Control!$E$17:$E$21,0),MATCH(U20,Control!$E$17:$J$17,0))</f>
        <v>#N/A</v>
      </c>
      <c r="U20" s="120" t="s">
        <v>173</v>
      </c>
      <c r="V20" s="120" t="s">
        <v>167</v>
      </c>
      <c r="W20" s="120"/>
      <c r="X20" s="152" t="str">
        <f>$X$6</f>
        <v>Vessel MT</v>
      </c>
      <c r="Y20" s="120" t="s">
        <v>175</v>
      </c>
      <c r="Z20" s="120" t="s">
        <v>176</v>
      </c>
      <c r="AA20" s="120" t="s">
        <v>177</v>
      </c>
      <c r="AB20" s="120" t="s">
        <v>178</v>
      </c>
      <c r="AC20" s="120" t="s">
        <v>200</v>
      </c>
      <c r="AD20" s="146" t="s">
        <v>201</v>
      </c>
      <c r="AE20" s="128" t="s">
        <v>202</v>
      </c>
      <c r="AF20" s="150" t="s">
        <v>182</v>
      </c>
      <c r="AG20" s="136" t="s">
        <v>137</v>
      </c>
      <c r="AH20" s="146" t="s">
        <v>281</v>
      </c>
      <c r="AI20" s="136" t="s">
        <v>184</v>
      </c>
      <c r="AJ20" s="136" t="s">
        <v>140</v>
      </c>
      <c r="AK20" s="136" t="str">
        <f>AK15</f>
        <v>STS</v>
      </c>
      <c r="AL20" s="136" t="s">
        <v>186</v>
      </c>
      <c r="AM20" s="136" t="s">
        <v>187</v>
      </c>
      <c r="AN20" s="136" t="s">
        <v>141</v>
      </c>
      <c r="AO20" s="136" t="s">
        <v>188</v>
      </c>
      <c r="AP20" s="136" t="s">
        <v>17</v>
      </c>
      <c r="AQ20" s="136" t="s">
        <v>207</v>
      </c>
      <c r="AR20" s="136" t="s">
        <v>189</v>
      </c>
      <c r="AS20" s="136" t="s">
        <v>152</v>
      </c>
      <c r="AT20" s="150" t="s">
        <v>208</v>
      </c>
      <c r="AU20" s="150" t="s">
        <v>209</v>
      </c>
      <c r="AV20" s="150" t="s">
        <v>210</v>
      </c>
      <c r="AW20" s="137" t="s">
        <v>211</v>
      </c>
      <c r="AY20" s="137" t="s">
        <v>195</v>
      </c>
      <c r="BA20" s="1011" t="s">
        <v>196</v>
      </c>
      <c r="BB20" s="1011"/>
      <c r="BD20" s="133" t="s">
        <v>151</v>
      </c>
      <c r="BE20" s="2">
        <f>BE19*$BE$21</f>
        <v>3.42</v>
      </c>
      <c r="BF20" s="268">
        <f>$BE$20*$BF$12/365/100</f>
        <v>9.3698630136986299E-3</v>
      </c>
      <c r="BL20" s="132"/>
      <c r="BM20" s="127"/>
      <c r="BN20" s="132"/>
      <c r="BO20" s="132"/>
    </row>
    <row r="21" spans="1:67" x14ac:dyDescent="0.35">
      <c r="B21" s="163">
        <f t="shared" si="23"/>
        <v>44253</v>
      </c>
      <c r="C21" s="163">
        <f t="shared" si="24"/>
        <v>44255</v>
      </c>
      <c r="E21" s="8"/>
      <c r="F21" s="138">
        <f>INDEX('[2]Flat Rates 2022'!$A:$DB,MATCH(H21,'[2]Flat Rates 2022'!$A:$A,0),MATCH(K21,'[2]Flat Rates 2022'!$A$1:$DB$1,0))</f>
        <v>8.1199999999999992</v>
      </c>
      <c r="G21" s="138" t="e">
        <f>INDEX(Control!$E$17:$J$21,MATCH(M21,Control!$E$17:$E$21,0),MATCH(H21,Control!$E$17:$J$17,0))</f>
        <v>#N/A</v>
      </c>
      <c r="H21" s="138" t="s">
        <v>46</v>
      </c>
      <c r="I21" s="116" t="e">
        <f>INDEX(Vessel_Minimum_MT,MATCH(M21,Control!$E$11:$E$15,0),MATCH(H21,Control!$E$11:$J$11,0))</f>
        <v>#N/A</v>
      </c>
      <c r="J21" s="116">
        <f>N21/$BF$15</f>
        <v>106053.53535353536</v>
      </c>
      <c r="K21" s="142" t="s">
        <v>55</v>
      </c>
      <c r="L21" s="138" t="e">
        <f t="shared" ref="L21:L22" si="27">IF(K21=H21,"",CONCATENATE(CONCATENATE(VLOOKUP(H21,Zones,2,FALSE),"/",VLOOKUP(K21,Zones,2,FALSE))))</f>
        <v>#N/A</v>
      </c>
      <c r="M21" s="147" t="s">
        <v>23</v>
      </c>
      <c r="N21" s="141">
        <v>700000</v>
      </c>
      <c r="O21" s="17">
        <v>170</v>
      </c>
      <c r="P21" s="18">
        <v>80</v>
      </c>
      <c r="Q21" s="148" t="e">
        <f t="shared" ref="Q21:Q22" si="28">IF($H21="Esmeraldas",IF(O21&gt;1000,IF(P21=0,O21,P21)/N21*1.1,((I21*F21*(IF(P21=0,O21,P21)/100))+IF(J21&lt;I21,0,(J21-I21)*F21*IF(P21=0,O21,P21)/100*G21))/N21*1.1),IF(O21&gt;1000,IF(P21=0,O21,P21)/N21,((I21*F21*(IF(P21=0,O21,P21)/100))+IF(J21&lt;I21,0,(J21-I21)*F21*IF(P21=0,O21,P21)/100*G21)))/N21)</f>
        <v>#N/A</v>
      </c>
      <c r="R21" s="2"/>
      <c r="S21" s="138">
        <f>INDEX('[2]Flat Rates 2022'!$A:$DB,MATCH(U21,'[2]Flat Rates 2022'!$A:$A,0),MATCH(AA21,'[2]Flat Rates 2022'!$A$1:$DB$1,0))</f>
        <v>25.45</v>
      </c>
      <c r="T21" s="138">
        <f>INDEX(Control!$E$17:$J$21,MATCH(Z21,Control!$E$17:$E$21,0),MATCH(U21,Control!$E$17:$J$17,0))</f>
        <v>0.5</v>
      </c>
      <c r="U21" s="138" t="s">
        <v>63</v>
      </c>
      <c r="V21" s="139">
        <v>43430</v>
      </c>
      <c r="W21" s="139">
        <f t="shared" ref="W21:W22" si="29">+V21+4</f>
        <v>43434</v>
      </c>
      <c r="X21" s="116">
        <f>INDEX(Vessel_Minimum_MT,MATCH(Z21,Control!$E$11:$E$15,0),MATCH(U21,Control!$E$11:$J$11,0))</f>
        <v>145000</v>
      </c>
      <c r="Y21" s="140">
        <f t="shared" ref="Y21:Y22" si="30">AC21/$BF$15</f>
        <v>159080.30303030304</v>
      </c>
      <c r="Z21" s="147" t="s">
        <v>24</v>
      </c>
      <c r="AA21" s="164" t="s">
        <v>100</v>
      </c>
      <c r="AB21" s="142" t="str">
        <f t="shared" ref="AB21:AB22" si="31">IF(AA21=U21,"",CONCATENATE(CONCATENATE(VLOOKUP(U21,Zones,2,FALSE),"/",VLOOKUP(AA21,Zones,2,FALSE))))</f>
        <v>Panama WC/KOREA</v>
      </c>
      <c r="AC21" s="141">
        <v>1050000</v>
      </c>
      <c r="AD21" s="141">
        <v>3750000</v>
      </c>
      <c r="AE21" s="151"/>
      <c r="AF21" s="148">
        <f>IF($U21="Esmeraldas",IF(AD21&gt;1000,IF(AE21=0,AD21,AE21)/AC21*1.1,((X21*S21*(IF(AE21=0,AD21,AE21)/100))+IF(Y21&lt;X21,0,(Y21-X21)*S21*IF(AE21=0,AD21,AE21)/100*T21))/AC21*1.1),IF(AD21&gt;1000,IF(AE21=0,AD21,AE21)/AC21,((X21*S21*(IF(AE21=0,AD21,AE21)/100))+IF(Y21&lt;X21,0,(Y21-X21)*S21*IF(AE21=0,AD21,AE21)/100*T21))/AC21))</f>
        <v>3.5714285714285716</v>
      </c>
      <c r="AG21" s="144">
        <v>2</v>
      </c>
      <c r="AH21" s="155" t="e">
        <f>INDEX('[1]Transit Time'!$A:$DC,MATCH(H21,'[1]Transit Time'!$A:$A,0),MATCH(K21,'[1]Transit Time'!$A$1:$DC$1,0))+INDEX('[1]Transit Time'!$A:$DC,MATCH(K21,'[1]Transit Time'!$A:$A,0),MATCH(U21,'[1]Transit Time'!$A$1:$DC$1,0))+INDEX('[1]Transit Time'!$A:$DC,MATCH(U21,'[1]Transit Time'!$A:$A,0),MATCH(AA21,'[1]Transit Time'!$A$1:$DC$1,0))-VLOOKUP($H21,Port_Info,4,FALSE)+VLOOKUP($AA21,Port_Info,4,FALSE)</f>
        <v>#N/A</v>
      </c>
      <c r="AI21" s="143">
        <f>AG21*VLOOKUP($Z21,$BH$7:$BJ$11,3,FALSE)/$AC21</f>
        <v>4.7619047619047616E-2</v>
      </c>
      <c r="AJ21" s="143" t="e">
        <f t="shared" ref="AJ21:AJ22" si="32">IF(AH21&lt;0,0,$AH21*$BF$9)</f>
        <v>#N/A</v>
      </c>
      <c r="AK21" s="143"/>
      <c r="AL21" s="143">
        <f>IF(H21="Beaumont",$BF$8,0)</f>
        <v>0.09</v>
      </c>
      <c r="AM21" s="143">
        <v>0</v>
      </c>
      <c r="AN21" s="143">
        <f t="shared" ref="AN21:AN22" si="33">$BF$10</f>
        <v>0.01</v>
      </c>
      <c r="AO21" s="143">
        <f t="shared" ref="AO21:AO22" si="34">$BF$11</f>
        <v>0.01</v>
      </c>
      <c r="AP21" s="143">
        <f>IF(INDEX(Control!$Q$3:$S$62,MATCH($AA21,Control!$Q$3:$Q$62,0),MATCH(AP$6,Control!$Q$3:$S$3,0))=1,$BF$12*$BG$12,0)</f>
        <v>0.2</v>
      </c>
      <c r="AQ21" s="143" t="e">
        <f>IF(INDEX(Control!$Q$3:$S$62,MATCH($AA21,Control!$Q$3:$Q$62,0),MATCH(AQ$6,Control!$Q$3:$S$3,0))=1,$BF$13/$AC21,0)</f>
        <v>#N/A</v>
      </c>
      <c r="AR21" s="143">
        <f t="shared" ref="AR21:AR22" si="35">$BF$14</f>
        <v>0</v>
      </c>
      <c r="AS21" s="143">
        <f>IF(AND(K21="Chiriqui Grande",U21="Puerto Armuelles"),$BI$16,0)</f>
        <v>0.55000000000000004</v>
      </c>
      <c r="AT21" s="149" t="e">
        <f t="shared" ref="AT21:AT22" si="36">SUM(AI21:AS21)</f>
        <v>#N/A</v>
      </c>
      <c r="AU21" s="149" t="e">
        <f>+Q21+AF21+AT21</f>
        <v>#N/A</v>
      </c>
      <c r="AV21" s="149">
        <f>IF(MONTH(BB21)-MONTH(B21)=1,$AV$3,IF(MONTH(BB21)-MONTH(B21)=0,0,$AV$3+$AW$3))</f>
        <v>0.09</v>
      </c>
      <c r="AW21" s="261" t="e">
        <f>$M$3+AU21+AV21</f>
        <v>#N/A</v>
      </c>
      <c r="AY21" s="153">
        <f>INDEX('[1]Transit Time'!$A:$DC,MATCH(H21,'[1]Transit Time'!$A:$A,0),MATCH(K21,'[1]Transit Time'!$A$1:$DC$1,0))+INDEX('[1]Transit Time'!$A:$DC,MATCH(K21,'[1]Transit Time'!$A:$A,0),MATCH(U21,'[1]Transit Time'!$A$1:$DC$1,0))+INDEX('[1]Transit Time'!$A:$DC,MATCH(U21,'[1]Transit Time'!$A:$A,0),MATCH(AA21,'[1]Transit Time'!$A$1:$DC$1,0))</f>
        <v>46</v>
      </c>
      <c r="BA21" s="163">
        <f>IF(ISBLANK(B21),"",B21+$AY21)</f>
        <v>44299</v>
      </c>
      <c r="BB21" s="163">
        <f>IFERROR(IF(ISBLANK(C21),"",C21+$AY21),"")</f>
        <v>44301</v>
      </c>
      <c r="BE21" s="2">
        <v>1.2</v>
      </c>
    </row>
    <row r="22" spans="1:67" s="165" customFormat="1" ht="16" thickBot="1" x14ac:dyDescent="0.4">
      <c r="A22" s="2"/>
      <c r="B22" s="230">
        <f t="shared" si="23"/>
        <v>44253</v>
      </c>
      <c r="C22" s="230">
        <f t="shared" si="24"/>
        <v>44255</v>
      </c>
      <c r="D22" s="210"/>
      <c r="E22" s="211"/>
      <c r="F22" s="212">
        <f>INDEX('[2]Flat Rates 2022'!$A:$DB,MATCH(H22,'[2]Flat Rates 2022'!$A:$A,0),MATCH(K22,'[2]Flat Rates 2022'!$A$1:$DB$1,0))</f>
        <v>8.1199999999999992</v>
      </c>
      <c r="G22" s="212" t="e">
        <f>INDEX(Control!$E$17:$J$21,MATCH(M22,Control!$E$17:$E$21,0),MATCH(H22,Control!$E$17:$J$17,0))</f>
        <v>#N/A</v>
      </c>
      <c r="H22" s="212" t="s">
        <v>46</v>
      </c>
      <c r="I22" s="213" t="e">
        <f>INDEX(Vessel_Minimum_MT,MATCH(M22,Control!$E$11:$E$15,0),MATCH(H22,Control!$E$11:$J$11,0))</f>
        <v>#N/A</v>
      </c>
      <c r="J22" s="214">
        <f>N22/$BF$15</f>
        <v>106053.53535353536</v>
      </c>
      <c r="K22" s="212" t="s">
        <v>55</v>
      </c>
      <c r="L22" s="212" t="e">
        <f t="shared" si="27"/>
        <v>#N/A</v>
      </c>
      <c r="M22" s="215" t="s">
        <v>23</v>
      </c>
      <c r="N22" s="214">
        <v>700000</v>
      </c>
      <c r="O22" s="217">
        <v>170</v>
      </c>
      <c r="P22" s="218">
        <v>80</v>
      </c>
      <c r="Q22" s="219" t="e">
        <f t="shared" si="28"/>
        <v>#N/A</v>
      </c>
      <c r="R22" s="2"/>
      <c r="S22" s="220">
        <f>INDEX('[2]Flat Rates 2022'!$A:$DB,MATCH(U22,'[2]Flat Rates 2022'!$A:$A,0),MATCH(AA22,'[2]Flat Rates 2022'!$A$1:$DB$1,0))</f>
        <v>25.45</v>
      </c>
      <c r="T22" s="220">
        <f>INDEX(Control!$E$17:$J$21,MATCH(Z22,Control!$E$17:$E$21,0),MATCH(U22,Control!$E$17:$J$17,0))</f>
        <v>0.5</v>
      </c>
      <c r="U22" s="220" t="s">
        <v>63</v>
      </c>
      <c r="V22" s="221">
        <v>43430</v>
      </c>
      <c r="W22" s="221">
        <f t="shared" si="29"/>
        <v>43434</v>
      </c>
      <c r="X22" s="213">
        <f>INDEX(Vessel_Minimum_MT,MATCH(Z22,Control!$E$11:$E$15,0),MATCH(U22,Control!$E$11:$J$11,0))</f>
        <v>270000</v>
      </c>
      <c r="Y22" s="222">
        <f t="shared" si="30"/>
        <v>303010.10101010103</v>
      </c>
      <c r="Z22" s="215" t="s">
        <v>25</v>
      </c>
      <c r="AA22" s="223" t="s">
        <v>100</v>
      </c>
      <c r="AB22" s="212" t="str">
        <f t="shared" si="31"/>
        <v>Panama WC/KOREA</v>
      </c>
      <c r="AC22" s="214">
        <v>2000000</v>
      </c>
      <c r="AD22" s="214">
        <v>1001</v>
      </c>
      <c r="AE22" s="224">
        <v>2800000</v>
      </c>
      <c r="AF22" s="225">
        <f>IF($U22="Esmeraldas",IF(AD22&gt;1000,IF(AE22=0,AD22,AE22)/AC22*1.1,((X22*S22*(IF(AE22=0,AD22,AE22)/100))+IF(Y22&lt;X22,0,(Y22-X22)*S22*IF(AE22=0,AD22,AE22)/100*T22))/AC22*1.1),IF(AD22&gt;1000,IF(AE22=0,AD22,AE22)/AC22,((X22*S22*(IF(AE22=0,AD22,AE22)/100))+IF(Y22&lt;X22,0,(Y22-X22)*S22*IF(AE22=0,AD22,AE22)/100*T22))/AC22))</f>
        <v>1.4</v>
      </c>
      <c r="AG22" s="226">
        <v>2</v>
      </c>
      <c r="AH22" s="214" t="e">
        <f>INDEX('[1]Transit Time'!$A:$DC,MATCH(H22,'[1]Transit Time'!$A:$A,0),MATCH(K22,'[1]Transit Time'!$A$1:$DC$1,0))+INDEX('[1]Transit Time'!$A:$DC,MATCH(K22,'[1]Transit Time'!$A:$A,0),MATCH(U22,'[1]Transit Time'!$A$1:$DC$1,0))+INDEX('[1]Transit Time'!$A:$DC,MATCH(U22,'[1]Transit Time'!$A:$A,0),MATCH(AA22,'[1]Transit Time'!$A$1:$DC$1,0))-VLOOKUP($H22,Port_Info,4,FALSE)+VLOOKUP($AA22,Port_Info,4,FALSE)</f>
        <v>#N/A</v>
      </c>
      <c r="AI22" s="227">
        <f>AG22*VLOOKUP($Z22,$BH$7:$BJ$11,3,FALSE)/$AC22</f>
        <v>3.4000000000000002E-2</v>
      </c>
      <c r="AJ22" s="227" t="e">
        <f t="shared" si="32"/>
        <v>#N/A</v>
      </c>
      <c r="AK22" s="227"/>
      <c r="AL22" s="227">
        <f>IF(H22="Beaumont",$BF$8,0)</f>
        <v>0.09</v>
      </c>
      <c r="AM22" s="227">
        <v>0</v>
      </c>
      <c r="AN22" s="227">
        <f t="shared" si="33"/>
        <v>0.01</v>
      </c>
      <c r="AO22" s="227">
        <f t="shared" si="34"/>
        <v>0.01</v>
      </c>
      <c r="AP22" s="227">
        <f>IF(INDEX(Control!$Q$3:$S$62,MATCH($AA22,Control!$Q$3:$Q$62,0),MATCH(AP$6,Control!$Q$3:$S$3,0))=1,$BF$12*$BG$12,0)</f>
        <v>0.2</v>
      </c>
      <c r="AQ22" s="227" t="e">
        <f>IF(INDEX(Control!$Q$3:$S$62,MATCH($AA22,Control!$Q$3:$Q$62,0),MATCH(AQ$6,Control!$Q$3:$S$3,0))=1,$BF$13/$AC22,0)</f>
        <v>#N/A</v>
      </c>
      <c r="AR22" s="227">
        <f t="shared" si="35"/>
        <v>0</v>
      </c>
      <c r="AS22" s="227">
        <f>IF(AND(K22="Chiriqui Grande",U22="Puerto Armuelles"),$BI$16,0)</f>
        <v>0.55000000000000004</v>
      </c>
      <c r="AT22" s="225" t="e">
        <f t="shared" si="36"/>
        <v>#N/A</v>
      </c>
      <c r="AU22" s="225" t="e">
        <f>+Q22+AF22+AT22</f>
        <v>#N/A</v>
      </c>
      <c r="AV22" s="225">
        <f>IF(MONTH(BB22)-MONTH(B22)=1,$AV$3,IF(MONTH(BB22)-MONTH(B22)=0,0,$AV$3+$AW$3))</f>
        <v>0.09</v>
      </c>
      <c r="AW22" s="135" t="e">
        <f t="shared" ref="AW22" si="37">$M$3+AU22+AV22</f>
        <v>#N/A</v>
      </c>
      <c r="AX22" s="220"/>
      <c r="AY22" s="229">
        <f>INDEX('[1]Transit Time'!$A:$DC,MATCH(H22,'[1]Transit Time'!$A:$A,0),MATCH(K22,'[1]Transit Time'!$A$1:$DC$1,0))+INDEX('[1]Transit Time'!$A:$DC,MATCH(K22,'[1]Transit Time'!$A:$A,0),MATCH(U22,'[1]Transit Time'!$A$1:$DC$1,0))+INDEX('[1]Transit Time'!$A:$DC,MATCH(U22,'[1]Transit Time'!$A:$A,0),MATCH(AA22,'[1]Transit Time'!$A$1:$DC$1,0))</f>
        <v>46</v>
      </c>
      <c r="AZ22" s="220"/>
      <c r="BA22" s="230">
        <f>IF(ISBLANK(B22),"",B22+$AY22)</f>
        <v>44299</v>
      </c>
      <c r="BB22" s="230">
        <f>IFERROR(IF(ISBLANK(C22),"",C22+$AY22),"")</f>
        <v>44301</v>
      </c>
      <c r="BC22"/>
    </row>
    <row r="23" spans="1:67" ht="17.25" customHeight="1" thickBot="1" x14ac:dyDescent="0.5">
      <c r="B23"/>
      <c r="C23"/>
      <c r="E23" s="1044"/>
      <c r="F23" s="1045"/>
      <c r="G23" s="1045"/>
      <c r="H23" s="1045"/>
      <c r="I23" s="1045"/>
      <c r="J23" s="1045"/>
      <c r="K23" s="1045"/>
      <c r="L23" s="1045"/>
      <c r="M23" s="1045"/>
      <c r="N23" s="1045"/>
      <c r="O23" s="1045"/>
      <c r="P23" s="1045"/>
      <c r="Q23" s="1045"/>
      <c r="R23" s="2"/>
      <c r="S23" s="9"/>
      <c r="T23" s="9"/>
      <c r="U23" s="9"/>
      <c r="V23" s="9"/>
      <c r="W23" s="9"/>
      <c r="X23" s="129"/>
      <c r="Y23" s="9"/>
      <c r="Z23" s="1044" t="s">
        <v>295</v>
      </c>
      <c r="AA23" s="1045"/>
      <c r="AB23" s="1045"/>
      <c r="AC23" s="1045"/>
      <c r="AD23" s="1045"/>
      <c r="AE23" s="1045"/>
      <c r="AF23" s="1045"/>
      <c r="AG23" s="1045"/>
      <c r="AH23" s="1045"/>
      <c r="AI23" s="1045"/>
      <c r="AJ23" s="1045"/>
      <c r="AK23" s="1045"/>
      <c r="AL23" s="1045"/>
      <c r="AM23" s="1045"/>
      <c r="AN23" s="1045"/>
      <c r="AO23" s="1045"/>
      <c r="AP23" s="1045"/>
      <c r="AQ23" s="1045"/>
      <c r="AR23" s="1045"/>
      <c r="AS23" s="1045"/>
      <c r="AT23" s="1045"/>
      <c r="AU23" s="1045"/>
      <c r="AV23" s="1045"/>
      <c r="AW23" s="1046"/>
      <c r="AY23"/>
      <c r="BA23"/>
      <c r="BB23"/>
    </row>
    <row r="24" spans="1:67" ht="29.5" customHeight="1" x14ac:dyDescent="0.35">
      <c r="B24" s="1005" t="s">
        <v>167</v>
      </c>
      <c r="C24" s="1005"/>
      <c r="E24" s="120" t="s">
        <v>276</v>
      </c>
      <c r="F24" s="152" t="s">
        <v>172</v>
      </c>
      <c r="G24" s="152" t="s">
        <v>2</v>
      </c>
      <c r="H24" s="152" t="s">
        <v>173</v>
      </c>
      <c r="I24" s="152" t="s">
        <v>174</v>
      </c>
      <c r="J24" s="125" t="s">
        <v>175</v>
      </c>
      <c r="K24" s="152" t="s">
        <v>177</v>
      </c>
      <c r="L24" s="152" t="s">
        <v>178</v>
      </c>
      <c r="M24" s="122" t="s">
        <v>176</v>
      </c>
      <c r="N24" s="120" t="s">
        <v>200</v>
      </c>
      <c r="O24" s="120" t="s">
        <v>277</v>
      </c>
      <c r="P24" s="121" t="s">
        <v>202</v>
      </c>
      <c r="Q24" s="123" t="s">
        <v>291</v>
      </c>
      <c r="R24" s="2"/>
      <c r="S24" s="120" t="s">
        <v>172</v>
      </c>
      <c r="T24" s="120" t="e">
        <f>INDEX(Control!$E$17:$J$21,MATCH(Z24,Control!$E$17:$E$21,0),MATCH(U24,Control!$E$17:$J$17,0))</f>
        <v>#N/A</v>
      </c>
      <c r="U24" s="120" t="s">
        <v>173</v>
      </c>
      <c r="V24" s="120" t="s">
        <v>167</v>
      </c>
      <c r="W24" s="120"/>
      <c r="X24" s="152" t="str">
        <f>$X$6</f>
        <v>Vessel MT</v>
      </c>
      <c r="Y24" s="120" t="s">
        <v>175</v>
      </c>
      <c r="Z24" s="120" t="s">
        <v>176</v>
      </c>
      <c r="AA24" s="120" t="s">
        <v>177</v>
      </c>
      <c r="AB24" s="120" t="s">
        <v>178</v>
      </c>
      <c r="AC24" s="120" t="s">
        <v>200</v>
      </c>
      <c r="AD24" s="146" t="s">
        <v>201</v>
      </c>
      <c r="AE24" s="128" t="s">
        <v>202</v>
      </c>
      <c r="AF24" s="150" t="s">
        <v>182</v>
      </c>
      <c r="AG24" s="136" t="s">
        <v>137</v>
      </c>
      <c r="AH24" s="146" t="s">
        <v>281</v>
      </c>
      <c r="AI24" s="136" t="s">
        <v>184</v>
      </c>
      <c r="AJ24" s="136" t="s">
        <v>140</v>
      </c>
      <c r="AK24" s="136" t="str">
        <f>AK20</f>
        <v>STS</v>
      </c>
      <c r="AL24" s="136" t="s">
        <v>186</v>
      </c>
      <c r="AM24" s="136" t="s">
        <v>187</v>
      </c>
      <c r="AN24" s="136" t="s">
        <v>141</v>
      </c>
      <c r="AO24" s="136" t="s">
        <v>188</v>
      </c>
      <c r="AP24" s="136" t="s">
        <v>17</v>
      </c>
      <c r="AQ24" s="136" t="s">
        <v>207</v>
      </c>
      <c r="AR24" s="136" t="s">
        <v>189</v>
      </c>
      <c r="AS24" s="136" t="s">
        <v>152</v>
      </c>
      <c r="AT24" s="150" t="s">
        <v>208</v>
      </c>
      <c r="AU24" s="150" t="s">
        <v>209</v>
      </c>
      <c r="AV24" s="150" t="s">
        <v>210</v>
      </c>
      <c r="AW24" s="137" t="s">
        <v>211</v>
      </c>
      <c r="AY24" s="137" t="s">
        <v>195</v>
      </c>
      <c r="BA24" s="1011" t="s">
        <v>196</v>
      </c>
      <c r="BB24" s="1011"/>
      <c r="BD24" s="118"/>
      <c r="BF24" s="277"/>
      <c r="BL24" s="132"/>
      <c r="BM24" s="127"/>
      <c r="BN24" s="132"/>
      <c r="BO24" s="132"/>
    </row>
    <row r="25" spans="1:67" x14ac:dyDescent="0.35">
      <c r="B25" s="163">
        <f t="shared" ref="B25:B34" si="38">+$B$7</f>
        <v>44253</v>
      </c>
      <c r="C25" s="163">
        <f t="shared" ref="C25:C34" si="39">IF(ISBLANK(B25),"",B25+2)</f>
        <v>44255</v>
      </c>
      <c r="E25" s="170"/>
      <c r="F25" s="171">
        <f>IF(H25=K25,0,INDEX('[2]Flat Rates 2022'!$A:$DB,MATCH(H25,'[2]Flat Rates 2022'!$A:$A,0),MATCH(K25,'[2]Flat Rates 2022'!$A$1:$DB$1,0)))</f>
        <v>0</v>
      </c>
      <c r="G25" s="171" t="e">
        <f>INDEX(Control!$E$17:$J$21,MATCH(M25,Control!$E$17:$E$21,0),MATCH(H25,Control!$E$17:$J$17,0))</f>
        <v>#N/A</v>
      </c>
      <c r="H25" s="171" t="s">
        <v>46</v>
      </c>
      <c r="I25" s="172" t="e">
        <f>INDEX(Vessel_Minimum_MT,MATCH(M25,Control!$E$11:$E$15,0),MATCH(H25,Control!$E$11:$J$11,0))</f>
        <v>#N/A</v>
      </c>
      <c r="J25" s="172">
        <f t="shared" ref="J25:J34" si="40">N25/$BF$15</f>
        <v>106053.53535353536</v>
      </c>
      <c r="K25" s="173" t="s">
        <v>46</v>
      </c>
      <c r="L25" s="171" t="str">
        <f t="shared" ref="L25:L34" si="41">IF(K25=H25,"",CONCATENATE(CONCATENATE(VLOOKUP(H25,Zones,2,FALSE),"/",VLOOKUP(K25,Zones,2,FALSE))))</f>
        <v/>
      </c>
      <c r="M25" s="174" t="s">
        <v>23</v>
      </c>
      <c r="N25" s="175">
        <v>700000</v>
      </c>
      <c r="O25" s="176">
        <v>0</v>
      </c>
      <c r="P25" s="177">
        <v>0</v>
      </c>
      <c r="Q25" s="178" t="e">
        <f t="shared" ref="Q25:Q34" si="42">IF($H25="Esmeraldas",IF(O25&gt;1000,IF(P25=0,O25,P25)/N25*1.1,((I25*F25*(IF(P25=0,O25,P25)/100))+IF(J25&lt;I25,0,(J25-I25)*F25*IF(P25=0,O25,P25)/100*G25))/N25*1.1),IF(O25&gt;1000,IF(P25=0,O25,P25)/N25,((I25*F25*(IF(P25=0,O25,P25)/100))+IF(J25&lt;I25,0,(J25-I25)*F25*IF(P25=0,O25,P25)/100*G25)))/N25)</f>
        <v>#N/A</v>
      </c>
      <c r="R25" s="2"/>
      <c r="S25" s="138">
        <f>INDEX('[2]Flat Rates 2022'!$A:$DB,MATCH(U25,'[2]Flat Rates 2022'!$A:$A,0),MATCH(AA25,'[2]Flat Rates 2022'!$A$1:$DB$1,0))</f>
        <v>0</v>
      </c>
      <c r="T25" s="138" t="e">
        <f>INDEX(Control!$E$17:$J$21,MATCH(Z25,Control!$E$17:$E$21,0),MATCH(U25,Control!$E$17:$J$17,0))</f>
        <v>#N/A</v>
      </c>
      <c r="U25" s="138" t="s">
        <v>46</v>
      </c>
      <c r="V25" s="139">
        <v>43430</v>
      </c>
      <c r="W25" s="139">
        <f t="shared" ref="W25:W34" si="43">+V25+4</f>
        <v>43434</v>
      </c>
      <c r="X25" s="116" t="e">
        <f>INDEX(Vessel_Minimum_MT,MATCH(Z25,Control!$E$11:$E$15,0),MATCH(U25,Control!$E$11:$J$11,0))</f>
        <v>#N/A</v>
      </c>
      <c r="Y25" s="140">
        <f t="shared" ref="Y25:Y34" si="44">AC25/$BF$15</f>
        <v>143929.79797979799</v>
      </c>
      <c r="Z25" s="147" t="s">
        <v>24</v>
      </c>
      <c r="AA25" s="164" t="s">
        <v>100</v>
      </c>
      <c r="AB25" s="142" t="e">
        <f t="shared" ref="AB25:AB34" si="45">IF(AA25=U25,"",CONCATENATE(CONCATENATE(VLOOKUP(U25,Zones,2,FALSE),"/",VLOOKUP(AA25,Zones,2,FALSE))))</f>
        <v>#N/A</v>
      </c>
      <c r="AC25" s="141">
        <v>950000</v>
      </c>
      <c r="AD25" s="141">
        <v>1001</v>
      </c>
      <c r="AE25" s="151">
        <f>AE29</f>
        <v>2900000</v>
      </c>
      <c r="AF25" s="148">
        <f t="shared" ref="AF25:AF34" si="46">IF($U25="Esmeraldas",IF(AD25&gt;1000,IF(AE25=0,AD25,AE25)/AC25*1.1,((X25*S25*(IF(AE25=0,AD25,AE25)/100))+IF(Y25&lt;X25,0,(Y25-X25)*S25*IF(AE25=0,AD25,AE25)/100*T25))/AC25*1.1),IF(AD25&gt;1000,IF(AE25=0,AD25,AE25)/AC25,((X25*S25*(IF(AE25=0,AD25,AE25)/100))+IF(Y25&lt;X25,0,(Y25-X25)*S25*IF(AE25=0,AD25,AE25)/100*T25))/AC25))</f>
        <v>3.0526315789473686</v>
      </c>
      <c r="AG25" s="144">
        <v>10</v>
      </c>
      <c r="AH25" s="155" t="e">
        <f>IF(INDEX(Index,MATCH(AA25,TVM_PortList,0),MATCH("Type",Control!$Q$3:$U$3,0))="BL",INDEX(Index,MATCH(AA25,TVM_PortList,0),MATCH("Payment",Control!$Q$3:$U$3,0))-INDEX(Index,MATCH(U25,TVM_PortList,0),MATCH("Payment",Control!$Q$3:$U$3,0)),AY25+INDEX(Index,MATCH(AA25,TVM_PortList,0),MATCH("Payment",Control!$Q$3:$U$3,0))-INDEX(Index,MATCH(U25,TVM_PortList,0),MATCH("Payment",Control!$Q$3:$U$3,0)))</f>
        <v>#N/A</v>
      </c>
      <c r="AI25" s="143">
        <f t="shared" ref="AI25:AI34" si="47">AG25*VLOOKUP($Z25,$BH$7:$BJ$11,3,FALSE)/$AC25</f>
        <v>0.26315789473684209</v>
      </c>
      <c r="AJ25" s="143" t="e">
        <f t="shared" ref="AJ25:AJ34" si="48">IF(AH25&lt;0,0,$AH25*$BF$9)</f>
        <v>#N/A</v>
      </c>
      <c r="AK25" s="143">
        <f t="shared" ref="AK25" si="49">IF(((AC25-VLOOKUP(Z25,$BL$8:$BM$12,2,FALSE))/$BF$16)&lt;=0,0,ROUNDUP(((AC25-VLOOKUP(Z25,$BL$8:$BM$12,2,FALSE))/$BF$16),0)*$BJ$13/AC25)</f>
        <v>1.9473684210526316</v>
      </c>
      <c r="AL25" s="143">
        <f t="shared" ref="AL25:AL34" si="50">IF(H25="Beaumont",$BF$8,0)</f>
        <v>0.09</v>
      </c>
      <c r="AM25" s="143">
        <v>0</v>
      </c>
      <c r="AN25" s="143">
        <f t="shared" ref="AN25:AN34" si="51">$BF$10</f>
        <v>0.01</v>
      </c>
      <c r="AO25" s="143">
        <f t="shared" ref="AO25:AO34" si="52">$BF$11</f>
        <v>0.01</v>
      </c>
      <c r="AP25" s="143">
        <f>IF(INDEX(Control!$Q$3:$S$62,MATCH($AA25,Control!$Q$3:$Q$62,0),MATCH(AP$6,Control!$Q$3:$S$3,0))=1,$BF$12*$BG$12,0)</f>
        <v>0.2</v>
      </c>
      <c r="AQ25" s="143" t="e">
        <f>IF(INDEX(Control!$Q$3:$S$62,MATCH($AA25,Control!$Q$3:$Q$62,0),MATCH(AQ$6,Control!$Q$3:$S$3,0))=1,$BF$13/$AC25,0)</f>
        <v>#N/A</v>
      </c>
      <c r="AR25" s="143">
        <f t="shared" ref="AR25:AR34" si="53">$BF$14</f>
        <v>0</v>
      </c>
      <c r="AS25" s="143">
        <f t="shared" ref="AS25:AS34" si="54">IF(AND(K25="Chiriqui Grande",U25="Puerto Armuelles"),$BI$16,0)</f>
        <v>0</v>
      </c>
      <c r="AT25" s="149" t="e">
        <f t="shared" ref="AT25:AT33" si="55">SUM(AI25:AS25)</f>
        <v>#N/A</v>
      </c>
      <c r="AU25" s="149" t="e">
        <f t="shared" ref="AU25:AU34" si="56">+Q25+AF25+AT25</f>
        <v>#N/A</v>
      </c>
      <c r="AV25" s="149">
        <f t="shared" ref="AV25:AV34" si="57">IF(MONTH(BB25)-MONTH(B25)=1,$AV$3,IF(MONTH(BB25)-MONTH(B25)=0,0,$AV$3+$AW$3))</f>
        <v>0.09</v>
      </c>
      <c r="AW25" s="110" t="e">
        <f t="shared" ref="AW25:AW34" si="58">$M$3+AU25+AV25</f>
        <v>#N/A</v>
      </c>
      <c r="AY25" s="153">
        <f>INDEX('[1]Transit Time'!$A:$DC,MATCH(H25,'[1]Transit Time'!$A:$A,0),MATCH(K25,'[1]Transit Time'!$A$1:$DC$1,0))+INDEX('[1]Transit Time'!$A:$DC,MATCH(K25,'[1]Transit Time'!$A:$A,0),MATCH(U25,'[1]Transit Time'!$A$1:$DC$1,0))+INDEX('[1]Transit Time'!$A:$DC,MATCH(U25,'[1]Transit Time'!$A:$A,0),MATCH(AA25,'[1]Transit Time'!$A$1:$DC$1,0))</f>
        <v>51</v>
      </c>
      <c r="BA25" s="163">
        <f t="shared" ref="BA25:BA34" si="59">IF(ISBLANK(B25),"",B25+$AY25)</f>
        <v>44304</v>
      </c>
      <c r="BB25" s="163">
        <f t="shared" ref="BB25:BB34" si="60">IFERROR(IF(ISBLANK(C25),"",C25+$AY25),"")</f>
        <v>44306</v>
      </c>
      <c r="BD25" s="133"/>
      <c r="BE25" s="133"/>
      <c r="BF25" s="154"/>
      <c r="BG25" s="154"/>
    </row>
    <row r="26" spans="1:67" s="165" customFormat="1" x14ac:dyDescent="0.35">
      <c r="A26" s="2"/>
      <c r="B26" s="230">
        <f t="shared" si="38"/>
        <v>44253</v>
      </c>
      <c r="C26" s="230">
        <f t="shared" si="39"/>
        <v>44255</v>
      </c>
      <c r="D26" s="210"/>
      <c r="E26" s="232"/>
      <c r="F26" s="233">
        <f>IF(H26=K26,0,INDEX('[2]Flat Rates 2022'!$A:$DB,MATCH(H26,'[2]Flat Rates 2022'!$A:$A,0),MATCH(K26,'[2]Flat Rates 2022'!$A$1:$DB$1,0)))</f>
        <v>0</v>
      </c>
      <c r="G26" s="233" t="e">
        <f>INDEX(Control!$E$17:$J$21,MATCH(M26,Control!$E$17:$E$21,0),MATCH(H26,Control!$E$17:$J$17,0))</f>
        <v>#N/A</v>
      </c>
      <c r="H26" s="233" t="s">
        <v>46</v>
      </c>
      <c r="I26" s="234" t="e">
        <f>INDEX(Vessel_Minimum_MT,MATCH(M26,Control!$E$11:$E$15,0),MATCH(H26,Control!$E$11:$J$11,0))</f>
        <v>#N/A</v>
      </c>
      <c r="J26" s="235">
        <f t="shared" si="40"/>
        <v>106053.53535353536</v>
      </c>
      <c r="K26" s="233" t="s">
        <v>46</v>
      </c>
      <c r="L26" s="233" t="str">
        <f t="shared" si="41"/>
        <v/>
      </c>
      <c r="M26" s="236" t="s">
        <v>23</v>
      </c>
      <c r="N26" s="235">
        <v>700000</v>
      </c>
      <c r="O26" s="237">
        <v>0</v>
      </c>
      <c r="P26" s="238">
        <v>0</v>
      </c>
      <c r="Q26" s="239" t="e">
        <f t="shared" si="42"/>
        <v>#N/A</v>
      </c>
      <c r="R26" s="2"/>
      <c r="S26" s="220">
        <f>INDEX('[2]Flat Rates 2022'!$A:$DB,MATCH(U26,'[2]Flat Rates 2022'!$A:$A,0),MATCH(AA26,'[2]Flat Rates 2022'!$A$1:$DB$1,0))</f>
        <v>0</v>
      </c>
      <c r="T26" s="220" t="e">
        <f>INDEX(Control!$E$17:$J$21,MATCH(Z26,Control!$E$17:$E$21,0),MATCH(U26,Control!$E$17:$J$17,0))</f>
        <v>#N/A</v>
      </c>
      <c r="U26" s="220" t="s">
        <v>46</v>
      </c>
      <c r="V26" s="221">
        <v>43430</v>
      </c>
      <c r="W26" s="221">
        <f t="shared" si="43"/>
        <v>43434</v>
      </c>
      <c r="X26" s="213" t="e">
        <f>INDEX(Vessel_Minimum_MT,MATCH(Z26,Control!$E$11:$E$15,0),MATCH(U26,Control!$E$11:$J$11,0))</f>
        <v>#N/A</v>
      </c>
      <c r="Y26" s="222">
        <f t="shared" si="44"/>
        <v>272709.09090909094</v>
      </c>
      <c r="Z26" s="215" t="s">
        <v>25</v>
      </c>
      <c r="AA26" s="223" t="s">
        <v>100</v>
      </c>
      <c r="AB26" s="212" t="e">
        <f t="shared" si="45"/>
        <v>#N/A</v>
      </c>
      <c r="AC26" s="214">
        <v>1800000</v>
      </c>
      <c r="AD26" s="214">
        <f>AD28</f>
        <v>1001</v>
      </c>
      <c r="AE26" s="224">
        <f>AE30</f>
        <v>4900000</v>
      </c>
      <c r="AF26" s="225">
        <f t="shared" si="46"/>
        <v>2.7222222222222223</v>
      </c>
      <c r="AG26" s="226">
        <v>10</v>
      </c>
      <c r="AH26" s="214" t="e">
        <f>IF(INDEX(Index,MATCH(AA26,TVM_PortList,0),MATCH("Type",Control!$Q$3:$U$3,0))="BL",INDEX(Index,MATCH(AA26,TVM_PortList,0),MATCH("Payment",Control!$Q$3:$U$3,0))-INDEX(Index,MATCH(U26,TVM_PortList,0),MATCH("Payment",Control!$Q$3:$U$3,0)),AY26+INDEX(Index,MATCH(AA26,TVM_PortList,0),MATCH("Payment",Control!$Q$3:$U$3,0))-INDEX(Index,MATCH(U26,TVM_PortList,0),MATCH("Payment",Control!$Q$3:$U$3,0)))</f>
        <v>#N/A</v>
      </c>
      <c r="AI26" s="227">
        <f t="shared" si="47"/>
        <v>0.18888888888888888</v>
      </c>
      <c r="AJ26" s="227" t="e">
        <f t="shared" si="48"/>
        <v>#N/A</v>
      </c>
      <c r="AK26" s="227">
        <f>IF(((AC26-VLOOKUP(Z26,$BL$8:$BM$12,2,FALSE))/$BF$16)&lt;=0,0,ROUNDUP(((AC26-VLOOKUP(Z26,$BL$8:$BM$12,2,FALSE))/$BF$16),0)*$BJ$13/AC26)</f>
        <v>3.0833333333333335</v>
      </c>
      <c r="AL26" s="227">
        <f t="shared" si="50"/>
        <v>0.09</v>
      </c>
      <c r="AM26" s="227">
        <v>0</v>
      </c>
      <c r="AN26" s="227">
        <f t="shared" si="51"/>
        <v>0.01</v>
      </c>
      <c r="AO26" s="227">
        <f t="shared" si="52"/>
        <v>0.01</v>
      </c>
      <c r="AP26" s="227">
        <f>IF(INDEX(Control!$Q$3:$S$62,MATCH($AA26,Control!$Q$3:$Q$62,0),MATCH(AP$6,Control!$Q$3:$S$3,0))=1,$BF$12*$BG$12,0)</f>
        <v>0.2</v>
      </c>
      <c r="AQ26" s="227" t="e">
        <f>IF(INDEX(Control!$Q$3:$S$62,MATCH($AA26,Control!$Q$3:$Q$62,0),MATCH(AQ$6,Control!$Q$3:$S$3,0))=1,$BF$13/$AC26,0)</f>
        <v>#N/A</v>
      </c>
      <c r="AR26" s="227">
        <f t="shared" si="53"/>
        <v>0</v>
      </c>
      <c r="AS26" s="227">
        <f t="shared" si="54"/>
        <v>0</v>
      </c>
      <c r="AT26" s="225" t="e">
        <f t="shared" si="55"/>
        <v>#N/A</v>
      </c>
      <c r="AU26" s="225" t="e">
        <f t="shared" si="56"/>
        <v>#N/A</v>
      </c>
      <c r="AV26" s="225">
        <f t="shared" si="57"/>
        <v>0.09</v>
      </c>
      <c r="AW26" s="135" t="e">
        <f t="shared" si="58"/>
        <v>#N/A</v>
      </c>
      <c r="AX26" s="220"/>
      <c r="AY26" s="229">
        <f>INDEX('[1]Transit Time'!$A:$DC,MATCH(H26,'[1]Transit Time'!$A:$A,0),MATCH(K26,'[1]Transit Time'!$A$1:$DC$1,0))+INDEX('[1]Transit Time'!$A:$DC,MATCH(K26,'[1]Transit Time'!$A:$A,0),MATCH(U26,'[1]Transit Time'!$A$1:$DC$1,0))+INDEX('[1]Transit Time'!$A:$DC,MATCH(U26,'[1]Transit Time'!$A:$A,0),MATCH(AA26,'[1]Transit Time'!$A$1:$DC$1,0))</f>
        <v>51</v>
      </c>
      <c r="AZ26" s="220"/>
      <c r="BA26" s="230">
        <f t="shared" si="59"/>
        <v>44304</v>
      </c>
      <c r="BB26" s="230">
        <f t="shared" si="60"/>
        <v>44306</v>
      </c>
      <c r="BC26">
        <f>IF(((AC26-VLOOKUP(Z26,$BL$8:$BM$12,2,FALSE))/$BF$16)&lt;=0,0,ROUNDUP(((AC26-VLOOKUP(Z26,$BL$8:$BM$12,2,FALSE))/$BF$16),0)*$BJ$13/AC26)</f>
        <v>3.0833333333333335</v>
      </c>
    </row>
    <row r="27" spans="1:67" ht="16" thickBot="1" x14ac:dyDescent="0.4">
      <c r="B27" s="163">
        <f t="shared" si="38"/>
        <v>44253</v>
      </c>
      <c r="C27" s="163">
        <f t="shared" si="39"/>
        <v>44255</v>
      </c>
      <c r="E27" s="170"/>
      <c r="F27" s="173">
        <f>IF(H27=K27,0,INDEX('[2]Flat Rates 2022'!$A:$DB,MATCH(H27,'[2]Flat Rates 2022'!$A:$A,0),MATCH(K27,'[2]Flat Rates 2022'!$A$1:$DB$1,0)))</f>
        <v>0</v>
      </c>
      <c r="G27" s="173" t="e">
        <f>INDEX(Control!$E$17:$J$21,MATCH(M27,Control!$E$17:$E$21,0),MATCH(H27,Control!$E$17:$J$17,0))</f>
        <v>#N/A</v>
      </c>
      <c r="H27" s="173" t="str">
        <f t="shared" ref="H27:H34" si="61">$H$7</f>
        <v>Beaumont</v>
      </c>
      <c r="I27" s="172" t="e">
        <f>INDEX(Vessel_Minimum_MT,MATCH(M27,Control!$E$11:$E$15,0),MATCH(H27,Control!$E$11:$J$11,0))</f>
        <v>#N/A</v>
      </c>
      <c r="J27" s="175">
        <f t="shared" si="40"/>
        <v>106053.53535353536</v>
      </c>
      <c r="K27" s="173" t="s">
        <v>46</v>
      </c>
      <c r="L27" s="173" t="str">
        <f t="shared" si="41"/>
        <v/>
      </c>
      <c r="M27" s="174" t="s">
        <v>23</v>
      </c>
      <c r="N27" s="175">
        <v>700000</v>
      </c>
      <c r="O27" s="179">
        <v>0</v>
      </c>
      <c r="P27" s="180">
        <v>0</v>
      </c>
      <c r="Q27" s="178" t="e">
        <f t="shared" si="42"/>
        <v>#N/A</v>
      </c>
      <c r="R27" s="2"/>
      <c r="S27" s="138">
        <f>INDEX('[2]Flat Rates 2022'!$A:$DB,MATCH(U27,'[2]Flat Rates 2022'!$A:$A,0),MATCH(AA27,'[2]Flat Rates 2022'!$A$1:$DB$1,0))</f>
        <v>0</v>
      </c>
      <c r="T27" s="138" t="e">
        <f>INDEX(Control!$E$17:$J$21,MATCH(Z27,Control!$E$17:$E$21,0),MATCH(U27,Control!$E$17:$J$17,0))</f>
        <v>#N/A</v>
      </c>
      <c r="U27" s="138" t="s">
        <v>46</v>
      </c>
      <c r="V27" s="139">
        <v>43430</v>
      </c>
      <c r="W27" s="139">
        <f t="shared" si="43"/>
        <v>43434</v>
      </c>
      <c r="X27" s="116" t="e">
        <f>INDEX(Vessel_Minimum_MT,MATCH(Z27,Control!$E$11:$E$15,0),MATCH(U27,Control!$E$11:$J$11,0))</f>
        <v>#N/A</v>
      </c>
      <c r="Y27" s="140">
        <f t="shared" si="44"/>
        <v>143929.79797979799</v>
      </c>
      <c r="Z27" s="147" t="s">
        <v>24</v>
      </c>
      <c r="AA27" s="164" t="s">
        <v>51</v>
      </c>
      <c r="AB27" s="142" t="e">
        <f t="shared" si="45"/>
        <v>#N/A</v>
      </c>
      <c r="AC27" s="141">
        <v>950000</v>
      </c>
      <c r="AD27" s="141">
        <v>1001</v>
      </c>
      <c r="AE27" s="49">
        <f>AE29</f>
        <v>2900000</v>
      </c>
      <c r="AF27" s="149">
        <f t="shared" si="46"/>
        <v>3.0526315789473686</v>
      </c>
      <c r="AG27" s="144">
        <v>10</v>
      </c>
      <c r="AH27" s="141" t="e">
        <f>IF(INDEX(Index,MATCH(AA27,TVM_PortList,0),MATCH("Type",Control!$Q$3:$U$3,0))="BL",INDEX(Index,MATCH(AA27,TVM_PortList,0),MATCH("Payment",Control!$Q$3:$U$3,0))-INDEX(Index,MATCH(U27,TVM_PortList,0),MATCH("Payment",Control!$Q$3:$U$3,0)),AY27+INDEX(Index,MATCH(AA27,TVM_PortList,0),MATCH("Payment",Control!$Q$3:$U$3,0))-INDEX(Index,MATCH(U27,TVM_PortList,0),MATCH("Payment",Control!$Q$3:$U$3,0)))</f>
        <v>#N/A</v>
      </c>
      <c r="AI27" s="143">
        <f t="shared" si="47"/>
        <v>0.26315789473684209</v>
      </c>
      <c r="AJ27" s="143" t="e">
        <f t="shared" si="48"/>
        <v>#N/A</v>
      </c>
      <c r="AK27" s="143">
        <f>IF(((AC27-VLOOKUP(Z27,$BL$8:$BM$12,2,FALSE))/$BF$16)&lt;=0,0,ROUNDUP(((AC27-VLOOKUP(Z27,$BL$8:$BM$12,2,FALSE))/$BF$16),0)*$BJ$13/AC27)</f>
        <v>1.9473684210526316</v>
      </c>
      <c r="AL27" s="143">
        <f t="shared" si="50"/>
        <v>0.09</v>
      </c>
      <c r="AM27" s="143">
        <v>0</v>
      </c>
      <c r="AN27" s="143">
        <f t="shared" si="51"/>
        <v>0.01</v>
      </c>
      <c r="AO27" s="143">
        <f t="shared" si="52"/>
        <v>0.01</v>
      </c>
      <c r="AP27" s="143">
        <f>IF(INDEX(Control!$Q$3:$S$62,MATCH($AA27,Control!$Q$3:$Q$62,0),MATCH(AP$6,Control!$Q$3:$S$3,0))=1,$BF$12*$BG$12,0)</f>
        <v>0.2</v>
      </c>
      <c r="AQ27" s="143" t="e">
        <f>IF(INDEX(Control!$Q$3:$S$62,MATCH($AA27,Control!$Q$3:$Q$62,0),MATCH(AQ$6,Control!$Q$3:$S$3,0))=1,$BF$13/$AC27,0)</f>
        <v>#N/A</v>
      </c>
      <c r="AR27" s="143">
        <f t="shared" si="53"/>
        <v>0</v>
      </c>
      <c r="AS27" s="143">
        <f t="shared" si="54"/>
        <v>0</v>
      </c>
      <c r="AT27" s="149" t="e">
        <f t="shared" si="55"/>
        <v>#N/A</v>
      </c>
      <c r="AU27" s="200" t="e">
        <f t="shared" si="56"/>
        <v>#N/A</v>
      </c>
      <c r="AV27" s="149">
        <f t="shared" si="57"/>
        <v>0.09</v>
      </c>
      <c r="AW27" s="145" t="e">
        <f t="shared" si="58"/>
        <v>#N/A</v>
      </c>
      <c r="AY27" s="153">
        <f>INDEX('[1]Transit Time'!$A:$DC,MATCH(H27,'[1]Transit Time'!$A:$A,0),MATCH(K27,'[1]Transit Time'!$A$1:$DC$1,0))+INDEX('[1]Transit Time'!$A:$DC,MATCH(K27,'[1]Transit Time'!$A:$A,0),MATCH(U27,'[1]Transit Time'!$A$1:$DC$1,0))+INDEX('[1]Transit Time'!$A:$DC,MATCH(U27,'[1]Transit Time'!$A:$A,0),MATCH(AA27,'[1]Transit Time'!$A$1:$DC$1,0))</f>
        <v>52</v>
      </c>
      <c r="BA27" s="163">
        <f t="shared" si="59"/>
        <v>44305</v>
      </c>
      <c r="BB27" s="163">
        <f t="shared" si="60"/>
        <v>44307</v>
      </c>
    </row>
    <row r="28" spans="1:67" s="165" customFormat="1" ht="16" thickBot="1" x14ac:dyDescent="0.4">
      <c r="A28" s="2"/>
      <c r="B28" s="230">
        <f t="shared" si="38"/>
        <v>44253</v>
      </c>
      <c r="C28" s="230">
        <f t="shared" si="39"/>
        <v>44255</v>
      </c>
      <c r="D28" s="210"/>
      <c r="E28" s="232"/>
      <c r="F28" s="233">
        <f>IF(H28=K28,0,INDEX('[2]Flat Rates 2022'!$A:$DB,MATCH(H28,'[2]Flat Rates 2022'!$A:$A,0),MATCH(K28,'[2]Flat Rates 2022'!$A$1:$DB$1,0)))</f>
        <v>0</v>
      </c>
      <c r="G28" s="233" t="e">
        <f>INDEX(Control!$E$17:$J$21,MATCH(M28,Control!$E$17:$E$21,0),MATCH(H28,Control!$E$17:$J$17,0))</f>
        <v>#N/A</v>
      </c>
      <c r="H28" s="233" t="str">
        <f t="shared" si="61"/>
        <v>Beaumont</v>
      </c>
      <c r="I28" s="234" t="e">
        <f>INDEX(Vessel_Minimum_MT,MATCH(M28,Control!$E$11:$E$15,0),MATCH(H28,Control!$E$11:$J$11,0))</f>
        <v>#N/A</v>
      </c>
      <c r="J28" s="235">
        <f t="shared" si="40"/>
        <v>106053.53535353536</v>
      </c>
      <c r="K28" s="233" t="s">
        <v>46</v>
      </c>
      <c r="L28" s="233" t="str">
        <f t="shared" si="41"/>
        <v/>
      </c>
      <c r="M28" s="236" t="s">
        <v>23</v>
      </c>
      <c r="N28" s="235">
        <v>700000</v>
      </c>
      <c r="O28" s="237">
        <v>0</v>
      </c>
      <c r="P28" s="238">
        <v>0</v>
      </c>
      <c r="Q28" s="239" t="e">
        <f t="shared" si="42"/>
        <v>#N/A</v>
      </c>
      <c r="R28" s="2"/>
      <c r="S28" s="220">
        <f>INDEX('[2]Flat Rates 2022'!$A:$DB,MATCH(U28,'[2]Flat Rates 2022'!$A:$A,0),MATCH(AA28,'[2]Flat Rates 2022'!$A$1:$DB$1,0))</f>
        <v>0</v>
      </c>
      <c r="T28" s="220" t="e">
        <f>INDEX(Control!$E$17:$J$21,MATCH(Z28,Control!$E$17:$E$21,0),MATCH(U28,Control!$E$17:$J$17,0))</f>
        <v>#N/A</v>
      </c>
      <c r="U28" s="220" t="s">
        <v>46</v>
      </c>
      <c r="V28" s="221">
        <v>43430</v>
      </c>
      <c r="W28" s="221">
        <f t="shared" si="43"/>
        <v>43434</v>
      </c>
      <c r="X28" s="213" t="e">
        <f>INDEX(Vessel_Minimum_MT,MATCH(Z28,Control!$E$11:$E$15,0),MATCH(U28,Control!$E$11:$J$11,0))</f>
        <v>#N/A</v>
      </c>
      <c r="Y28" s="222">
        <f t="shared" si="44"/>
        <v>272709.09090909094</v>
      </c>
      <c r="Z28" s="215" t="s">
        <v>25</v>
      </c>
      <c r="AA28" s="223" t="s">
        <v>51</v>
      </c>
      <c r="AB28" s="212" t="e">
        <f t="shared" si="45"/>
        <v>#N/A</v>
      </c>
      <c r="AC28" s="214">
        <v>1800000</v>
      </c>
      <c r="AD28" s="214">
        <v>1001</v>
      </c>
      <c r="AE28" s="264">
        <f>AE30</f>
        <v>4900000</v>
      </c>
      <c r="AF28" s="225">
        <f t="shared" si="46"/>
        <v>2.7222222222222223</v>
      </c>
      <c r="AG28" s="226">
        <v>10</v>
      </c>
      <c r="AH28" s="214" t="e">
        <f>IF(INDEX(Index,MATCH(AA28,TVM_PortList,0),MATCH("Type",Control!$Q$3:$U$3,0))="BL",INDEX(Index,MATCH(AA28,TVM_PortList,0),MATCH("Payment",Control!$Q$3:$U$3,0))-INDEX(Index,MATCH(U28,TVM_PortList,0),MATCH("Payment",Control!$Q$3:$U$3,0)),AY28+INDEX(Index,MATCH(AA28,TVM_PortList,0),MATCH("Payment",Control!$Q$3:$U$3,0))-INDEX(Index,MATCH(U28,TVM_PortList,0),MATCH("Payment",Control!$Q$3:$U$3,0)))</f>
        <v>#N/A</v>
      </c>
      <c r="AI28" s="227">
        <f t="shared" si="47"/>
        <v>0.18888888888888888</v>
      </c>
      <c r="AJ28" s="227" t="e">
        <f t="shared" si="48"/>
        <v>#N/A</v>
      </c>
      <c r="AK28" s="227">
        <f t="shared" ref="AK28:AK34" si="62">IF(((AC28-VLOOKUP(Z28,$BL$8:$BM$12,2,FALSE))/$BF$16)&lt;=0,0,ROUNDUP(((AC28-VLOOKUP(Z28,$BL$8:$BM$12,2,FALSE))/$BF$16),0)*$BJ$13/AC28)</f>
        <v>3.0833333333333335</v>
      </c>
      <c r="AL28" s="227">
        <f t="shared" si="50"/>
        <v>0.09</v>
      </c>
      <c r="AM28" s="227">
        <v>0</v>
      </c>
      <c r="AN28" s="227">
        <f t="shared" si="51"/>
        <v>0.01</v>
      </c>
      <c r="AO28" s="227">
        <f t="shared" si="52"/>
        <v>0.01</v>
      </c>
      <c r="AP28" s="227">
        <f>IF(INDEX(Control!$Q$3:$S$62,MATCH($AA28,Control!$Q$3:$Q$62,0),MATCH(AP$6,Control!$Q$3:$S$3,0))=1,$BF$12*$BG$12,0)</f>
        <v>0.2</v>
      </c>
      <c r="AQ28" s="227" t="e">
        <f>IF(INDEX(Control!$Q$3:$S$62,MATCH($AA28,Control!$Q$3:$Q$62,0),MATCH(AQ$6,Control!$Q$3:$S$3,0))=1,$BF$13/$AC28,0)</f>
        <v>#N/A</v>
      </c>
      <c r="AR28" s="227">
        <f t="shared" si="53"/>
        <v>0</v>
      </c>
      <c r="AS28" s="227">
        <f t="shared" si="54"/>
        <v>0</v>
      </c>
      <c r="AT28" s="225" t="e">
        <f t="shared" si="55"/>
        <v>#N/A</v>
      </c>
      <c r="AU28" s="231" t="e">
        <f t="shared" si="56"/>
        <v>#N/A</v>
      </c>
      <c r="AV28" s="225">
        <f t="shared" si="57"/>
        <v>0.09</v>
      </c>
      <c r="AW28" s="135" t="e">
        <f t="shared" si="58"/>
        <v>#N/A</v>
      </c>
      <c r="AX28" s="220"/>
      <c r="AY28" s="229">
        <f>INDEX('[1]Transit Time'!$A:$DC,MATCH(H28,'[1]Transit Time'!$A:$A,0),MATCH(K28,'[1]Transit Time'!$A$1:$DC$1,0))+INDEX('[1]Transit Time'!$A:$DC,MATCH(K28,'[1]Transit Time'!$A:$A,0),MATCH(U28,'[1]Transit Time'!$A$1:$DC$1,0))+INDEX('[1]Transit Time'!$A:$DC,MATCH(U28,'[1]Transit Time'!$A:$A,0),MATCH(AA28,'[1]Transit Time'!$A$1:$DC$1,0))</f>
        <v>52</v>
      </c>
      <c r="AZ28" s="220"/>
      <c r="BA28" s="230">
        <f t="shared" si="59"/>
        <v>44305</v>
      </c>
      <c r="BB28" s="230">
        <f t="shared" si="60"/>
        <v>44307</v>
      </c>
      <c r="BC28"/>
    </row>
    <row r="29" spans="1:67" x14ac:dyDescent="0.35">
      <c r="B29" s="163">
        <f t="shared" si="38"/>
        <v>44253</v>
      </c>
      <c r="C29" s="163">
        <f t="shared" si="39"/>
        <v>44255</v>
      </c>
      <c r="E29" s="170"/>
      <c r="F29" s="173">
        <f>IF(H29=K29,0,INDEX('[2]Flat Rates 2022'!$A:$DB,MATCH(H29,'[2]Flat Rates 2022'!$A:$A,0),MATCH(K29,'[2]Flat Rates 2022'!$A$1:$DB$1,0)))</f>
        <v>0</v>
      </c>
      <c r="G29" s="173" t="e">
        <f>INDEX(Control!$E$17:$J$21,MATCH(M29,Control!$E$17:$E$21,0),MATCH(H29,Control!$E$17:$J$17,0))</f>
        <v>#N/A</v>
      </c>
      <c r="H29" s="173" t="str">
        <f t="shared" si="61"/>
        <v>Beaumont</v>
      </c>
      <c r="I29" s="172" t="e">
        <f>INDEX(Vessel_Minimum_MT,MATCH(M29,Control!$E$11:$E$15,0),MATCH(H29,Control!$E$11:$J$11,0))</f>
        <v>#N/A</v>
      </c>
      <c r="J29" s="175">
        <f t="shared" si="40"/>
        <v>106053.53535353536</v>
      </c>
      <c r="K29" s="173" t="s">
        <v>46</v>
      </c>
      <c r="L29" s="173" t="str">
        <f t="shared" si="41"/>
        <v/>
      </c>
      <c r="M29" s="174" t="s">
        <v>23</v>
      </c>
      <c r="N29" s="175">
        <v>700000</v>
      </c>
      <c r="O29" s="179">
        <v>0</v>
      </c>
      <c r="P29" s="180">
        <v>0</v>
      </c>
      <c r="Q29" s="178" t="e">
        <f t="shared" si="42"/>
        <v>#N/A</v>
      </c>
      <c r="R29" s="2"/>
      <c r="S29" s="138">
        <f>INDEX('[2]Flat Rates 2022'!$A:$DB,MATCH(U29,'[2]Flat Rates 2022'!$A:$A,0),MATCH(AA29,'[2]Flat Rates 2022'!$A$1:$DB$1,0))</f>
        <v>0</v>
      </c>
      <c r="T29" s="138" t="e">
        <f>INDEX(Control!$E$17:$J$21,MATCH(Z29,Control!$E$17:$E$21,0),MATCH(U29,Control!$E$17:$J$17,0))</f>
        <v>#N/A</v>
      </c>
      <c r="U29" s="138" t="s">
        <v>46</v>
      </c>
      <c r="V29" s="139">
        <v>43430</v>
      </c>
      <c r="W29" s="139">
        <f t="shared" si="43"/>
        <v>43434</v>
      </c>
      <c r="X29" s="116" t="e">
        <f>INDEX(Vessel_Minimum_MT,MATCH(Z29,Control!$E$11:$E$15,0),MATCH(U29,Control!$E$11:$J$11,0))</f>
        <v>#N/A</v>
      </c>
      <c r="Y29" s="140">
        <f t="shared" si="44"/>
        <v>143929.79797979799</v>
      </c>
      <c r="Z29" s="147" t="s">
        <v>24</v>
      </c>
      <c r="AA29" s="164" t="s">
        <v>106</v>
      </c>
      <c r="AB29" s="142" t="e">
        <f t="shared" si="45"/>
        <v>#N/A</v>
      </c>
      <c r="AC29" s="141">
        <v>950000</v>
      </c>
      <c r="AD29" s="141">
        <v>1001</v>
      </c>
      <c r="AE29" s="265">
        <v>2900000</v>
      </c>
      <c r="AF29" s="149">
        <f t="shared" si="46"/>
        <v>3.0526315789473686</v>
      </c>
      <c r="AG29" s="144">
        <v>10</v>
      </c>
      <c r="AH29" s="141" t="e">
        <f>IF(INDEX(Index,MATCH(AA29,TVM_PortList,0),MATCH("Type",Control!$Q$3:$U$3,0))="BL",INDEX(Index,MATCH(AA29,TVM_PortList,0),MATCH("Payment",Control!$Q$3:$U$3,0))-INDEX(Index,MATCH(U29,TVM_PortList,0),MATCH("Payment",Control!$Q$3:$U$3,0)),AY29+INDEX(Index,MATCH(AA29,TVM_PortList,0),MATCH("Payment",Control!$Q$3:$U$3,0))-INDEX(Index,MATCH(U29,TVM_PortList,0),MATCH("Payment",Control!$Q$3:$U$3,0)))</f>
        <v>#N/A</v>
      </c>
      <c r="AI29" s="143">
        <f t="shared" si="47"/>
        <v>0.26315789473684209</v>
      </c>
      <c r="AJ29" s="143" t="e">
        <f t="shared" si="48"/>
        <v>#N/A</v>
      </c>
      <c r="AK29" s="143">
        <f t="shared" si="62"/>
        <v>1.9473684210526316</v>
      </c>
      <c r="AL29" s="143">
        <f t="shared" si="50"/>
        <v>0.09</v>
      </c>
      <c r="AM29" s="143">
        <v>0</v>
      </c>
      <c r="AN29" s="143">
        <f t="shared" si="51"/>
        <v>0.01</v>
      </c>
      <c r="AO29" s="143">
        <f t="shared" si="52"/>
        <v>0.01</v>
      </c>
      <c r="AP29" s="143">
        <f>IF(INDEX(Control!$Q$3:$S$62,MATCH($AA29,Control!$Q$3:$Q$62,0),MATCH(AP$6,Control!$Q$3:$S$3,0))=1,$BF$12*$BG$12,0)</f>
        <v>0.2</v>
      </c>
      <c r="AQ29" s="143" t="e">
        <f>IF(INDEX(Control!$Q$3:$S$62,MATCH($AA29,Control!$Q$3:$Q$62,0),MATCH(AQ$6,Control!$Q$3:$S$3,0))=1,$BF$13/$AC29,0)</f>
        <v>#N/A</v>
      </c>
      <c r="AR29" s="143">
        <f t="shared" si="53"/>
        <v>0</v>
      </c>
      <c r="AS29" s="143">
        <f t="shared" si="54"/>
        <v>0</v>
      </c>
      <c r="AT29" s="149" t="e">
        <f t="shared" si="55"/>
        <v>#N/A</v>
      </c>
      <c r="AU29" s="199" t="e">
        <f t="shared" si="56"/>
        <v>#N/A</v>
      </c>
      <c r="AV29" s="149">
        <f t="shared" si="57"/>
        <v>0.09</v>
      </c>
      <c r="AW29" s="145" t="e">
        <f t="shared" si="58"/>
        <v>#N/A</v>
      </c>
      <c r="AY29" s="153">
        <f>INDEX('[1]Transit Time'!$A:$DC,MATCH(H29,'[1]Transit Time'!$A:$A,0),MATCH(K29,'[1]Transit Time'!$A$1:$DC$1,0))+INDEX('[1]Transit Time'!$A:$DC,MATCH(K29,'[1]Transit Time'!$A:$A,0),MATCH(U29,'[1]Transit Time'!$A$1:$DC$1,0))+INDEX('[1]Transit Time'!$A:$DC,MATCH(U29,'[1]Transit Time'!$A:$A,0),MATCH(AA29,'[1]Transit Time'!$A$1:$DC$1,0))</f>
        <v>52</v>
      </c>
      <c r="BA29" s="163">
        <f t="shared" si="59"/>
        <v>44305</v>
      </c>
      <c r="BB29" s="163">
        <f t="shared" si="60"/>
        <v>44307</v>
      </c>
    </row>
    <row r="30" spans="1:67" s="165" customFormat="1" ht="16" thickBot="1" x14ac:dyDescent="0.4">
      <c r="A30" s="2"/>
      <c r="B30" s="230">
        <f t="shared" si="38"/>
        <v>44253</v>
      </c>
      <c r="C30" s="230">
        <f t="shared" si="39"/>
        <v>44255</v>
      </c>
      <c r="D30" s="210"/>
      <c r="E30" s="232"/>
      <c r="F30" s="240">
        <f>IF(H30=K30,0,INDEX('[2]Flat Rates 2022'!$A:$DB,MATCH(H30,'[2]Flat Rates 2022'!$A:$A,0),MATCH(K30,'[2]Flat Rates 2022'!$A$1:$DB$1,0)))</f>
        <v>0</v>
      </c>
      <c r="G30" s="240" t="e">
        <f>INDEX(Control!$E$17:$J$21,MATCH(M30,Control!$E$17:$E$21,0),MATCH(H30,Control!$E$17:$J$17,0))</f>
        <v>#N/A</v>
      </c>
      <c r="H30" s="240" t="str">
        <f t="shared" si="61"/>
        <v>Beaumont</v>
      </c>
      <c r="I30" s="234" t="e">
        <f>INDEX(Vessel_Minimum_MT,MATCH(M30,Control!$E$11:$E$15,0),MATCH(H30,Control!$E$11:$J$11,0))</f>
        <v>#N/A</v>
      </c>
      <c r="J30" s="241">
        <f t="shared" si="40"/>
        <v>106053.53535353536</v>
      </c>
      <c r="K30" s="233" t="s">
        <v>46</v>
      </c>
      <c r="L30" s="240" t="str">
        <f t="shared" si="41"/>
        <v/>
      </c>
      <c r="M30" s="236" t="s">
        <v>23</v>
      </c>
      <c r="N30" s="235">
        <v>700000</v>
      </c>
      <c r="O30" s="242">
        <v>0</v>
      </c>
      <c r="P30" s="243">
        <v>0</v>
      </c>
      <c r="Q30" s="239" t="e">
        <f t="shared" si="42"/>
        <v>#N/A</v>
      </c>
      <c r="R30" s="2"/>
      <c r="S30" s="220">
        <f>INDEX('[2]Flat Rates 2022'!$A:$DB,MATCH(U30,'[2]Flat Rates 2022'!$A:$A,0),MATCH(AA30,'[2]Flat Rates 2022'!$A$1:$DB$1,0))</f>
        <v>0</v>
      </c>
      <c r="T30" s="220" t="e">
        <f>INDEX(Control!$E$17:$J$21,MATCH(Z30,Control!$E$17:$E$21,0),MATCH(U30,Control!$E$17:$J$17,0))</f>
        <v>#N/A</v>
      </c>
      <c r="U30" s="220" t="s">
        <v>46</v>
      </c>
      <c r="V30" s="221">
        <v>43430</v>
      </c>
      <c r="W30" s="221">
        <f t="shared" si="43"/>
        <v>43434</v>
      </c>
      <c r="X30" s="213" t="e">
        <f>INDEX(Vessel_Minimum_MT,MATCH(Z30,Control!$E$11:$E$15,0),MATCH(U30,Control!$E$11:$J$11,0))</f>
        <v>#N/A</v>
      </c>
      <c r="Y30" s="222">
        <f t="shared" si="44"/>
        <v>272709.09090909094</v>
      </c>
      <c r="Z30" s="215" t="s">
        <v>25</v>
      </c>
      <c r="AA30" s="223" t="s">
        <v>106</v>
      </c>
      <c r="AB30" s="212" t="e">
        <f t="shared" si="45"/>
        <v>#N/A</v>
      </c>
      <c r="AC30" s="214">
        <v>1800000</v>
      </c>
      <c r="AD30" s="214">
        <v>1001</v>
      </c>
      <c r="AE30" s="266">
        <v>4900000</v>
      </c>
      <c r="AF30" s="225">
        <f t="shared" si="46"/>
        <v>2.7222222222222223</v>
      </c>
      <c r="AG30" s="226">
        <v>10</v>
      </c>
      <c r="AH30" s="214" t="e">
        <f>IF(INDEX(Index,MATCH(AA30,TVM_PortList,0),MATCH("Type",Control!$Q$3:$U$3,0))="BL",INDEX(Index,MATCH(AA30,TVM_PortList,0),MATCH("Payment",Control!$Q$3:$U$3,0))-INDEX(Index,MATCH(U30,TVM_PortList,0),MATCH("Payment",Control!$Q$3:$U$3,0)),AY30+INDEX(Index,MATCH(AA30,TVM_PortList,0),MATCH("Payment",Control!$Q$3:$U$3,0))-INDEX(Index,MATCH(U30,TVM_PortList,0),MATCH("Payment",Control!$Q$3:$U$3,0)))</f>
        <v>#N/A</v>
      </c>
      <c r="AI30" s="227">
        <f t="shared" si="47"/>
        <v>0.18888888888888888</v>
      </c>
      <c r="AJ30" s="227" t="e">
        <f t="shared" si="48"/>
        <v>#N/A</v>
      </c>
      <c r="AK30" s="227">
        <f t="shared" si="62"/>
        <v>3.0833333333333335</v>
      </c>
      <c r="AL30" s="227">
        <f t="shared" si="50"/>
        <v>0.09</v>
      </c>
      <c r="AM30" s="227">
        <v>0</v>
      </c>
      <c r="AN30" s="227">
        <f t="shared" si="51"/>
        <v>0.01</v>
      </c>
      <c r="AO30" s="227">
        <f t="shared" si="52"/>
        <v>0.01</v>
      </c>
      <c r="AP30" s="227">
        <f>IF(INDEX(Control!$Q$3:$S$62,MATCH($AA30,Control!$Q$3:$Q$62,0),MATCH(AP$6,Control!$Q$3:$S$3,0))=1,$BF$12*$BG$12,0)</f>
        <v>0.2</v>
      </c>
      <c r="AQ30" s="227" t="e">
        <f>IF(INDEX(Control!$Q$3:$S$62,MATCH($AA30,Control!$Q$3:$Q$62,0),MATCH(AQ$6,Control!$Q$3:$S$3,0))=1,$BF$13/$AC30,0)</f>
        <v>#N/A</v>
      </c>
      <c r="AR30" s="227">
        <f t="shared" si="53"/>
        <v>0</v>
      </c>
      <c r="AS30" s="227">
        <f t="shared" si="54"/>
        <v>0</v>
      </c>
      <c r="AT30" s="225" t="e">
        <f t="shared" si="55"/>
        <v>#N/A</v>
      </c>
      <c r="AU30" s="225" t="e">
        <f t="shared" si="56"/>
        <v>#N/A</v>
      </c>
      <c r="AV30" s="225">
        <f t="shared" si="57"/>
        <v>0.09</v>
      </c>
      <c r="AW30" s="260" t="e">
        <f t="shared" si="58"/>
        <v>#N/A</v>
      </c>
      <c r="AX30" s="220"/>
      <c r="AY30" s="229">
        <f>INDEX('[1]Transit Time'!$A:$DC,MATCH(H30,'[1]Transit Time'!$A:$A,0),MATCH(K30,'[1]Transit Time'!$A$1:$DC$1,0))+INDEX('[1]Transit Time'!$A:$DC,MATCH(K30,'[1]Transit Time'!$A:$A,0),MATCH(U30,'[1]Transit Time'!$A$1:$DC$1,0))+INDEX('[1]Transit Time'!$A:$DC,MATCH(U30,'[1]Transit Time'!$A:$A,0),MATCH(AA30,'[1]Transit Time'!$A$1:$DC$1,0))</f>
        <v>52</v>
      </c>
      <c r="AZ30" s="220"/>
      <c r="BA30" s="230">
        <f t="shared" si="59"/>
        <v>44305</v>
      </c>
      <c r="BB30" s="230">
        <f t="shared" si="60"/>
        <v>44307</v>
      </c>
      <c r="BC30"/>
    </row>
    <row r="31" spans="1:67" x14ac:dyDescent="0.35">
      <c r="B31" s="163">
        <f t="shared" si="38"/>
        <v>44253</v>
      </c>
      <c r="C31" s="163">
        <f t="shared" si="39"/>
        <v>44255</v>
      </c>
      <c r="E31" s="170"/>
      <c r="F31" s="173">
        <f>IF(H31=K31,0,INDEX('[2]Flat Rates 2022'!$A:$DB,MATCH(H31,'[2]Flat Rates 2022'!$A:$A,0),MATCH(K31,'[2]Flat Rates 2022'!$A$1:$DB$1,0)))</f>
        <v>0</v>
      </c>
      <c r="G31" s="173" t="e">
        <f>INDEX(Control!$E$17:$J$21,MATCH(M31,Control!$E$17:$E$21,0),MATCH(H31,Control!$E$17:$J$17,0))</f>
        <v>#N/A</v>
      </c>
      <c r="H31" s="173" t="str">
        <f t="shared" si="61"/>
        <v>Beaumont</v>
      </c>
      <c r="I31" s="172" t="e">
        <f>INDEX(Vessel_Minimum_MT,MATCH(M31,Control!$E$11:$E$15,0),MATCH(H31,Control!$E$11:$J$11,0))</f>
        <v>#N/A</v>
      </c>
      <c r="J31" s="175">
        <f t="shared" si="40"/>
        <v>106053.53535353536</v>
      </c>
      <c r="K31" s="173" t="s">
        <v>46</v>
      </c>
      <c r="L31" s="173" t="str">
        <f t="shared" si="41"/>
        <v/>
      </c>
      <c r="M31" s="174" t="s">
        <v>23</v>
      </c>
      <c r="N31" s="175">
        <v>700000</v>
      </c>
      <c r="O31" s="179">
        <v>0</v>
      </c>
      <c r="P31" s="180">
        <v>0</v>
      </c>
      <c r="Q31" s="178" t="e">
        <f t="shared" si="42"/>
        <v>#N/A</v>
      </c>
      <c r="R31" s="2"/>
      <c r="S31" s="138">
        <f>INDEX('[2]Flat Rates 2022'!$A:$DB,MATCH(U31,'[2]Flat Rates 2022'!$A:$A,0),MATCH(AA31,'[2]Flat Rates 2022'!$A$1:$DB$1,0))</f>
        <v>0</v>
      </c>
      <c r="T31" s="138" t="e">
        <f>INDEX(Control!$E$17:$J$21,MATCH(Z31,Control!$E$17:$E$21,0),MATCH(U31,Control!$E$17:$J$17,0))</f>
        <v>#N/A</v>
      </c>
      <c r="U31" s="138" t="s">
        <v>46</v>
      </c>
      <c r="V31" s="139">
        <v>43430</v>
      </c>
      <c r="W31" s="139">
        <f t="shared" si="43"/>
        <v>43434</v>
      </c>
      <c r="X31" s="116" t="e">
        <f>INDEX(Vessel_Minimum_MT,MATCH(Z31,Control!$E$11:$E$15,0),MATCH(U31,Control!$E$11:$J$11,0))</f>
        <v>#N/A</v>
      </c>
      <c r="Y31" s="140">
        <f t="shared" si="44"/>
        <v>143929.79797979799</v>
      </c>
      <c r="Z31" s="147" t="s">
        <v>24</v>
      </c>
      <c r="AA31" s="164" t="s">
        <v>114</v>
      </c>
      <c r="AB31" s="142" t="e">
        <f t="shared" si="45"/>
        <v>#N/A</v>
      </c>
      <c r="AC31" s="141">
        <v>950000</v>
      </c>
      <c r="AD31" s="141">
        <v>1001</v>
      </c>
      <c r="AE31" s="202">
        <v>2350000</v>
      </c>
      <c r="AF31" s="149">
        <f t="shared" si="46"/>
        <v>2.4736842105263159</v>
      </c>
      <c r="AG31" s="144">
        <v>10</v>
      </c>
      <c r="AH31" s="141" t="e">
        <f>IF(INDEX(Index,MATCH(AA31,TVM_PortList,0),MATCH("Type",Control!$Q$3:$U$3,0))="BL",INDEX(Index,MATCH(AA31,TVM_PortList,0),MATCH("Payment",Control!$Q$3:$U$3,0))-INDEX(Index,MATCH(U31,TVM_PortList,0),MATCH("Payment",Control!$Q$3:$U$3,0)),AY31+INDEX(Index,MATCH(AA31,TVM_PortList,0),MATCH("Payment",Control!$Q$3:$U$3,0))-INDEX(Index,MATCH(U31,TVM_PortList,0),MATCH("Payment",Control!$Q$3:$U$3,0)))</f>
        <v>#N/A</v>
      </c>
      <c r="AI31" s="143">
        <f t="shared" si="47"/>
        <v>0.26315789473684209</v>
      </c>
      <c r="AJ31" s="143" t="e">
        <f t="shared" si="48"/>
        <v>#N/A</v>
      </c>
      <c r="AK31" s="143">
        <f t="shared" si="62"/>
        <v>1.9473684210526316</v>
      </c>
      <c r="AL31" s="143">
        <f t="shared" si="50"/>
        <v>0.09</v>
      </c>
      <c r="AM31" s="143">
        <v>0</v>
      </c>
      <c r="AN31" s="143">
        <f t="shared" si="51"/>
        <v>0.01</v>
      </c>
      <c r="AO31" s="143">
        <f t="shared" si="52"/>
        <v>0.01</v>
      </c>
      <c r="AP31" s="143">
        <f>IF(INDEX(Control!$Q$3:$S$62,MATCH($AA31,Control!$Q$3:$Q$62,0),MATCH(AP$6,Control!$Q$3:$S$3,0))=1,$BF$12*$BG$12,0)</f>
        <v>0.2</v>
      </c>
      <c r="AQ31" s="143" t="e">
        <f>IF(INDEX(Control!$Q$3:$S$62,MATCH($AA31,Control!$Q$3:$Q$62,0),MATCH(AQ$6,Control!$Q$3:$S$3,0))=1,$BF$13/$AC31,0)</f>
        <v>#N/A</v>
      </c>
      <c r="AR31" s="143">
        <f t="shared" si="53"/>
        <v>0</v>
      </c>
      <c r="AS31" s="143">
        <f t="shared" si="54"/>
        <v>0</v>
      </c>
      <c r="AT31" s="149" t="e">
        <f t="shared" si="55"/>
        <v>#N/A</v>
      </c>
      <c r="AU31" s="199" t="e">
        <f t="shared" si="56"/>
        <v>#N/A</v>
      </c>
      <c r="AV31" s="149">
        <f t="shared" si="57"/>
        <v>0.09</v>
      </c>
      <c r="AW31" s="145" t="e">
        <f t="shared" si="58"/>
        <v>#N/A</v>
      </c>
      <c r="AY31" s="153">
        <f>INDEX('[1]Transit Time'!$A:$DC,MATCH(H31,'[1]Transit Time'!$A:$A,0),MATCH(K31,'[1]Transit Time'!$A$1:$DC$1,0))+INDEX('[1]Transit Time'!$A:$DC,MATCH(K31,'[1]Transit Time'!$A:$A,0),MATCH(U31,'[1]Transit Time'!$A$1:$DC$1,0))+INDEX('[1]Transit Time'!$A:$DC,MATCH(U31,'[1]Transit Time'!$A:$A,0),MATCH(AA31,'[1]Transit Time'!$A$1:$DC$1,0))</f>
        <v>44</v>
      </c>
      <c r="BA31" s="163">
        <f t="shared" si="59"/>
        <v>44297</v>
      </c>
      <c r="BB31" s="163">
        <f t="shared" si="60"/>
        <v>44299</v>
      </c>
    </row>
    <row r="32" spans="1:67" s="165" customFormat="1" x14ac:dyDescent="0.35">
      <c r="A32" s="2"/>
      <c r="B32" s="230">
        <f t="shared" si="38"/>
        <v>44253</v>
      </c>
      <c r="C32" s="230">
        <f t="shared" si="39"/>
        <v>44255</v>
      </c>
      <c r="D32" s="210"/>
      <c r="E32" s="232"/>
      <c r="F32" s="240">
        <f>IF(H32=K32,0,INDEX('[2]Flat Rates 2022'!$A:$DB,MATCH(H32,'[2]Flat Rates 2022'!$A:$A,0),MATCH(K32,'[2]Flat Rates 2022'!$A$1:$DB$1,0)))</f>
        <v>0</v>
      </c>
      <c r="G32" s="240" t="e">
        <f>INDEX(Control!$E$17:$J$21,MATCH(M32,Control!$E$17:$E$21,0),MATCH(H32,Control!$E$17:$J$17,0))</f>
        <v>#N/A</v>
      </c>
      <c r="H32" s="240" t="str">
        <f t="shared" si="61"/>
        <v>Beaumont</v>
      </c>
      <c r="I32" s="234" t="e">
        <f>INDEX(Vessel_Minimum_MT,MATCH(M32,Control!$E$11:$E$15,0),MATCH(H32,Control!$E$11:$J$11,0))</f>
        <v>#N/A</v>
      </c>
      <c r="J32" s="241">
        <f t="shared" si="40"/>
        <v>106053.53535353536</v>
      </c>
      <c r="K32" s="233" t="s">
        <v>46</v>
      </c>
      <c r="L32" s="240" t="str">
        <f t="shared" si="41"/>
        <v/>
      </c>
      <c r="M32" s="236" t="s">
        <v>23</v>
      </c>
      <c r="N32" s="235">
        <v>700000</v>
      </c>
      <c r="O32" s="242">
        <v>0</v>
      </c>
      <c r="P32" s="243">
        <v>0</v>
      </c>
      <c r="Q32" s="239" t="e">
        <f t="shared" si="42"/>
        <v>#N/A</v>
      </c>
      <c r="R32" s="2"/>
      <c r="S32" s="220">
        <f>INDEX('[2]Flat Rates 2022'!$A:$DB,MATCH(U32,'[2]Flat Rates 2022'!$A:$A,0),MATCH(AA32,'[2]Flat Rates 2022'!$A$1:$DB$1,0))</f>
        <v>0</v>
      </c>
      <c r="T32" s="220" t="e">
        <f>INDEX(Control!$E$17:$J$21,MATCH(Z32,Control!$E$17:$E$21,0),MATCH(U32,Control!$E$17:$J$17,0))</f>
        <v>#N/A</v>
      </c>
      <c r="U32" s="220" t="s">
        <v>46</v>
      </c>
      <c r="V32" s="221">
        <v>43430</v>
      </c>
      <c r="W32" s="221">
        <f t="shared" si="43"/>
        <v>43434</v>
      </c>
      <c r="X32" s="213" t="e">
        <f>INDEX(Vessel_Minimum_MT,MATCH(Z32,Control!$E$11:$E$15,0),MATCH(U32,Control!$E$11:$J$11,0))</f>
        <v>#N/A</v>
      </c>
      <c r="Y32" s="222">
        <f t="shared" si="44"/>
        <v>272709.09090909094</v>
      </c>
      <c r="Z32" s="215" t="s">
        <v>25</v>
      </c>
      <c r="AA32" s="223" t="s">
        <v>114</v>
      </c>
      <c r="AB32" s="212" t="e">
        <f t="shared" si="45"/>
        <v>#N/A</v>
      </c>
      <c r="AC32" s="214">
        <v>1800000</v>
      </c>
      <c r="AD32" s="214">
        <v>1001</v>
      </c>
      <c r="AE32" s="224">
        <f>AE30-1000000</f>
        <v>3900000</v>
      </c>
      <c r="AF32" s="225">
        <f t="shared" si="46"/>
        <v>2.1666666666666665</v>
      </c>
      <c r="AG32" s="226">
        <v>10</v>
      </c>
      <c r="AH32" s="214" t="e">
        <f>IF(INDEX(Index,MATCH(AA32,TVM_PortList,0),MATCH("Type",Control!$Q$3:$U$3,0))="BL",INDEX(Index,MATCH(AA32,TVM_PortList,0),MATCH("Payment",Control!$Q$3:$U$3,0))-INDEX(Index,MATCH(U32,TVM_PortList,0),MATCH("Payment",Control!$Q$3:$U$3,0)),AY32+INDEX(Index,MATCH(AA32,TVM_PortList,0),MATCH("Payment",Control!$Q$3:$U$3,0))-INDEX(Index,MATCH(U32,TVM_PortList,0),MATCH("Payment",Control!$Q$3:$U$3,0)))</f>
        <v>#N/A</v>
      </c>
      <c r="AI32" s="227">
        <f t="shared" si="47"/>
        <v>0.18888888888888888</v>
      </c>
      <c r="AJ32" s="227" t="e">
        <f t="shared" si="48"/>
        <v>#N/A</v>
      </c>
      <c r="AK32" s="227">
        <f t="shared" si="62"/>
        <v>3.0833333333333335</v>
      </c>
      <c r="AL32" s="227">
        <f t="shared" si="50"/>
        <v>0.09</v>
      </c>
      <c r="AM32" s="227">
        <v>0</v>
      </c>
      <c r="AN32" s="227">
        <f t="shared" si="51"/>
        <v>0.01</v>
      </c>
      <c r="AO32" s="227">
        <f t="shared" si="52"/>
        <v>0.01</v>
      </c>
      <c r="AP32" s="227">
        <f>IF(INDEX(Control!$Q$3:$S$62,MATCH($AA32,Control!$Q$3:$Q$62,0),MATCH(AP$6,Control!$Q$3:$S$3,0))=1,$BF$12*$BG$12,0)</f>
        <v>0.2</v>
      </c>
      <c r="AQ32" s="227" t="e">
        <f>IF(INDEX(Control!$Q$3:$S$62,MATCH($AA32,Control!$Q$3:$Q$62,0),MATCH(AQ$6,Control!$Q$3:$S$3,0))=1,$BF$13/$AC32,0)</f>
        <v>#N/A</v>
      </c>
      <c r="AR32" s="227">
        <f t="shared" si="53"/>
        <v>0</v>
      </c>
      <c r="AS32" s="227">
        <f t="shared" si="54"/>
        <v>0</v>
      </c>
      <c r="AT32" s="225" t="e">
        <f t="shared" si="55"/>
        <v>#N/A</v>
      </c>
      <c r="AU32" s="225" t="e">
        <f t="shared" si="56"/>
        <v>#N/A</v>
      </c>
      <c r="AV32" s="225">
        <f t="shared" si="57"/>
        <v>0.09</v>
      </c>
      <c r="AW32" s="260" t="e">
        <f t="shared" si="58"/>
        <v>#N/A</v>
      </c>
      <c r="AX32" s="220"/>
      <c r="AY32" s="229">
        <f>INDEX('[1]Transit Time'!$A:$DC,MATCH(H32,'[1]Transit Time'!$A:$A,0),MATCH(K32,'[1]Transit Time'!$A$1:$DC$1,0))+INDEX('[1]Transit Time'!$A:$DC,MATCH(K32,'[1]Transit Time'!$A:$A,0),MATCH(U32,'[1]Transit Time'!$A$1:$DC$1,0))+INDEX('[1]Transit Time'!$A:$DC,MATCH(U32,'[1]Transit Time'!$A:$A,0),MATCH(AA32,'[1]Transit Time'!$A$1:$DC$1,0))</f>
        <v>44</v>
      </c>
      <c r="AZ32" s="220"/>
      <c r="BA32" s="230">
        <f t="shared" si="59"/>
        <v>44297</v>
      </c>
      <c r="BB32" s="230">
        <f t="shared" si="60"/>
        <v>44299</v>
      </c>
      <c r="BC32"/>
    </row>
    <row r="33" spans="1:67" x14ac:dyDescent="0.35">
      <c r="B33" s="163">
        <f t="shared" si="38"/>
        <v>44253</v>
      </c>
      <c r="C33" s="163">
        <f t="shared" si="39"/>
        <v>44255</v>
      </c>
      <c r="E33" s="170"/>
      <c r="F33" s="173">
        <f>IF(H33=K33,0,INDEX('[2]Flat Rates 2022'!$A:$DB,MATCH(H33,'[2]Flat Rates 2022'!$A:$A,0),MATCH(K33,'[2]Flat Rates 2022'!$A$1:$DB$1,0)))</f>
        <v>0</v>
      </c>
      <c r="G33" s="173" t="e">
        <f>INDEX(Control!$E$17:$J$21,MATCH(M33,Control!$E$17:$E$21,0),MATCH(H33,Control!$E$17:$J$17,0))</f>
        <v>#N/A</v>
      </c>
      <c r="H33" s="173" t="str">
        <f t="shared" si="61"/>
        <v>Beaumont</v>
      </c>
      <c r="I33" s="172" t="e">
        <f>INDEX(Vessel_Minimum_MT,MATCH(M33,Control!$E$11:$E$15,0),MATCH(H33,Control!$E$11:$J$11,0))</f>
        <v>#N/A</v>
      </c>
      <c r="J33" s="175">
        <f t="shared" si="40"/>
        <v>106053.53535353536</v>
      </c>
      <c r="K33" s="173" t="s">
        <v>46</v>
      </c>
      <c r="L33" s="173" t="str">
        <f t="shared" si="41"/>
        <v/>
      </c>
      <c r="M33" s="174" t="s">
        <v>23</v>
      </c>
      <c r="N33" s="175">
        <v>700000</v>
      </c>
      <c r="O33" s="179">
        <v>0</v>
      </c>
      <c r="P33" s="180">
        <v>0</v>
      </c>
      <c r="Q33" s="178" t="e">
        <f t="shared" si="42"/>
        <v>#N/A</v>
      </c>
      <c r="R33" s="2"/>
      <c r="S33" s="138">
        <f>INDEX('[2]Flat Rates 2022'!$A:$DB,MATCH(U33,'[2]Flat Rates 2022'!$A:$A,0),MATCH(AA33,'[2]Flat Rates 2022'!$A$1:$DB$1,0))</f>
        <v>33.54</v>
      </c>
      <c r="T33" s="138" t="e">
        <f>INDEX(Control!$E$17:$J$21,MATCH(Z33,Control!$E$17:$E$21,0),MATCH(U33,Control!$E$17:$J$17,0))</f>
        <v>#N/A</v>
      </c>
      <c r="U33" s="138" t="s">
        <v>46</v>
      </c>
      <c r="V33" s="139">
        <v>43430</v>
      </c>
      <c r="W33" s="139">
        <f t="shared" si="43"/>
        <v>43434</v>
      </c>
      <c r="X33" s="116" t="e">
        <f>INDEX(Vessel_Minimum_MT,MATCH(Z33,Control!$E$11:$E$15,0),MATCH(U33,Control!$E$11:$J$11,0))</f>
        <v>#N/A</v>
      </c>
      <c r="Y33" s="140">
        <f t="shared" si="44"/>
        <v>143929.79797979799</v>
      </c>
      <c r="Z33" s="147" t="s">
        <v>24</v>
      </c>
      <c r="AA33" s="164" t="s">
        <v>86</v>
      </c>
      <c r="AB33" s="142" t="e">
        <f t="shared" si="45"/>
        <v>#N/A</v>
      </c>
      <c r="AC33" s="141">
        <v>950000</v>
      </c>
      <c r="AD33" s="141">
        <v>1001</v>
      </c>
      <c r="AE33" s="151">
        <f>AE31-150000</f>
        <v>2200000</v>
      </c>
      <c r="AF33" s="149">
        <f t="shared" si="46"/>
        <v>2.3157894736842106</v>
      </c>
      <c r="AG33" s="144">
        <v>10</v>
      </c>
      <c r="AH33" s="141" t="e">
        <f>IF(INDEX(Index,MATCH(AA33,TVM_PortList,0),MATCH("Type",Control!$Q$3:$U$3,0))="BL",INDEX(Index,MATCH(AA33,TVM_PortList,0),MATCH("Payment",Control!$Q$3:$U$3,0))-INDEX(Index,MATCH(U33,TVM_PortList,0),MATCH("Payment",Control!$Q$3:$U$3,0)),AY33+INDEX(Index,MATCH(AA33,TVM_PortList,0),MATCH("Payment",Control!$Q$3:$U$3,0))-INDEX(Index,MATCH(U33,TVM_PortList,0),MATCH("Payment",Control!$Q$3:$U$3,0)))</f>
        <v>#N/A</v>
      </c>
      <c r="AI33" s="143">
        <f t="shared" si="47"/>
        <v>0.26315789473684209</v>
      </c>
      <c r="AJ33" s="143" t="e">
        <f t="shared" si="48"/>
        <v>#N/A</v>
      </c>
      <c r="AK33" s="143">
        <f t="shared" si="62"/>
        <v>1.9473684210526316</v>
      </c>
      <c r="AL33" s="143">
        <f t="shared" si="50"/>
        <v>0.09</v>
      </c>
      <c r="AM33" s="143">
        <v>0</v>
      </c>
      <c r="AN33" s="143">
        <f t="shared" si="51"/>
        <v>0.01</v>
      </c>
      <c r="AO33" s="143">
        <f t="shared" si="52"/>
        <v>0.01</v>
      </c>
      <c r="AP33" s="143">
        <f>IF(INDEX(Control!$Q$3:$S$62,MATCH($AA33,Control!$Q$3:$Q$62,0),MATCH(AP$6,Control!$Q$3:$S$3,0))=1,$BF$12*$BG$12,0)</f>
        <v>0.2</v>
      </c>
      <c r="AQ33" s="143" t="e">
        <f>IF(INDEX(Control!$Q$3:$S$62,MATCH($AA33,Control!$Q$3:$Q$62,0),MATCH(AQ$6,Control!$Q$3:$S$3,0))=1,$BF$13/$AC33,0)</f>
        <v>#N/A</v>
      </c>
      <c r="AR33" s="143">
        <f t="shared" si="53"/>
        <v>0</v>
      </c>
      <c r="AS33" s="143">
        <f t="shared" si="54"/>
        <v>0</v>
      </c>
      <c r="AT33" s="149" t="e">
        <f t="shared" si="55"/>
        <v>#N/A</v>
      </c>
      <c r="AU33" s="199" t="e">
        <f t="shared" si="56"/>
        <v>#N/A</v>
      </c>
      <c r="AV33" s="149">
        <f t="shared" si="57"/>
        <v>0.09</v>
      </c>
      <c r="AW33" s="145" t="e">
        <f t="shared" si="58"/>
        <v>#N/A</v>
      </c>
      <c r="AY33" s="153">
        <f>INDEX('[1]Transit Time'!$A:$DC,MATCH(H33,'[1]Transit Time'!$A:$A,0),MATCH(K33,'[1]Transit Time'!$A$1:$DC$1,0))+INDEX('[1]Transit Time'!$A:$DC,MATCH(K33,'[1]Transit Time'!$A:$A,0),MATCH(U33,'[1]Transit Time'!$A$1:$DC$1,0))+INDEX('[1]Transit Time'!$A:$DC,MATCH(U33,'[1]Transit Time'!$A:$A,0),MATCH(AA33,'[1]Transit Time'!$A$1:$DC$1,0))</f>
        <v>41</v>
      </c>
      <c r="BA33" s="163">
        <f t="shared" si="59"/>
        <v>44294</v>
      </c>
      <c r="BB33" s="163">
        <f t="shared" si="60"/>
        <v>44296</v>
      </c>
    </row>
    <row r="34" spans="1:67" s="165" customFormat="1" ht="16" thickBot="1" x14ac:dyDescent="0.4">
      <c r="A34" s="2"/>
      <c r="B34" s="230">
        <f t="shared" si="38"/>
        <v>44253</v>
      </c>
      <c r="C34" s="230">
        <f t="shared" si="39"/>
        <v>44255</v>
      </c>
      <c r="D34" s="210"/>
      <c r="E34" s="232"/>
      <c r="F34" s="240">
        <f>IF(H34=K34,0,INDEX('[2]Flat Rates 2022'!$A:$DB,MATCH(H34,'[2]Flat Rates 2022'!$A:$A,0),MATCH(K34,'[2]Flat Rates 2022'!$A$1:$DB$1,0)))</f>
        <v>0</v>
      </c>
      <c r="G34" s="240" t="e">
        <f>INDEX(Control!$E$17:$J$21,MATCH(M34,Control!$E$17:$E$21,0),MATCH(H34,Control!$E$17:$J$17,0))</f>
        <v>#N/A</v>
      </c>
      <c r="H34" s="240" t="str">
        <f t="shared" si="61"/>
        <v>Beaumont</v>
      </c>
      <c r="I34" s="234" t="e">
        <f>INDEX(Vessel_Minimum_MT,MATCH(M34,Control!$E$11:$E$15,0),MATCH(H34,Control!$E$11:$J$11,0))</f>
        <v>#N/A</v>
      </c>
      <c r="J34" s="241">
        <f t="shared" si="40"/>
        <v>106053.53535353536</v>
      </c>
      <c r="K34" s="233" t="s">
        <v>46</v>
      </c>
      <c r="L34" s="240" t="str">
        <f t="shared" si="41"/>
        <v/>
      </c>
      <c r="M34" s="236" t="s">
        <v>23</v>
      </c>
      <c r="N34" s="235">
        <v>700000</v>
      </c>
      <c r="O34" s="242">
        <v>0</v>
      </c>
      <c r="P34" s="243">
        <v>0</v>
      </c>
      <c r="Q34" s="239" t="e">
        <f t="shared" si="42"/>
        <v>#N/A</v>
      </c>
      <c r="R34" s="2"/>
      <c r="S34" s="220">
        <f>INDEX('[2]Flat Rates 2022'!$A:$DB,MATCH(U34,'[2]Flat Rates 2022'!$A:$A,0),MATCH(AA34,'[2]Flat Rates 2022'!$A$1:$DB$1,0))</f>
        <v>33.54</v>
      </c>
      <c r="T34" s="220" t="e">
        <f>INDEX(Control!$E$17:$J$21,MATCH(Z34,Control!$E$17:$E$21,0),MATCH(U34,Control!$E$17:$J$17,0))</f>
        <v>#N/A</v>
      </c>
      <c r="U34" s="220" t="s">
        <v>46</v>
      </c>
      <c r="V34" s="221">
        <v>43430</v>
      </c>
      <c r="W34" s="221">
        <f t="shared" si="43"/>
        <v>43434</v>
      </c>
      <c r="X34" s="213" t="e">
        <f>INDEX(Vessel_Minimum_MT,MATCH(Z34,Control!$E$11:$E$15,0),MATCH(U34,Control!$E$11:$J$11,0))</f>
        <v>#N/A</v>
      </c>
      <c r="Y34" s="222">
        <f t="shared" si="44"/>
        <v>272709.09090909094</v>
      </c>
      <c r="Z34" s="215" t="s">
        <v>25</v>
      </c>
      <c r="AA34" s="223" t="s">
        <v>86</v>
      </c>
      <c r="AB34" s="212" t="e">
        <f t="shared" si="45"/>
        <v>#N/A</v>
      </c>
      <c r="AC34" s="214">
        <v>1800000</v>
      </c>
      <c r="AD34" s="214">
        <v>1001</v>
      </c>
      <c r="AE34" s="224">
        <f>AE32-300000</f>
        <v>3600000</v>
      </c>
      <c r="AF34" s="225">
        <f t="shared" si="46"/>
        <v>2</v>
      </c>
      <c r="AG34" s="226">
        <v>10</v>
      </c>
      <c r="AH34" s="214" t="e">
        <f>IF(INDEX(Index,MATCH(AA34,TVM_PortList,0),MATCH("Type",Control!$Q$3:$U$3,0))="BL",INDEX(Index,MATCH(AA34,TVM_PortList,0),MATCH("Payment",Control!$Q$3:$U$3,0))-INDEX(Index,MATCH(U34,TVM_PortList,0),MATCH("Payment",Control!$Q$3:$U$3,0)),AY34+INDEX(Index,MATCH(AA34,TVM_PortList,0),MATCH("Payment",Control!$Q$3:$U$3,0))-INDEX(Index,MATCH(U34,TVM_PortList,0),MATCH("Payment",Control!$Q$3:$U$3,0)))</f>
        <v>#N/A</v>
      </c>
      <c r="AI34" s="227">
        <f t="shared" si="47"/>
        <v>0.18888888888888888</v>
      </c>
      <c r="AJ34" s="227" t="e">
        <f t="shared" si="48"/>
        <v>#N/A</v>
      </c>
      <c r="AK34" s="227">
        <f t="shared" si="62"/>
        <v>3.0833333333333335</v>
      </c>
      <c r="AL34" s="227">
        <f t="shared" si="50"/>
        <v>0.09</v>
      </c>
      <c r="AM34" s="227">
        <v>0</v>
      </c>
      <c r="AN34" s="227">
        <f t="shared" si="51"/>
        <v>0.01</v>
      </c>
      <c r="AO34" s="227">
        <f t="shared" si="52"/>
        <v>0.01</v>
      </c>
      <c r="AP34" s="227">
        <f>IF(INDEX(Control!$Q$3:$S$62,MATCH($AA34,Control!$Q$3:$Q$62,0),MATCH(AP$6,Control!$Q$3:$S$3,0))=1,$BF$12*$BG$12,0)</f>
        <v>0.2</v>
      </c>
      <c r="AQ34" s="227" t="e">
        <f>IF(INDEX(Control!$Q$3:$S$62,MATCH($AA34,Control!$Q$3:$Q$62,0),MATCH(AQ$6,Control!$Q$3:$S$3,0))=1,$BF$13/$AC34,0)</f>
        <v>#N/A</v>
      </c>
      <c r="AR34" s="227">
        <f t="shared" si="53"/>
        <v>0</v>
      </c>
      <c r="AS34" s="227">
        <f t="shared" si="54"/>
        <v>0</v>
      </c>
      <c r="AT34" s="225" t="e">
        <f>SUM(AI34:AS34)</f>
        <v>#N/A</v>
      </c>
      <c r="AU34" s="225" t="e">
        <f t="shared" si="56"/>
        <v>#N/A</v>
      </c>
      <c r="AV34" s="225">
        <f t="shared" si="57"/>
        <v>0.09</v>
      </c>
      <c r="AW34" s="260" t="e">
        <f t="shared" si="58"/>
        <v>#N/A</v>
      </c>
      <c r="AX34" s="220"/>
      <c r="AY34" s="229">
        <f>INDEX('[1]Transit Time'!$A:$DC,MATCH(H34,'[1]Transit Time'!$A:$A,0),MATCH(K34,'[1]Transit Time'!$A$1:$DC$1,0))+INDEX('[1]Transit Time'!$A:$DC,MATCH(K34,'[1]Transit Time'!$A:$A,0),MATCH(U34,'[1]Transit Time'!$A$1:$DC$1,0))+INDEX('[1]Transit Time'!$A:$DC,MATCH(U34,'[1]Transit Time'!$A:$A,0),MATCH(AA34,'[1]Transit Time'!$A$1:$DC$1,0))</f>
        <v>41</v>
      </c>
      <c r="AZ34" s="220"/>
      <c r="BA34" s="230">
        <f t="shared" si="59"/>
        <v>44294</v>
      </c>
      <c r="BB34" s="230">
        <f t="shared" si="60"/>
        <v>44296</v>
      </c>
      <c r="BC34"/>
    </row>
    <row r="35" spans="1:67" s="152" customFormat="1" ht="21" customHeight="1" thickBot="1" x14ac:dyDescent="0.5">
      <c r="A35" s="2"/>
      <c r="B35"/>
      <c r="C35"/>
      <c r="D35"/>
      <c r="E35" s="1044"/>
      <c r="F35" s="1045"/>
      <c r="G35" s="1045"/>
      <c r="H35" s="1045"/>
      <c r="I35" s="1045"/>
      <c r="J35" s="1045"/>
      <c r="K35" s="1045"/>
      <c r="L35" s="1045"/>
      <c r="M35" s="1045"/>
      <c r="N35" s="1045"/>
      <c r="O35" s="1045"/>
      <c r="P35" s="1045"/>
      <c r="Q35" s="1045"/>
      <c r="R35" s="2"/>
      <c r="S35" s="9"/>
      <c r="T35" s="9"/>
      <c r="U35" s="9"/>
      <c r="V35" s="9"/>
      <c r="W35" s="9"/>
      <c r="X35" s="9"/>
      <c r="Y35" s="9"/>
      <c r="Z35" s="1044" t="s">
        <v>296</v>
      </c>
      <c r="AA35" s="1045"/>
      <c r="AB35" s="1045"/>
      <c r="AC35" s="1045"/>
      <c r="AD35" s="1045"/>
      <c r="AE35" s="1045"/>
      <c r="AF35" s="1045"/>
      <c r="AG35" s="1045"/>
      <c r="AH35" s="1045"/>
      <c r="AI35" s="1045"/>
      <c r="AJ35" s="1045"/>
      <c r="AK35" s="1045"/>
      <c r="AL35" s="1045"/>
      <c r="AM35" s="1045"/>
      <c r="AN35" s="1045"/>
      <c r="AO35" s="1045"/>
      <c r="AP35" s="1045"/>
      <c r="AQ35" s="1045"/>
      <c r="AR35" s="1045"/>
      <c r="AS35" s="1045"/>
      <c r="AT35" s="1045"/>
      <c r="AU35" s="1045"/>
      <c r="AV35" s="1045"/>
      <c r="AW35" s="1046"/>
      <c r="AX35" s="2"/>
      <c r="AY35"/>
      <c r="AZ35" s="2"/>
      <c r="BA35"/>
      <c r="BB35"/>
      <c r="BC35"/>
    </row>
    <row r="36" spans="1:67" ht="29.5" customHeight="1" thickBot="1" x14ac:dyDescent="0.4">
      <c r="B36" s="1005" t="s">
        <v>167</v>
      </c>
      <c r="C36" s="1005"/>
      <c r="E36" s="120" t="s">
        <v>276</v>
      </c>
      <c r="F36" s="152" t="s">
        <v>172</v>
      </c>
      <c r="G36" s="152" t="s">
        <v>2</v>
      </c>
      <c r="H36" s="152" t="s">
        <v>173</v>
      </c>
      <c r="I36" s="152" t="s">
        <v>174</v>
      </c>
      <c r="J36" s="125" t="s">
        <v>175</v>
      </c>
      <c r="K36" s="152" t="s">
        <v>177</v>
      </c>
      <c r="L36" s="152" t="s">
        <v>178</v>
      </c>
      <c r="M36" s="122" t="s">
        <v>176</v>
      </c>
      <c r="N36" s="120" t="s">
        <v>200</v>
      </c>
      <c r="O36" s="120" t="str">
        <f>$O$6</f>
        <v>WS Rate</v>
      </c>
      <c r="P36" s="121" t="s">
        <v>202</v>
      </c>
      <c r="Q36" s="123" t="s">
        <v>291</v>
      </c>
      <c r="R36" s="2"/>
      <c r="S36" s="120" t="s">
        <v>172</v>
      </c>
      <c r="T36" s="120" t="s">
        <v>2</v>
      </c>
      <c r="U36" s="120" t="s">
        <v>173</v>
      </c>
      <c r="V36" s="120" t="s">
        <v>167</v>
      </c>
      <c r="W36" s="120"/>
      <c r="X36" s="152" t="str">
        <f>$X$6</f>
        <v>Vessel MT</v>
      </c>
      <c r="Y36" s="120" t="s">
        <v>175</v>
      </c>
      <c r="Z36" s="120" t="s">
        <v>176</v>
      </c>
      <c r="AA36" s="120" t="s">
        <v>177</v>
      </c>
      <c r="AB36" s="120" t="s">
        <v>178</v>
      </c>
      <c r="AC36" s="120" t="s">
        <v>200</v>
      </c>
      <c r="AD36" s="146" t="str">
        <f>$AD$6</f>
        <v xml:space="preserve">Current WS Rate </v>
      </c>
      <c r="AE36" s="128" t="s">
        <v>202</v>
      </c>
      <c r="AF36" s="150" t="s">
        <v>182</v>
      </c>
      <c r="AG36" s="136" t="s">
        <v>183</v>
      </c>
      <c r="AH36" s="146" t="s">
        <v>279</v>
      </c>
      <c r="AI36" s="136" t="s">
        <v>184</v>
      </c>
      <c r="AJ36" s="136" t="s">
        <v>140</v>
      </c>
      <c r="AK36" s="136" t="str">
        <f>AK44</f>
        <v>STS</v>
      </c>
      <c r="AL36" s="136" t="s">
        <v>186</v>
      </c>
      <c r="AM36" s="136" t="s">
        <v>187</v>
      </c>
      <c r="AN36" s="136" t="s">
        <v>141</v>
      </c>
      <c r="AO36" s="136" t="s">
        <v>188</v>
      </c>
      <c r="AP36" s="136" t="s">
        <v>17</v>
      </c>
      <c r="AQ36" s="136" t="s">
        <v>207</v>
      </c>
      <c r="AR36" s="136" t="s">
        <v>189</v>
      </c>
      <c r="AS36" s="136" t="s">
        <v>152</v>
      </c>
      <c r="AT36" s="150" t="s">
        <v>208</v>
      </c>
      <c r="AU36" s="150" t="s">
        <v>209</v>
      </c>
      <c r="AV36" s="150" t="s">
        <v>210</v>
      </c>
      <c r="AW36" s="137" t="s">
        <v>211</v>
      </c>
      <c r="AY36" s="137" t="s">
        <v>195</v>
      </c>
      <c r="BA36" s="1011" t="s">
        <v>196</v>
      </c>
      <c r="BB36" s="1011"/>
      <c r="BD36" s="118"/>
      <c r="BL36" s="132"/>
      <c r="BM36" s="127"/>
      <c r="BN36" s="132"/>
      <c r="BO36" s="132"/>
    </row>
    <row r="37" spans="1:67" ht="17.25" customHeight="1" thickBot="1" x14ac:dyDescent="0.4">
      <c r="B37" s="163">
        <f>B34</f>
        <v>44253</v>
      </c>
      <c r="C37" s="163">
        <f t="shared" ref="C37:C42" si="63">IF(ISBLANK(B37),"",B37+2)</f>
        <v>44255</v>
      </c>
      <c r="E37" s="64"/>
      <c r="F37" s="65">
        <f>IF(H37=K37,0,INDEX('[2]Flat Rates 2022'!$A:$DB,MATCH(H37,'[2]Flat Rates 2022'!$A:$A,0),MATCH(K37,'[2]Flat Rates 2022'!$A$1:$DB$1,0)))</f>
        <v>0</v>
      </c>
      <c r="G37" s="65" t="e">
        <f>INDEX(Control!$E$17:$J$21,MATCH(M37,Control!$E$17:$E$21,0),MATCH(H37,Control!$E$17:$J$17,0))</f>
        <v>#N/A</v>
      </c>
      <c r="H37" s="65" t="str">
        <f t="shared" ref="H37:H42" si="64">$H$7</f>
        <v>Beaumont</v>
      </c>
      <c r="I37" s="116" t="e">
        <f>INDEX(Vessel_Minimum_MT,MATCH(M37,Control!$E$11:$E$15,0),MATCH(H37,Control!$E$11:$J$11,0))</f>
        <v>#N/A</v>
      </c>
      <c r="J37" s="131">
        <f t="shared" ref="J37:J42" si="65">N37/$BF$15</f>
        <v>106053.53535353536</v>
      </c>
      <c r="K37" s="65" t="s">
        <v>46</v>
      </c>
      <c r="L37" s="65" t="str">
        <f t="shared" ref="L37:L42" si="66">IF(K37=H37,"",CONCATENATE(CONCATENATE(VLOOKUP(H37,Zones,2,FALSE),"/",VLOOKUP(K37,Zones,2,FALSE))))</f>
        <v/>
      </c>
      <c r="M37" s="156" t="s">
        <v>22</v>
      </c>
      <c r="N37" s="68">
        <v>700000</v>
      </c>
      <c r="O37" s="69">
        <v>0</v>
      </c>
      <c r="P37" s="70">
        <v>0</v>
      </c>
      <c r="Q37" s="71" t="e">
        <f t="shared" ref="Q37:Q42" si="67">IF($H37="Esmeraldas",IF(O37&gt;1000,IF(P37=0,O37,P37)/N37*1.1,((I37*F37*(IF(P37=0,O37,P37)/100))+IF(J37&lt;I37,0,(J37-I37)*F37*IF(P37=0,O37,P37)/100*G37))/N37*1.1),IF(O37&gt;1000,IF(P37=0,O37,P37)/N37,((I37*F37*(IF(P37=0,O37,P37)/100))+IF(J37&lt;I37,0,(J37-I37)*F37*IF(P37=0,O37,P37)/100*G37)))/N37)</f>
        <v>#N/A</v>
      </c>
      <c r="R37" s="2"/>
      <c r="S37" s="138">
        <f>INDEX('[2]Flat Rates 2022'!$A:$DB,MATCH(U37,'[2]Flat Rates 2022'!$A:$A,0),MATCH(AA37,'[2]Flat Rates 2022'!$A$1:$DB$1,0))</f>
        <v>18.87</v>
      </c>
      <c r="T37" s="138" t="e">
        <f>INDEX(Control!$E$17:$J$21,MATCH(Z37,Control!$E$17:$E$21,0),MATCH(U37,Control!$E$17:$J$17,0))</f>
        <v>#N/A</v>
      </c>
      <c r="U37" s="138" t="s">
        <v>46</v>
      </c>
      <c r="V37" s="139">
        <v>43430</v>
      </c>
      <c r="W37" s="139">
        <f t="shared" ref="W37:W42" si="68">+V37+4</f>
        <v>43434</v>
      </c>
      <c r="X37" s="116" t="e">
        <f>INDEX(Vessel_Minimum_MT,MATCH(Z37,Control!$E$11:$E$15,0),MATCH(U37,Control!$E$11:$J$11,0))</f>
        <v>#N/A</v>
      </c>
      <c r="Y37" s="140">
        <f t="shared" ref="Y37:Y42" si="69">AC37/$BF$15</f>
        <v>113628.78787878789</v>
      </c>
      <c r="Z37" s="48" t="s">
        <v>23</v>
      </c>
      <c r="AA37" s="164" t="s">
        <v>42</v>
      </c>
      <c r="AB37" s="142" t="e">
        <f t="shared" ref="AB37:AB42" si="70">IF(AA37=U37,"",CONCATENATE(CONCATENATE(VLOOKUP(U37,Zones,2,FALSE),"/",VLOOKUP(AA37,Zones,2,FALSE))))</f>
        <v>#N/A</v>
      </c>
      <c r="AC37" s="141">
        <v>750000</v>
      </c>
      <c r="AD37" s="141">
        <v>145</v>
      </c>
      <c r="AE37" s="263">
        <v>69</v>
      </c>
      <c r="AF37" s="149" t="e">
        <f t="shared" ref="AF37:AF42" si="71">IF($U37="Esmeraldas",IF(AD37&gt;1000,IF(AE37=0,AD37,AE37)/AC37*1.1,((X37*S37*(IF(AE37=0,AD37,AE37)/100))+IF(Y37&lt;X37,0,(Y37-X37)*S37*IF(AE37=0,AD37,AE37)/100*T37))/AC37*1.1),IF(AD37&gt;1000,IF(AE37=0,AD37,AE37)/AC37,((X37*S37*(IF(AE37=0,AD37,AE37)/100))+IF(Y37&lt;X37,0,(Y37-X37)*S37*IF(AE37=0,AD37,AE37)/100*T37))/AC37))</f>
        <v>#N/A</v>
      </c>
      <c r="AG37" s="134">
        <v>1</v>
      </c>
      <c r="AH37" s="155" t="e">
        <f>IF(INDEX(Index,MATCH(AA37,TVM_PortList,0),MATCH("Type",Control!$Q$3:$U$3,0))="BL",INDEX(Index,MATCH(AA37,TVM_PortList,0),MATCH("Payment",Control!$Q$3:$U$3,0))-INDEX(Index,MATCH(U37,TVM_PortList,0),MATCH("Payment",Control!$Q$3:$U$3,0)),AY37+INDEX(Index,MATCH(AA37,TVM_PortList,0),MATCH("Payment",Control!$Q$3:$U$3,0))-INDEX(Index,MATCH(U37,TVM_PortList,0),MATCH("Payment",Control!$Q$3:$U$3,0)))</f>
        <v>#N/A</v>
      </c>
      <c r="AI37" s="143">
        <f t="shared" ref="AI37:AI42" si="72">AG37*VLOOKUP($Z37,$BH$7:$BJ$11,3,FALSE)/$AC37</f>
        <v>2.5999999999999999E-2</v>
      </c>
      <c r="AJ37" s="143" t="e">
        <f t="shared" ref="AJ37:AJ42" si="73">IF(AH37&lt;0,0,$AH37*$BF$9)</f>
        <v>#N/A</v>
      </c>
      <c r="AK37" s="143">
        <f t="shared" ref="AK37:AK42" si="74">IF(((AC37-VLOOKUP(Z37,$BL$8:$BM$12,2,FALSE))/$BF$16)&lt;=0,0,ROUNDUP(((AC37-VLOOKUP(Z37,$BL$8:$BM$12,2,FALSE))/$BF$16),0)*$BJ$13/AC37)</f>
        <v>2.4666666666666668</v>
      </c>
      <c r="AL37" s="143">
        <f t="shared" ref="AL37:AL42" si="75">IF(H37="Beaumont",$BF$8,0)</f>
        <v>0.09</v>
      </c>
      <c r="AM37" s="143">
        <v>0</v>
      </c>
      <c r="AN37" s="143">
        <f t="shared" ref="AN37:AN42" si="76">$BF$10</f>
        <v>0.01</v>
      </c>
      <c r="AO37" s="143">
        <f t="shared" ref="AO37:AO42" si="77">$BF$11</f>
        <v>0.01</v>
      </c>
      <c r="AP37" s="143">
        <f>IF(INDEX(Control!$Q$3:$S$62,MATCH($AA37,Control!$Q$3:$Q$62,0),MATCH(AP$6,Control!$Q$3:$S$3,0))=1,$BF$12*$BG$12,0)</f>
        <v>0</v>
      </c>
      <c r="AQ37" s="143" t="e">
        <f>IF(INDEX(Control!$Q$3:$S$62,MATCH($AA37,Control!$Q$3:$Q$62,0),MATCH(AQ$6,Control!$Q$3:$S$3,0))=1,$BF$13/$AC37,0)</f>
        <v>#N/A</v>
      </c>
      <c r="AR37" s="143">
        <f t="shared" ref="AR37:AR42" si="78">$BF$14</f>
        <v>0</v>
      </c>
      <c r="AS37" s="143">
        <f t="shared" ref="AS37:AS42" si="79">IF(AND(K37="Chiriqui Grande",U37="Puerto Armuelles"),$BI$16,0)</f>
        <v>0</v>
      </c>
      <c r="AT37" s="149" t="e">
        <f t="shared" ref="AT37:AT38" si="80">SUM(AI37:AS37)</f>
        <v>#N/A</v>
      </c>
      <c r="AU37" s="149" t="e">
        <f t="shared" ref="AU37:AU42" si="81">+Q37+AF37+AT37</f>
        <v>#N/A</v>
      </c>
      <c r="AV37" s="149">
        <f t="shared" ref="AV37:AV42" si="82">IF(MONTH(BB37)-MONTH(B37)=1,$AV$3,IF(MONTH(BB37)-MONTH(B37)=0,0,$AV$3+$AW$3))-$M$4</f>
        <v>0.51</v>
      </c>
      <c r="AW37" s="135" t="e">
        <f t="shared" ref="AW37:AW42" si="83">$M$3+AU37+AV37</f>
        <v>#N/A</v>
      </c>
      <c r="AY37" s="153">
        <f>INDEX('[1]Transit Time'!$A:$DC,MATCH(H37,'[1]Transit Time'!$A:$A,0),MATCH(K37,'[1]Transit Time'!$A$1:$DC$1,0))+INDEX('[1]Transit Time'!$A:$DC,MATCH(K37,'[1]Transit Time'!$A:$A,0),MATCH(U37,'[1]Transit Time'!$A$1:$DC$1,0))+INDEX('[1]Transit Time'!$A:$DC,MATCH(U37,'[1]Transit Time'!$A:$A,0),MATCH(AA37,'[1]Transit Time'!$A$1:$DC$1,0))</f>
        <v>17</v>
      </c>
      <c r="BA37" s="163">
        <f t="shared" ref="BA37:BA42" si="84">IF(ISBLANK(B37),"",B37+$AY37)</f>
        <v>44270</v>
      </c>
      <c r="BB37" s="163">
        <f t="shared" ref="BB37:BB42" si="85">IFERROR(IF(ISBLANK(C37),"",C37+$AY37),"")</f>
        <v>44272</v>
      </c>
      <c r="BC37" s="78">
        <f>((AC37-VLOOKUP(Z37,$BL$8:$BM$12,2,FALSE))/$BF$16)</f>
        <v>0.25</v>
      </c>
      <c r="BD37" s="133"/>
      <c r="BE37" s="45"/>
      <c r="BG37" s="44"/>
    </row>
    <row r="38" spans="1:67" s="165" customFormat="1" x14ac:dyDescent="0.35">
      <c r="A38" s="2"/>
      <c r="B38" s="230">
        <f t="shared" ref="B38:B42" si="86">+$B$7</f>
        <v>44253</v>
      </c>
      <c r="C38" s="230">
        <f t="shared" si="63"/>
        <v>44255</v>
      </c>
      <c r="D38" s="210"/>
      <c r="E38" s="244"/>
      <c r="F38" s="245">
        <f>IF(H38=K38,0,INDEX('[2]Flat Rates 2022'!$A:$DB,MATCH(H38,'[2]Flat Rates 2022'!$A:$A,0),MATCH(K38,'[2]Flat Rates 2022'!$A$1:$DB$1,0)))</f>
        <v>0</v>
      </c>
      <c r="G38" s="245" t="e">
        <f>INDEX(Control!$E$17:$J$21,MATCH(M38,Control!$E$17:$E$21,0),MATCH(H38,Control!$E$17:$J$17,0))</f>
        <v>#N/A</v>
      </c>
      <c r="H38" s="245" t="str">
        <f t="shared" si="64"/>
        <v>Beaumont</v>
      </c>
      <c r="I38" s="213" t="e">
        <f>INDEX(Vessel_Minimum_MT,MATCH(M38,Control!$E$11:$E$15,0),MATCH(H38,Control!$E$11:$J$11,0))</f>
        <v>#N/A</v>
      </c>
      <c r="J38" s="246">
        <f t="shared" si="65"/>
        <v>106053.53535353536</v>
      </c>
      <c r="K38" s="245" t="s">
        <v>46</v>
      </c>
      <c r="L38" s="245" t="str">
        <f t="shared" si="66"/>
        <v/>
      </c>
      <c r="M38" s="247" t="s">
        <v>22</v>
      </c>
      <c r="N38" s="246">
        <v>700000</v>
      </c>
      <c r="O38" s="248">
        <v>0</v>
      </c>
      <c r="P38" s="249">
        <v>0</v>
      </c>
      <c r="Q38" s="250" t="e">
        <f t="shared" si="67"/>
        <v>#N/A</v>
      </c>
      <c r="R38" s="2"/>
      <c r="S38" s="220">
        <f>INDEX('[2]Flat Rates 2022'!$A:$DB,MATCH(U38,'[2]Flat Rates 2022'!$A:$A,0),MATCH(AA38,'[2]Flat Rates 2022'!$A$1:$DB$1,0))</f>
        <v>19.73</v>
      </c>
      <c r="T38" s="220" t="e">
        <f>INDEX(Control!$E$17:$J$21,MATCH(Z38,Control!$E$17:$E$21,0),MATCH(U38,Control!$E$17:$J$17,0))</f>
        <v>#N/A</v>
      </c>
      <c r="U38" s="220" t="s">
        <v>46</v>
      </c>
      <c r="V38" s="221">
        <v>43430</v>
      </c>
      <c r="W38" s="221">
        <f t="shared" si="68"/>
        <v>43434</v>
      </c>
      <c r="X38" s="213" t="e">
        <f>INDEX(Vessel_Minimum_MT,MATCH(Z38,Control!$E$11:$E$15,0),MATCH(U38,Control!$E$11:$J$11,0))</f>
        <v>#N/A</v>
      </c>
      <c r="Y38" s="222">
        <f t="shared" si="69"/>
        <v>113628.78787878789</v>
      </c>
      <c r="Z38" s="215" t="s">
        <v>23</v>
      </c>
      <c r="AA38" s="223" t="s">
        <v>47</v>
      </c>
      <c r="AB38" s="212" t="e">
        <f t="shared" si="70"/>
        <v>#N/A</v>
      </c>
      <c r="AC38" s="214">
        <v>750000</v>
      </c>
      <c r="AD38" s="214">
        <v>145</v>
      </c>
      <c r="AE38" s="262">
        <f>AE37</f>
        <v>69</v>
      </c>
      <c r="AF38" s="225" t="e">
        <f t="shared" si="71"/>
        <v>#N/A</v>
      </c>
      <c r="AG38" s="226">
        <v>1</v>
      </c>
      <c r="AH38" s="214" t="e">
        <f>IF(INDEX(Index,MATCH(AA38,TVM_PortList,0),MATCH("Type",Control!$Q$3:$U$3,0))="BL",INDEX(Index,MATCH(AA38,TVM_PortList,0),MATCH("Payment",Control!$Q$3:$U$3,0))-INDEX(Index,MATCH(U38,TVM_PortList,0),MATCH("Payment",Control!$Q$3:$U$3,0)),AY38+INDEX(Index,MATCH(AA38,TVM_PortList,0),MATCH("Payment",Control!$Q$3:$U$3,0))-INDEX(Index,MATCH(U38,TVM_PortList,0),MATCH("Payment",Control!$Q$3:$U$3,0)))</f>
        <v>#N/A</v>
      </c>
      <c r="AI38" s="227">
        <f t="shared" si="72"/>
        <v>2.5999999999999999E-2</v>
      </c>
      <c r="AJ38" s="227" t="e">
        <f t="shared" si="73"/>
        <v>#N/A</v>
      </c>
      <c r="AK38" s="227">
        <f t="shared" si="74"/>
        <v>2.4666666666666668</v>
      </c>
      <c r="AL38" s="227">
        <f t="shared" si="75"/>
        <v>0.09</v>
      </c>
      <c r="AM38" s="227">
        <v>0</v>
      </c>
      <c r="AN38" s="227">
        <f t="shared" si="76"/>
        <v>0.01</v>
      </c>
      <c r="AO38" s="227">
        <f t="shared" si="77"/>
        <v>0.01</v>
      </c>
      <c r="AP38" s="227">
        <f>IF(INDEX(Control!$Q$3:$S$62,MATCH($AA38,Control!$Q$3:$Q$62,0),MATCH(AP$6,Control!$Q$3:$S$3,0))=1,$BF$12*$BG$12,0)</f>
        <v>0</v>
      </c>
      <c r="AQ38" s="227" t="e">
        <f>IF(INDEX(Control!$Q$3:$S$62,MATCH($AA38,Control!$Q$3:$Q$62,0),MATCH(AQ$6,Control!$Q$3:$S$3,0))=1,$BF$13/$AC38,0)</f>
        <v>#N/A</v>
      </c>
      <c r="AR38" s="227">
        <f t="shared" si="78"/>
        <v>0</v>
      </c>
      <c r="AS38" s="227">
        <f t="shared" si="79"/>
        <v>0</v>
      </c>
      <c r="AT38" s="225" t="e">
        <f t="shared" si="80"/>
        <v>#N/A</v>
      </c>
      <c r="AU38" s="225" t="e">
        <f t="shared" si="81"/>
        <v>#N/A</v>
      </c>
      <c r="AV38" s="225">
        <f t="shared" si="82"/>
        <v>0.51</v>
      </c>
      <c r="AW38" s="228" t="e">
        <f t="shared" si="83"/>
        <v>#N/A</v>
      </c>
      <c r="AX38" s="220"/>
      <c r="AY38" s="229">
        <f>INDEX('[1]Transit Time'!$A:$DC,MATCH(H38,'[1]Transit Time'!$A:$A,0),MATCH(K38,'[1]Transit Time'!$A$1:$DC$1,0))+INDEX('[1]Transit Time'!$A:$DC,MATCH(K38,'[1]Transit Time'!$A:$A,0),MATCH(U38,'[1]Transit Time'!$A$1:$DC$1,0))+INDEX('[1]Transit Time'!$A:$DC,MATCH(U38,'[1]Transit Time'!$A:$A,0),MATCH(AA38,'[1]Transit Time'!$A$1:$DC$1,0))</f>
        <v>17</v>
      </c>
      <c r="AZ38" s="204"/>
      <c r="BA38" s="230">
        <f t="shared" si="84"/>
        <v>44270</v>
      </c>
      <c r="BB38" s="230">
        <f t="shared" si="85"/>
        <v>44272</v>
      </c>
      <c r="BC38"/>
      <c r="BF38" s="166"/>
      <c r="BG38" s="166"/>
    </row>
    <row r="39" spans="1:67" customFormat="1" x14ac:dyDescent="0.35">
      <c r="A39" s="2"/>
      <c r="B39" s="163">
        <f t="shared" si="86"/>
        <v>44253</v>
      </c>
      <c r="C39" s="163">
        <f t="shared" si="63"/>
        <v>44255</v>
      </c>
      <c r="E39" s="157"/>
      <c r="F39" s="158">
        <f>IF(H39=K39,0,INDEX('[2]Flat Rates 2022'!$A:$DB,MATCH(H39,'[2]Flat Rates 2022'!$A:$A,0),MATCH(K39,'[2]Flat Rates 2022'!$A$1:$DB$1,0)))</f>
        <v>0</v>
      </c>
      <c r="G39" s="158" t="e">
        <f>INDEX(Control!$E$17:$J$21,MATCH(M39,Control!$E$17:$E$21,0),MATCH(H39,Control!$E$17:$J$17,0))</f>
        <v>#N/A</v>
      </c>
      <c r="H39" s="158" t="str">
        <f t="shared" si="64"/>
        <v>Beaumont</v>
      </c>
      <c r="I39" s="116" t="e">
        <f>INDEX(Vessel_Minimum_MT,MATCH(M39,Control!$E$11:$E$15,0),MATCH(H39,Control!$E$11:$J$11,0))</f>
        <v>#N/A</v>
      </c>
      <c r="J39" s="159">
        <f t="shared" si="65"/>
        <v>0</v>
      </c>
      <c r="K39" s="158" t="s">
        <v>46</v>
      </c>
      <c r="L39" s="158" t="str">
        <f t="shared" si="66"/>
        <v/>
      </c>
      <c r="M39" s="156" t="s">
        <v>22</v>
      </c>
      <c r="N39" s="159"/>
      <c r="O39" s="160">
        <v>0</v>
      </c>
      <c r="P39" s="161">
        <v>0</v>
      </c>
      <c r="Q39" s="162" t="e">
        <f t="shared" si="67"/>
        <v>#N/A</v>
      </c>
      <c r="R39" s="2"/>
      <c r="S39" s="220">
        <f>INDEX('[2]Flat Rates 2022'!$A:$DB,MATCH(U39,'[2]Flat Rates 2022'!$A:$A,0),MATCH(AA39,'[2]Flat Rates 2022'!$A$1:$DB$1,0))</f>
        <v>22.01</v>
      </c>
      <c r="T39" s="138" t="e">
        <f>INDEX(Control!$E$17:$J$21,MATCH(Z39,Control!$E$17:$E$21,0),MATCH(U39,Control!$E$17:$J$17,0))</f>
        <v>#N/A</v>
      </c>
      <c r="U39" s="138" t="s">
        <v>46</v>
      </c>
      <c r="V39" s="139">
        <v>43430</v>
      </c>
      <c r="W39" s="139">
        <f t="shared" si="68"/>
        <v>43434</v>
      </c>
      <c r="X39" s="116" t="e">
        <f>INDEX(Vessel_Minimum_MT,MATCH(Z39,Control!$E$11:$E$15,0),MATCH(U39,Control!$E$11:$J$11,0))</f>
        <v>#N/A</v>
      </c>
      <c r="Y39" s="140">
        <f t="shared" si="69"/>
        <v>113628.78787878789</v>
      </c>
      <c r="Z39" s="147" t="s">
        <v>23</v>
      </c>
      <c r="AA39" s="164" t="s">
        <v>29</v>
      </c>
      <c r="AB39" s="142" t="e">
        <f t="shared" si="70"/>
        <v>#N/A</v>
      </c>
      <c r="AC39" s="141">
        <v>750000</v>
      </c>
      <c r="AD39" s="141">
        <v>145</v>
      </c>
      <c r="AE39" s="151">
        <f>AE37</f>
        <v>69</v>
      </c>
      <c r="AF39" s="149" t="e">
        <f t="shared" si="71"/>
        <v>#N/A</v>
      </c>
      <c r="AG39" s="134">
        <v>1</v>
      </c>
      <c r="AH39" s="155" t="e">
        <f>IF(INDEX(Index,MATCH(AA39,TVM_PortList,0),MATCH("Type",Control!$Q$3:$U$3,0))="BL",INDEX(Index,MATCH(AA39,TVM_PortList,0),MATCH("Payment",Control!$Q$3:$U$3,0))-INDEX(Index,MATCH(U39,TVM_PortList,0),MATCH("Payment",Control!$Q$3:$U$3,0)),AY39+INDEX(Index,MATCH(AA39,TVM_PortList,0),MATCH("Payment",Control!$Q$3:$U$3,0))-INDEX(Index,MATCH(U39,TVM_PortList,0),MATCH("Payment",Control!$Q$3:$U$3,0)))</f>
        <v>#N/A</v>
      </c>
      <c r="AI39" s="143">
        <f t="shared" si="72"/>
        <v>2.5999999999999999E-2</v>
      </c>
      <c r="AJ39" s="143" t="e">
        <f t="shared" si="73"/>
        <v>#N/A</v>
      </c>
      <c r="AK39" s="143">
        <f t="shared" si="74"/>
        <v>2.4666666666666668</v>
      </c>
      <c r="AL39" s="143">
        <f t="shared" si="75"/>
        <v>0.09</v>
      </c>
      <c r="AM39" s="143">
        <v>0</v>
      </c>
      <c r="AN39" s="143">
        <f t="shared" si="76"/>
        <v>0.01</v>
      </c>
      <c r="AO39" s="143">
        <f t="shared" si="77"/>
        <v>0.01</v>
      </c>
      <c r="AP39" s="143">
        <f>IF(INDEX(Control!$Q$3:$S$62,MATCH($AA39,Control!$Q$3:$Q$62,0),MATCH(AP$6,Control!$Q$3:$S$3,0))=1,$BF$12*$BG$12,0)</f>
        <v>0</v>
      </c>
      <c r="AQ39" s="143" t="e">
        <f>IF(INDEX(Control!$Q$3:$S$62,MATCH($AA39,Control!$Q$3:$Q$62,0),MATCH(AQ$6,Control!$Q$3:$S$3,0))=1,$BF$13/$AC39,0)</f>
        <v>#N/A</v>
      </c>
      <c r="AR39" s="143">
        <f t="shared" si="78"/>
        <v>0</v>
      </c>
      <c r="AS39" s="143">
        <f t="shared" si="79"/>
        <v>0</v>
      </c>
      <c r="AT39" s="149" t="e">
        <f t="shared" ref="AT39" si="87">SUM(AI39:AS39)</f>
        <v>#N/A</v>
      </c>
      <c r="AU39" s="149" t="e">
        <f t="shared" si="81"/>
        <v>#N/A</v>
      </c>
      <c r="AV39" s="149">
        <f t="shared" si="82"/>
        <v>0.51</v>
      </c>
      <c r="AW39" s="145" t="e">
        <f t="shared" si="83"/>
        <v>#N/A</v>
      </c>
      <c r="AX39" s="2"/>
      <c r="AY39" s="153">
        <f>INDEX('[1]Transit Time'!$A:$DC,MATCH(H39,'[1]Transit Time'!$A:$A,0),MATCH(K39,'[1]Transit Time'!$A$1:$DC$1,0))+INDEX('[1]Transit Time'!$A:$DC,MATCH(K39,'[1]Transit Time'!$A:$A,0),MATCH(U39,'[1]Transit Time'!$A$1:$DC$1,0))+INDEX('[1]Transit Time'!$A:$DC,MATCH(U39,'[1]Transit Time'!$A:$A,0),MATCH(AA39,'[1]Transit Time'!$A$1:$DC$1,0))</f>
        <v>19.5</v>
      </c>
      <c r="AZ39" s="152"/>
      <c r="BA39" s="163">
        <f t="shared" si="84"/>
        <v>44272.5</v>
      </c>
      <c r="BB39" s="163">
        <f t="shared" si="85"/>
        <v>44274.5</v>
      </c>
      <c r="BD39" s="2"/>
      <c r="BE39" s="2"/>
      <c r="BF39" s="35"/>
      <c r="BG39" s="35"/>
    </row>
    <row r="40" spans="1:67" s="165" customFormat="1" ht="14.15" customHeight="1" x14ac:dyDescent="0.35">
      <c r="A40" s="2"/>
      <c r="B40" s="230">
        <f t="shared" si="86"/>
        <v>44253</v>
      </c>
      <c r="C40" s="230">
        <f t="shared" si="63"/>
        <v>44255</v>
      </c>
      <c r="D40" s="210"/>
      <c r="E40" s="251"/>
      <c r="F40" s="252">
        <f>IF(H40=K40,0,INDEX('[2]Flat Rates 2022'!$A:$DB,MATCH(H40,'[2]Flat Rates 2022'!$A:$A,0),MATCH(K40,'[2]Flat Rates 2022'!$A$1:$DB$1,0)))</f>
        <v>0</v>
      </c>
      <c r="G40" s="252" t="e">
        <f>INDEX(Control!$E$17:$J$21,MATCH(M40,Control!$E$17:$E$21,0),MATCH(H40,Control!$E$17:$J$17,0))</f>
        <v>#N/A</v>
      </c>
      <c r="H40" s="252" t="str">
        <f t="shared" si="64"/>
        <v>Beaumont</v>
      </c>
      <c r="I40" s="213" t="e">
        <f>INDEX(Vessel_Minimum_MT,MATCH(M40,Control!$E$11:$E$15,0),MATCH(H40,Control!$E$11:$J$11,0))</f>
        <v>#N/A</v>
      </c>
      <c r="J40" s="253">
        <f t="shared" si="65"/>
        <v>106053.53535353536</v>
      </c>
      <c r="K40" s="252" t="s">
        <v>46</v>
      </c>
      <c r="L40" s="252" t="str">
        <f t="shared" si="66"/>
        <v/>
      </c>
      <c r="M40" s="247" t="s">
        <v>22</v>
      </c>
      <c r="N40" s="254">
        <v>700000</v>
      </c>
      <c r="O40" s="255">
        <v>0</v>
      </c>
      <c r="P40" s="256">
        <v>0</v>
      </c>
      <c r="Q40" s="257" t="e">
        <f t="shared" si="67"/>
        <v>#N/A</v>
      </c>
      <c r="R40" s="2"/>
      <c r="S40" s="220">
        <f>INDEX('[2]Flat Rates 2022'!$A:$DB,MATCH(U40,'[2]Flat Rates 2022'!$A:$A,0),MATCH(AA40,'[2]Flat Rates 2022'!$A$1:$DB$1,0))</f>
        <v>24.02</v>
      </c>
      <c r="T40" s="220" t="e">
        <f>INDEX(Control!$E$17:$J$21,MATCH(Z40,Control!$E$17:$E$21,0),MATCH(U40,Control!$E$17:$J$17,0))</f>
        <v>#N/A</v>
      </c>
      <c r="U40" s="220" t="s">
        <v>46</v>
      </c>
      <c r="V40" s="221">
        <v>43430</v>
      </c>
      <c r="W40" s="221">
        <f t="shared" si="68"/>
        <v>43434</v>
      </c>
      <c r="X40" s="213" t="e">
        <f>INDEX(Vessel_Minimum_MT,MATCH(Z40,Control!$E$11:$E$15,0),MATCH(U40,Control!$E$11:$J$11,0))</f>
        <v>#N/A</v>
      </c>
      <c r="Y40" s="222">
        <f t="shared" si="69"/>
        <v>113628.78787878789</v>
      </c>
      <c r="Z40" s="258" t="s">
        <v>23</v>
      </c>
      <c r="AA40" s="223" t="s">
        <v>50</v>
      </c>
      <c r="AB40" s="212" t="e">
        <f t="shared" si="70"/>
        <v>#N/A</v>
      </c>
      <c r="AC40" s="214">
        <v>750000</v>
      </c>
      <c r="AD40" s="214">
        <v>145</v>
      </c>
      <c r="AE40" s="224">
        <f>AE39</f>
        <v>69</v>
      </c>
      <c r="AF40" s="225" t="e">
        <f t="shared" si="71"/>
        <v>#N/A</v>
      </c>
      <c r="AG40" s="226">
        <v>1</v>
      </c>
      <c r="AH40" s="214" t="e">
        <f>IF(INDEX(Index,MATCH(AA40,TVM_PortList,0),MATCH("Type",Control!$Q$3:$U$3,0))="BL",INDEX(Index,MATCH(AA40,TVM_PortList,0),MATCH("Payment",Control!$Q$3:$U$3,0))-INDEX(Index,MATCH(U40,TVM_PortList,0),MATCH("Payment",Control!$Q$3:$U$3,0)),AY40+INDEX(Index,MATCH(AA40,TVM_PortList,0),MATCH("Payment",Control!$Q$3:$U$3,0))-INDEX(Index,MATCH(U40,TVM_PortList,0),MATCH("Payment",Control!$Q$3:$U$3,0)))</f>
        <v>#N/A</v>
      </c>
      <c r="AI40" s="227">
        <f t="shared" si="72"/>
        <v>2.5999999999999999E-2</v>
      </c>
      <c r="AJ40" s="227" t="e">
        <f t="shared" si="73"/>
        <v>#N/A</v>
      </c>
      <c r="AK40" s="227">
        <f t="shared" si="74"/>
        <v>2.4666666666666668</v>
      </c>
      <c r="AL40" s="227">
        <f t="shared" si="75"/>
        <v>0.09</v>
      </c>
      <c r="AM40" s="227">
        <v>0</v>
      </c>
      <c r="AN40" s="227">
        <f t="shared" si="76"/>
        <v>0.01</v>
      </c>
      <c r="AO40" s="227">
        <f t="shared" si="77"/>
        <v>0.01</v>
      </c>
      <c r="AP40" s="227">
        <f>IF(INDEX(Control!$Q$3:$S$62,MATCH($AA40,Control!$Q$3:$Q$62,0),MATCH(AP$6,Control!$Q$3:$S$3,0))=1,$BF$12*$BG$12,0)</f>
        <v>0</v>
      </c>
      <c r="AQ40" s="227" t="e">
        <f>IF(INDEX(Control!$Q$3:$S$62,MATCH($AA40,Control!$Q$3:$Q$62,0),MATCH(AQ$6,Control!$Q$3:$S$3,0))=1,$BF$13/$AC40,0)</f>
        <v>#N/A</v>
      </c>
      <c r="AR40" s="227">
        <f t="shared" si="78"/>
        <v>0</v>
      </c>
      <c r="AS40" s="227">
        <f t="shared" si="79"/>
        <v>0</v>
      </c>
      <c r="AT40" s="225" t="e">
        <f t="shared" ref="AT40:AT41" si="88">SUM(AI40:AS40)</f>
        <v>#N/A</v>
      </c>
      <c r="AU40" s="225" t="e">
        <f t="shared" si="81"/>
        <v>#N/A</v>
      </c>
      <c r="AV40" s="225">
        <f t="shared" si="82"/>
        <v>0.51</v>
      </c>
      <c r="AW40" s="228" t="e">
        <f t="shared" si="83"/>
        <v>#N/A</v>
      </c>
      <c r="AX40" s="220"/>
      <c r="AY40" s="229">
        <f>INDEX('[1]Transit Time'!$A:$DC,MATCH(H40,'[1]Transit Time'!$A:$A,0),MATCH(K40,'[1]Transit Time'!$A$1:$DC$1,0))+INDEX('[1]Transit Time'!$A:$DC,MATCH(K40,'[1]Transit Time'!$A:$A,0),MATCH(U40,'[1]Transit Time'!$A$1:$DC$1,0))+INDEX('[1]Transit Time'!$A:$DC,MATCH(U40,'[1]Transit Time'!$A:$A,0),MATCH(AA40,'[1]Transit Time'!$A$1:$DC$1,0))</f>
        <v>22</v>
      </c>
      <c r="AZ40" s="220"/>
      <c r="BA40" s="230">
        <f t="shared" si="84"/>
        <v>44275</v>
      </c>
      <c r="BB40" s="230">
        <f t="shared" si="85"/>
        <v>44277</v>
      </c>
      <c r="BC40"/>
      <c r="BD40" s="183"/>
      <c r="BE40" s="187"/>
      <c r="BG40" s="188"/>
    </row>
    <row r="41" spans="1:67" x14ac:dyDescent="0.35">
      <c r="B41" s="163">
        <f t="shared" si="86"/>
        <v>44253</v>
      </c>
      <c r="C41" s="163">
        <f t="shared" si="63"/>
        <v>44255</v>
      </c>
      <c r="E41" s="157"/>
      <c r="F41" s="158">
        <f>IF(H41=K41,0,INDEX('[2]Flat Rates 2022'!$A:$DB,MATCH(H41,'[2]Flat Rates 2022'!$A:$A,0),MATCH(K41,'[2]Flat Rates 2022'!$A$1:$DB$1,0)))</f>
        <v>0</v>
      </c>
      <c r="G41" s="158" t="e">
        <f>INDEX(Control!$E$17:$J$21,MATCH(M41,Control!$E$17:$E$21,0),MATCH(H41,Control!$E$17:$J$17,0))</f>
        <v>#N/A</v>
      </c>
      <c r="H41" s="158" t="str">
        <f t="shared" si="64"/>
        <v>Beaumont</v>
      </c>
      <c r="I41" s="116" t="e">
        <f>INDEX(Vessel_Minimum_MT,MATCH(M41,Control!$E$11:$E$15,0),MATCH(H41,Control!$E$11:$J$11,0))</f>
        <v>#N/A</v>
      </c>
      <c r="J41" s="159">
        <f t="shared" si="65"/>
        <v>106053.53535353536</v>
      </c>
      <c r="K41" s="158" t="s">
        <v>46</v>
      </c>
      <c r="L41" s="158" t="str">
        <f t="shared" si="66"/>
        <v/>
      </c>
      <c r="M41" s="156" t="s">
        <v>22</v>
      </c>
      <c r="N41" s="159">
        <v>700000</v>
      </c>
      <c r="O41" s="160">
        <v>0</v>
      </c>
      <c r="P41" s="161">
        <v>0</v>
      </c>
      <c r="Q41" s="162" t="e">
        <f t="shared" si="67"/>
        <v>#N/A</v>
      </c>
      <c r="R41" s="2"/>
      <c r="S41" s="138">
        <f>INDEX('[2]Flat Rates 2022'!$A:$DB,MATCH(U41,'[2]Flat Rates 2022'!$A:$A,0),MATCH(AA41,'[2]Flat Rates 2022'!$A$1:$DB$1,0))</f>
        <v>18.87</v>
      </c>
      <c r="T41" s="138" t="e">
        <f>INDEX(Control!$E$17:$J$21,MATCH(Z41,Control!$E$17:$E$21,0),MATCH(U41,Control!$E$17:$J$17,0))</f>
        <v>#N/A</v>
      </c>
      <c r="U41" s="138" t="s">
        <v>46</v>
      </c>
      <c r="V41" s="139">
        <v>43430</v>
      </c>
      <c r="W41" s="139">
        <f t="shared" si="68"/>
        <v>43434</v>
      </c>
      <c r="X41" s="116" t="e">
        <f>INDEX(Vessel_Minimum_MT,MATCH(Z41,Control!$E$11:$E$15,0),MATCH(U41,Control!$E$11:$J$11,0))</f>
        <v>#N/A</v>
      </c>
      <c r="Y41" s="140">
        <f t="shared" si="69"/>
        <v>136354.54545454547</v>
      </c>
      <c r="Z41" s="147" t="s">
        <v>24</v>
      </c>
      <c r="AA41" s="164" t="s">
        <v>42</v>
      </c>
      <c r="AB41" s="142" t="e">
        <f t="shared" si="70"/>
        <v>#N/A</v>
      </c>
      <c r="AC41" s="141">
        <v>900000</v>
      </c>
      <c r="AD41" s="141">
        <v>70</v>
      </c>
      <c r="AE41" s="151">
        <v>40</v>
      </c>
      <c r="AF41" s="149" t="e">
        <f t="shared" si="71"/>
        <v>#N/A</v>
      </c>
      <c r="AG41" s="134">
        <v>1</v>
      </c>
      <c r="AH41" s="155" t="e">
        <f>IF(INDEX(Index,MATCH(AA41,TVM_PortList,0),MATCH("Type",Control!$Q$3:$U$3,0))="BL",INDEX(Index,MATCH(AA41,TVM_PortList,0),MATCH("Payment",Control!$Q$3:$U$3,0))-INDEX(Index,MATCH(U41,TVM_PortList,0),MATCH("Payment",Control!$Q$3:$U$3,0)),AY41+INDEX(Index,MATCH(AA41,TVM_PortList,0),MATCH("Payment",Control!$Q$3:$U$3,0))-INDEX(Index,MATCH(U41,TVM_PortList,0),MATCH("Payment",Control!$Q$3:$U$3,0)))</f>
        <v>#N/A</v>
      </c>
      <c r="AI41" s="143">
        <f t="shared" si="72"/>
        <v>2.7777777777777776E-2</v>
      </c>
      <c r="AJ41" s="143" t="e">
        <f t="shared" si="73"/>
        <v>#N/A</v>
      </c>
      <c r="AK41" s="143">
        <f t="shared" si="74"/>
        <v>2.0555555555555554</v>
      </c>
      <c r="AL41" s="143">
        <f t="shared" si="75"/>
        <v>0.09</v>
      </c>
      <c r="AM41" s="143">
        <v>0</v>
      </c>
      <c r="AN41" s="143">
        <f t="shared" si="76"/>
        <v>0.01</v>
      </c>
      <c r="AO41" s="143">
        <f t="shared" si="77"/>
        <v>0.01</v>
      </c>
      <c r="AP41" s="143">
        <f>IF(INDEX(Control!$Q$3:$S$62,MATCH($AA41,Control!$Q$3:$Q$62,0),MATCH(AP$6,Control!$Q$3:$S$3,0))=1,$BF$12*$BG$12,0)</f>
        <v>0</v>
      </c>
      <c r="AQ41" s="143" t="e">
        <f>IF(INDEX(Control!$Q$3:$S$62,MATCH($AA41,Control!$Q$3:$Q$62,0),MATCH(AQ$6,Control!$Q$3:$S$3,0))=1,$BF$13/$AC41,0)</f>
        <v>#N/A</v>
      </c>
      <c r="AR41" s="143">
        <f t="shared" si="78"/>
        <v>0</v>
      </c>
      <c r="AS41" s="143">
        <f t="shared" si="79"/>
        <v>0</v>
      </c>
      <c r="AT41" s="149" t="e">
        <f t="shared" si="88"/>
        <v>#N/A</v>
      </c>
      <c r="AU41" s="149" t="e">
        <f t="shared" si="81"/>
        <v>#N/A</v>
      </c>
      <c r="AV41" s="149">
        <f t="shared" si="82"/>
        <v>0.51</v>
      </c>
      <c r="AW41" s="145" t="e">
        <f t="shared" si="83"/>
        <v>#N/A</v>
      </c>
      <c r="AY41" s="153">
        <f>INDEX('[1]Transit Time'!$A:$DC,MATCH(H41,'[1]Transit Time'!$A:$A,0),MATCH(K41,'[1]Transit Time'!$A$1:$DC$1,0))+INDEX('[1]Transit Time'!$A:$DC,MATCH(K41,'[1]Transit Time'!$A:$A,0),MATCH(U41,'[1]Transit Time'!$A$1:$DC$1,0))+INDEX('[1]Transit Time'!$A:$DC,MATCH(U41,'[1]Transit Time'!$A:$A,0),MATCH(AA41,'[1]Transit Time'!$A$1:$DC$1,0))</f>
        <v>17</v>
      </c>
      <c r="AZ41" s="152"/>
      <c r="BA41" s="163">
        <f t="shared" si="84"/>
        <v>44270</v>
      </c>
      <c r="BB41" s="163">
        <f t="shared" si="85"/>
        <v>44272</v>
      </c>
      <c r="BF41" s="132"/>
      <c r="BG41" s="132"/>
    </row>
    <row r="42" spans="1:67" s="181" customFormat="1" ht="16" thickBot="1" x14ac:dyDescent="0.4">
      <c r="A42" s="2"/>
      <c r="B42" s="230">
        <f t="shared" si="86"/>
        <v>44253</v>
      </c>
      <c r="C42" s="230">
        <f t="shared" si="63"/>
        <v>44255</v>
      </c>
      <c r="D42" s="210"/>
      <c r="E42" s="244"/>
      <c r="F42" s="245">
        <f>IF(H42=K42,0,INDEX('[2]Flat Rates 2022'!$A:$DB,MATCH(H42,'[2]Flat Rates 2022'!$A:$A,0),MATCH(K42,'[2]Flat Rates 2022'!$A$1:$DB$1,0)))</f>
        <v>0</v>
      </c>
      <c r="G42" s="245" t="e">
        <f>INDEX(Control!$E$17:$J$21,MATCH(M42,Control!$E$17:$E$21,0),MATCH(H42,Control!$E$17:$J$17,0))</f>
        <v>#N/A</v>
      </c>
      <c r="H42" s="245" t="str">
        <f t="shared" si="64"/>
        <v>Beaumont</v>
      </c>
      <c r="I42" s="213" t="e">
        <f>INDEX(Vessel_Minimum_MT,MATCH(M42,Control!$E$11:$E$15,0),MATCH(H42,Control!$E$11:$J$11,0))</f>
        <v>#N/A</v>
      </c>
      <c r="J42" s="246">
        <f t="shared" si="65"/>
        <v>106053.53535353536</v>
      </c>
      <c r="K42" s="245" t="s">
        <v>46</v>
      </c>
      <c r="L42" s="245" t="str">
        <f t="shared" si="66"/>
        <v/>
      </c>
      <c r="M42" s="247" t="s">
        <v>22</v>
      </c>
      <c r="N42" s="246">
        <v>700000</v>
      </c>
      <c r="O42" s="248">
        <v>0</v>
      </c>
      <c r="P42" s="249">
        <v>0</v>
      </c>
      <c r="Q42" s="250" t="e">
        <f t="shared" si="67"/>
        <v>#N/A</v>
      </c>
      <c r="R42" s="2"/>
      <c r="S42" s="220">
        <f>INDEX('[2]Flat Rates 2022'!$A:$DB,MATCH(U42,'[2]Flat Rates 2022'!$A:$A,0),MATCH(AA42,'[2]Flat Rates 2022'!$A$1:$DB$1,0))</f>
        <v>24.02</v>
      </c>
      <c r="T42" s="220" t="e">
        <f>INDEX(Control!$E$17:$J$21,MATCH(Z42,Control!$E$17:$E$21,0),MATCH(U42,Control!$E$17:$J$17,0))</f>
        <v>#N/A</v>
      </c>
      <c r="U42" s="220" t="s">
        <v>46</v>
      </c>
      <c r="V42" s="221">
        <v>43430</v>
      </c>
      <c r="W42" s="221">
        <f t="shared" si="68"/>
        <v>43434</v>
      </c>
      <c r="X42" s="213" t="e">
        <f>INDEX(Vessel_Minimum_MT,MATCH(Z42,Control!$E$11:$E$15,0),MATCH(U42,Control!$E$11:$J$11,0))</f>
        <v>#N/A</v>
      </c>
      <c r="Y42" s="222">
        <f t="shared" si="69"/>
        <v>136354.54545454547</v>
      </c>
      <c r="Z42" s="215" t="s">
        <v>24</v>
      </c>
      <c r="AA42" s="223" t="s">
        <v>50</v>
      </c>
      <c r="AB42" s="212" t="e">
        <f t="shared" si="70"/>
        <v>#N/A</v>
      </c>
      <c r="AC42" s="214">
        <v>900000</v>
      </c>
      <c r="AD42" s="214">
        <v>70</v>
      </c>
      <c r="AE42" s="224">
        <v>50</v>
      </c>
      <c r="AF42" s="225" t="e">
        <f t="shared" si="71"/>
        <v>#N/A</v>
      </c>
      <c r="AG42" s="226">
        <v>1</v>
      </c>
      <c r="AH42" s="214" t="e">
        <f>IF(INDEX(Index,MATCH(AA42,TVM_PortList,0),MATCH("Type",Control!$Q$3:$U$3,0))="BL",INDEX(Index,MATCH(AA42,TVM_PortList,0),MATCH("Payment",Control!$Q$3:$U$3,0))-INDEX(Index,MATCH(U42,TVM_PortList,0),MATCH("Payment",Control!$Q$3:$U$3,0)),AY42+INDEX(Index,MATCH(AA42,TVM_PortList,0),MATCH("Payment",Control!$Q$3:$U$3,0))-INDEX(Index,MATCH(U42,TVM_PortList,0),MATCH("Payment",Control!$Q$3:$U$3,0)))</f>
        <v>#N/A</v>
      </c>
      <c r="AI42" s="227">
        <f t="shared" si="72"/>
        <v>2.7777777777777776E-2</v>
      </c>
      <c r="AJ42" s="227" t="e">
        <f t="shared" si="73"/>
        <v>#N/A</v>
      </c>
      <c r="AK42" s="227">
        <f t="shared" si="74"/>
        <v>2.0555555555555554</v>
      </c>
      <c r="AL42" s="227">
        <f t="shared" si="75"/>
        <v>0.09</v>
      </c>
      <c r="AM42" s="227">
        <v>0</v>
      </c>
      <c r="AN42" s="227">
        <f t="shared" si="76"/>
        <v>0.01</v>
      </c>
      <c r="AO42" s="227">
        <f t="shared" si="77"/>
        <v>0.01</v>
      </c>
      <c r="AP42" s="227">
        <f>IF(INDEX(Control!$Q$3:$S$62,MATCH($AA42,Control!$Q$3:$Q$62,0),MATCH(AP$6,Control!$Q$3:$S$3,0))=1,$BF$12*$BG$12,0)</f>
        <v>0</v>
      </c>
      <c r="AQ42" s="227" t="e">
        <f>IF(INDEX(Control!$Q$3:$S$62,MATCH($AA42,Control!$Q$3:$Q$62,0),MATCH(AQ$6,Control!$Q$3:$S$3,0))=1,$BF$13/$AC42,0)</f>
        <v>#N/A</v>
      </c>
      <c r="AR42" s="227">
        <f t="shared" si="78"/>
        <v>0</v>
      </c>
      <c r="AS42" s="227">
        <f t="shared" si="79"/>
        <v>0</v>
      </c>
      <c r="AT42" s="225" t="e">
        <f t="shared" ref="AT42" si="89">SUM(AI42:AS42)</f>
        <v>#N/A</v>
      </c>
      <c r="AU42" s="225" t="e">
        <f t="shared" si="81"/>
        <v>#N/A</v>
      </c>
      <c r="AV42" s="225">
        <f t="shared" si="82"/>
        <v>0.51</v>
      </c>
      <c r="AW42" s="228" t="e">
        <f t="shared" si="83"/>
        <v>#N/A</v>
      </c>
      <c r="AX42" s="220"/>
      <c r="AY42" s="229">
        <f>INDEX('[1]Transit Time'!$A:$DC,MATCH(H42,'[1]Transit Time'!$A:$A,0),MATCH(K42,'[1]Transit Time'!$A$1:$DC$1,0))+INDEX('[1]Transit Time'!$A:$DC,MATCH(K42,'[1]Transit Time'!$A:$A,0),MATCH(U42,'[1]Transit Time'!$A$1:$DC$1,0))+INDEX('[1]Transit Time'!$A:$DC,MATCH(U42,'[1]Transit Time'!$A:$A,0),MATCH(AA42,'[1]Transit Time'!$A$1:$DC$1,0))</f>
        <v>22</v>
      </c>
      <c r="AZ42" s="204"/>
      <c r="BA42" s="230">
        <f t="shared" si="84"/>
        <v>44275</v>
      </c>
      <c r="BB42" s="230">
        <f t="shared" si="85"/>
        <v>44277</v>
      </c>
      <c r="BC42"/>
      <c r="BD42" s="165"/>
      <c r="BE42" s="165"/>
      <c r="BF42" s="189"/>
      <c r="BG42" s="189"/>
    </row>
    <row r="43" spans="1:67" ht="18.75" customHeight="1" thickBot="1" x14ac:dyDescent="0.5">
      <c r="B43" s="163"/>
      <c r="C43" s="163"/>
      <c r="E43" s="1044" t="str">
        <f>E5</f>
        <v>BMT-PTP</v>
      </c>
      <c r="F43" s="1045"/>
      <c r="G43" s="1045"/>
      <c r="H43" s="1045"/>
      <c r="I43" s="1045"/>
      <c r="J43" s="1045"/>
      <c r="K43" s="1045"/>
      <c r="L43" s="1045"/>
      <c r="M43" s="1045"/>
      <c r="N43" s="1045"/>
      <c r="O43" s="1045"/>
      <c r="P43" s="1045"/>
      <c r="Q43" s="1045"/>
      <c r="R43" s="2"/>
      <c r="S43" s="9"/>
      <c r="T43" s="9"/>
      <c r="U43" s="9"/>
      <c r="V43" s="9"/>
      <c r="W43" s="9"/>
      <c r="X43" s="9"/>
      <c r="Y43" s="9"/>
      <c r="Z43" s="1044" t="s">
        <v>284</v>
      </c>
      <c r="AA43" s="1045"/>
      <c r="AB43" s="1045"/>
      <c r="AC43" s="1045"/>
      <c r="AD43" s="1045"/>
      <c r="AE43" s="1045"/>
      <c r="AF43" s="1045"/>
      <c r="AG43" s="1045"/>
      <c r="AH43" s="1045"/>
      <c r="AI43" s="1045"/>
      <c r="AJ43" s="1045"/>
      <c r="AK43" s="1045"/>
      <c r="AL43" s="1045"/>
      <c r="AM43" s="1045"/>
      <c r="AN43" s="1045"/>
      <c r="AO43" s="1045"/>
      <c r="AP43" s="1045"/>
      <c r="AQ43" s="1045"/>
      <c r="AR43" s="1045"/>
      <c r="AS43" s="1045"/>
      <c r="AT43" s="1045"/>
      <c r="AU43" s="1045"/>
      <c r="AV43" s="1045"/>
      <c r="AW43" s="1046"/>
      <c r="AY43"/>
      <c r="BA43"/>
      <c r="BB43"/>
      <c r="BD43" s="152"/>
      <c r="BE43" s="152"/>
      <c r="BF43" s="152"/>
      <c r="BG43" s="152"/>
    </row>
    <row r="44" spans="1:67" ht="29.5" customHeight="1" x14ac:dyDescent="0.35">
      <c r="B44" s="1005" t="s">
        <v>167</v>
      </c>
      <c r="C44" s="1005"/>
      <c r="E44" s="120" t="s">
        <v>276</v>
      </c>
      <c r="F44" s="152" t="s">
        <v>172</v>
      </c>
      <c r="G44" s="152" t="s">
        <v>2</v>
      </c>
      <c r="H44" s="152" t="s">
        <v>173</v>
      </c>
      <c r="I44" s="152" t="s">
        <v>174</v>
      </c>
      <c r="J44" s="125" t="s">
        <v>175</v>
      </c>
      <c r="K44" s="152" t="s">
        <v>177</v>
      </c>
      <c r="L44" s="152" t="s">
        <v>178</v>
      </c>
      <c r="M44" s="122" t="s">
        <v>176</v>
      </c>
      <c r="N44" s="120" t="s">
        <v>200</v>
      </c>
      <c r="O44" s="120" t="str">
        <f>$O$6</f>
        <v>WS Rate</v>
      </c>
      <c r="P44" s="121" t="s">
        <v>202</v>
      </c>
      <c r="Q44" s="123" t="s">
        <v>291</v>
      </c>
      <c r="R44" s="2"/>
      <c r="S44" s="120" t="s">
        <v>172</v>
      </c>
      <c r="T44" s="120" t="s">
        <v>2</v>
      </c>
      <c r="U44" s="120" t="s">
        <v>173</v>
      </c>
      <c r="V44" s="120" t="s">
        <v>167</v>
      </c>
      <c r="W44" s="120"/>
      <c r="X44" s="152" t="str">
        <f>$X$6</f>
        <v>Vessel MT</v>
      </c>
      <c r="Y44" s="120" t="s">
        <v>175</v>
      </c>
      <c r="Z44" s="120" t="s">
        <v>176</v>
      </c>
      <c r="AA44" s="120" t="s">
        <v>177</v>
      </c>
      <c r="AB44" s="120" t="s">
        <v>178</v>
      </c>
      <c r="AC44" s="120" t="s">
        <v>200</v>
      </c>
      <c r="AD44" s="146" t="str">
        <f>$AD$6</f>
        <v xml:space="preserve">Current WS Rate </v>
      </c>
      <c r="AE44" s="128" t="s">
        <v>202</v>
      </c>
      <c r="AF44" s="150" t="s">
        <v>182</v>
      </c>
      <c r="AG44" s="136" t="s">
        <v>183</v>
      </c>
      <c r="AH44" s="146" t="s">
        <v>279</v>
      </c>
      <c r="AI44" s="136" t="s">
        <v>184</v>
      </c>
      <c r="AJ44" s="136" t="s">
        <v>140</v>
      </c>
      <c r="AK44" s="136" t="str">
        <f>AK24</f>
        <v>STS</v>
      </c>
      <c r="AL44" s="136" t="s">
        <v>186</v>
      </c>
      <c r="AM44" s="136" t="s">
        <v>187</v>
      </c>
      <c r="AN44" s="136" t="s">
        <v>141</v>
      </c>
      <c r="AO44" s="136" t="s">
        <v>188</v>
      </c>
      <c r="AP44" s="136" t="s">
        <v>17</v>
      </c>
      <c r="AQ44" s="136" t="s">
        <v>207</v>
      </c>
      <c r="AR44" s="136" t="s">
        <v>189</v>
      </c>
      <c r="AS44" s="136" t="s">
        <v>152</v>
      </c>
      <c r="AT44" s="150" t="s">
        <v>208</v>
      </c>
      <c r="AU44" s="150" t="s">
        <v>209</v>
      </c>
      <c r="AV44" s="150" t="s">
        <v>210</v>
      </c>
      <c r="AW44" s="137" t="s">
        <v>211</v>
      </c>
      <c r="AY44" s="137" t="s">
        <v>195</v>
      </c>
      <c r="BA44" s="1011" t="s">
        <v>196</v>
      </c>
      <c r="BB44" s="1011"/>
      <c r="BD44" s="118"/>
      <c r="BL44" s="132"/>
      <c r="BM44" s="127"/>
      <c r="BN44" s="132"/>
      <c r="BO44" s="132"/>
    </row>
    <row r="45" spans="1:67" x14ac:dyDescent="0.35">
      <c r="B45" s="163">
        <f t="shared" ref="B45" si="90">+$B$7</f>
        <v>44253</v>
      </c>
      <c r="C45" s="163">
        <f t="shared" ref="C45" si="91">IF(ISBLANK(B45),"",B45+2)</f>
        <v>44255</v>
      </c>
      <c r="E45" s="16"/>
      <c r="F45" s="138">
        <f>INDEX('[2]Flat Rates 2022'!$A:$DB,MATCH(H45,'[2]Flat Rates 2022'!$A:$A,0),MATCH(K45,'[2]Flat Rates 2022'!$A$1:$DB$1,0))</f>
        <v>8.1199999999999992</v>
      </c>
      <c r="G45" s="138" t="e">
        <f>INDEX(Control!$E$17:$J$21,MATCH(M45,Control!$E$17:$E$21,0),MATCH(H45,Control!$E$17:$J$17,0))</f>
        <v>#N/A</v>
      </c>
      <c r="H45" s="138" t="str">
        <f t="shared" ref="H45" si="92">$H$7</f>
        <v>Beaumont</v>
      </c>
      <c r="I45" s="116" t="e">
        <f>INDEX(Vessel_Minimum_MT,MATCH(M45,Control!$E$11:$E$15,0),MATCH(H45,Control!$E$11:$J$11,0))</f>
        <v>#N/A</v>
      </c>
      <c r="J45" s="116">
        <f>N45/$BF$15</f>
        <v>106053.53535353536</v>
      </c>
      <c r="K45" s="138" t="s">
        <v>55</v>
      </c>
      <c r="L45" s="138" t="e">
        <f>IF(K45=H45,"",CONCATENATE(CONCATENATE(VLOOKUP(H45,Zones,2,FALSE),"/",VLOOKUP(K45,Zones,2,FALSE))))</f>
        <v>#N/A</v>
      </c>
      <c r="M45" s="147" t="s">
        <v>23</v>
      </c>
      <c r="N45" s="141">
        <v>700000</v>
      </c>
      <c r="O45" s="17">
        <v>170</v>
      </c>
      <c r="P45" s="18">
        <v>0</v>
      </c>
      <c r="Q45" s="148" t="e">
        <f>IF($H45="Esmeraldas",IF(O45&gt;1000,IF(P45=0,O45,P45)/N45*1.1,((I45*F45*(IF(P45=0,O45,P45)/100))+IF(J45&lt;I45,0,(J45-I45)*F45*IF(P45=0,O45,P45)/100*G45))/N45*1.1),IF(O45&gt;1000,IF(P45=0,O45,P45)/N45,((I45*F45*(IF(P45=0,O45,P45)/100))+IF(J45&lt;I45,0,(J45-I45)*F45*IF(P45=0,O45,P45)/100*G45)))/N45)</f>
        <v>#N/A</v>
      </c>
      <c r="R45" s="2"/>
      <c r="S45" s="138">
        <f>INDEX('[2]Flat Rates 2022'!$A:$DB,MATCH(U45,'[2]Flat Rates 2022'!$A:$A,0),MATCH(AA45,'[2]Flat Rates 2022'!$A$1:$DB$1,0))</f>
        <v>18.82</v>
      </c>
      <c r="T45" s="138">
        <f>INDEX(Control!$E$17:$J$21,MATCH(Z45,Control!$E$17:$E$21,0),MATCH(U45,Control!$E$17:$J$17,0))</f>
        <v>0</v>
      </c>
      <c r="U45" s="138" t="s">
        <v>55</v>
      </c>
      <c r="V45" s="139">
        <v>43430</v>
      </c>
      <c r="W45" s="139">
        <f t="shared" ref="W45" si="93">+V45+4</f>
        <v>43434</v>
      </c>
      <c r="X45" s="116">
        <f>INDEX(Vessel_Minimum_MT,MATCH(Z45,Control!$E$11:$E$15,0),MATCH(U45,Control!$E$11:$J$11,0))</f>
        <v>70000</v>
      </c>
      <c r="Y45" s="140">
        <f>AC45/$BF$15</f>
        <v>113628.78787878789</v>
      </c>
      <c r="Z45" s="147" t="s">
        <v>23</v>
      </c>
      <c r="AA45" s="164" t="s">
        <v>42</v>
      </c>
      <c r="AB45" s="142" t="str">
        <f>IF(AA45=U45,"",CONCATENATE(CONCATENATE(VLOOKUP(U45,Zones,2,FALSE),"/",VLOOKUP(AA45,Zones,2,FALSE))))</f>
        <v>CARIBS/Nsea</v>
      </c>
      <c r="AC45" s="141">
        <v>750000</v>
      </c>
      <c r="AD45" s="141">
        <f>$AD$37</f>
        <v>145</v>
      </c>
      <c r="AE45" s="151">
        <v>0</v>
      </c>
      <c r="AF45" s="149">
        <f>IF($U45="Esmeraldas",IF(AD45&gt;1000,IF(AE45=0,AD45,AE45)/AC45*1.1,((X45*S45*(IF(AE45=0,AD45,AE45)/100))+IF(Y45&lt;X45,0,(Y45-X45)*S45*IF(AE45=0,AD45,AE45)/100*T45))/AC45*1.1),IF(AD45&gt;1000,IF(AE45=0,AD45,AE45)/AC45,((X45*S45*(IF(AE45=0,AD45,AE45)/100))+IF(Y45&lt;X45,0,(Y45-X45)*S45*IF(AE45=0,AD45,AE45)/100*T45))/AC45))</f>
        <v>2.5469733333333333</v>
      </c>
      <c r="AG45" s="134">
        <v>2</v>
      </c>
      <c r="AH45" s="155">
        <f>IF(INDEX(Index,MATCH(AA45,TVM_PortList,0),MATCH("Type",Control!$Q$3:$U$3,0))="BL",INDEX(Index,MATCH(AA45,TVM_PortList,0),MATCH("Payment",Control!$Q$3:$U$3,0))-INDEX(Index,MATCH(U45,TVM_PortList,0),MATCH("Payment",Control!$Q$3:$U$3,0)),AY45+INDEX(Index,MATCH(AA45,TVM_PortList,0),MATCH("Payment",Control!$Q$3:$U$3,0))-INDEX(Index,MATCH(U45,TVM_PortList,0),MATCH("Payment",Control!$Q$3:$U$3,0)))</f>
        <v>17</v>
      </c>
      <c r="AI45" s="143">
        <f>AG45*VLOOKUP($Z45,$BH$7:$BJ$11,3,FALSE)/$AC45</f>
        <v>5.1999999999999998E-2</v>
      </c>
      <c r="AJ45" s="143">
        <f>IF(AH45&lt;0,0,$AH45*$BF$9)</f>
        <v>0.15928767123287671</v>
      </c>
      <c r="AK45" s="143">
        <f>IF(((AC45-VLOOKUP(Z45,$BL$8:$BM$12,2,FALSE))/$BF$16)&lt;=0,0,$BJ$13/AC45)</f>
        <v>2.4666666666666668</v>
      </c>
      <c r="AL45" s="143">
        <f>IF(H45="Beaumont",$BF$8,0)</f>
        <v>0.09</v>
      </c>
      <c r="AM45" s="143">
        <v>0</v>
      </c>
      <c r="AN45" s="143">
        <f t="shared" ref="AN45" si="94">$BF$10</f>
        <v>0.01</v>
      </c>
      <c r="AO45" s="143">
        <f t="shared" ref="AO45" si="95">$BF$11</f>
        <v>0.01</v>
      </c>
      <c r="AP45" s="143">
        <f>IF(INDEX(Control!$Q$3:$S$62,MATCH($AA45,Control!$Q$3:$Q$62,0),MATCH(AP$6,Control!$Q$3:$S$3,0))=1,$BF$12*$BG$12,0)</f>
        <v>0</v>
      </c>
      <c r="AQ45" s="143" t="e">
        <f>IF(INDEX(Control!$Q$3:$S$62,MATCH($AA45,Control!$Q$3:$Q$62,0),MATCH(AQ$6,Control!$Q$3:$S$3,0))=1,$BF$13/$AC45,0)</f>
        <v>#N/A</v>
      </c>
      <c r="AR45" s="143">
        <f>$BF$14</f>
        <v>0</v>
      </c>
      <c r="AS45" s="143">
        <f>IF(AND(K45="Chiriqui Grande",U45="Puerto Armuelles"),$BI$16,0)</f>
        <v>0</v>
      </c>
      <c r="AT45" s="149" t="e">
        <f t="shared" ref="AT45" si="96">SUM(AI45:AS45)</f>
        <v>#N/A</v>
      </c>
      <c r="AU45" s="149" t="e">
        <f>+Q45+AF45+AT45</f>
        <v>#N/A</v>
      </c>
      <c r="AV45" s="149">
        <f>IF(MONTH(BB45)-MONTH(B45)=1,$AV$3,IF(MONTH(BB45)-MONTH(B45)=0,0,$AV$3+$AW$3))-$M$4</f>
        <v>0.51</v>
      </c>
      <c r="AW45" s="145" t="e">
        <f t="shared" ref="AW45" si="97">$M$3+AU45+AV45</f>
        <v>#N/A</v>
      </c>
      <c r="AY45" s="153">
        <f>INDEX('[1]Transit Time'!$A:$DC,MATCH(H45,'[1]Transit Time'!$A:$A,0),MATCH(K45,'[1]Transit Time'!$A$1:$DC$1,0))+INDEX('[1]Transit Time'!$A:$DC,MATCH(K45,'[1]Transit Time'!$A:$A,0),MATCH(U45,'[1]Transit Time'!$A$1:$DC$1,0))+INDEX('[1]Transit Time'!$A:$DC,MATCH(U45,'[1]Transit Time'!$A:$A,0),MATCH(AA45,'[1]Transit Time'!$A$1:$DC$1,0))</f>
        <v>24.5</v>
      </c>
      <c r="BA45" s="163">
        <f>IF(ISBLANK(B45),"",B45+$AY45)</f>
        <v>44277.5</v>
      </c>
      <c r="BB45" s="163">
        <f>IFERROR(IF(ISBLANK(C45),"",C45+$AY45),"")</f>
        <v>44279.5</v>
      </c>
    </row>
    <row r="46" spans="1:67" x14ac:dyDescent="0.35">
      <c r="B46"/>
      <c r="C46"/>
      <c r="N46"/>
      <c r="O46"/>
      <c r="P46"/>
      <c r="R46" s="2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D46"/>
      <c r="BE46"/>
      <c r="BF46"/>
      <c r="BG46"/>
    </row>
    <row r="47" spans="1:67" ht="16" thickBot="1" x14ac:dyDescent="0.4">
      <c r="B47"/>
      <c r="C47"/>
      <c r="N47"/>
      <c r="O47"/>
      <c r="P47"/>
      <c r="R47" s="2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D47"/>
      <c r="BE47"/>
      <c r="BF47"/>
      <c r="BG47"/>
    </row>
    <row r="48" spans="1:67" ht="18.75" customHeight="1" thickBot="1" x14ac:dyDescent="0.5">
      <c r="B48" s="294" t="s">
        <v>297</v>
      </c>
      <c r="C48" s="295">
        <v>-6</v>
      </c>
      <c r="E48" s="1044" t="s">
        <v>298</v>
      </c>
      <c r="F48" s="1045"/>
      <c r="G48" s="1045"/>
      <c r="H48" s="1045"/>
      <c r="I48" s="1045"/>
      <c r="J48" s="1045"/>
      <c r="K48" s="1045"/>
      <c r="L48" s="1045"/>
      <c r="M48" s="1045"/>
      <c r="N48" s="1045"/>
      <c r="O48" s="1045"/>
      <c r="P48" s="1045"/>
      <c r="Q48" s="1045"/>
      <c r="R48" s="2"/>
      <c r="S48" s="9"/>
      <c r="T48" s="9"/>
      <c r="U48" s="9"/>
      <c r="V48" s="9"/>
      <c r="W48" s="9"/>
      <c r="X48" s="9"/>
      <c r="Y48" s="9"/>
      <c r="Z48" s="1044" t="s">
        <v>299</v>
      </c>
      <c r="AA48" s="1045"/>
      <c r="AB48" s="1045"/>
      <c r="AC48" s="1045"/>
      <c r="AD48" s="1045"/>
      <c r="AE48" s="1045"/>
      <c r="AF48" s="1045"/>
      <c r="AG48" s="1045"/>
      <c r="AH48" s="1045"/>
      <c r="AI48" s="1045"/>
      <c r="AJ48" s="1045"/>
      <c r="AK48" s="1045"/>
      <c r="AL48" s="1045"/>
      <c r="AM48" s="1045"/>
      <c r="AN48" s="1045"/>
      <c r="AO48" s="1045"/>
      <c r="AP48" s="1045"/>
      <c r="AQ48" s="1045"/>
      <c r="AR48" s="1045"/>
      <c r="AS48" s="1045"/>
      <c r="AT48" s="1045"/>
      <c r="AU48" s="1045"/>
      <c r="AV48" s="1045"/>
      <c r="AW48" s="1046"/>
      <c r="AY48"/>
      <c r="BA48"/>
      <c r="BB48"/>
      <c r="BD48" s="152"/>
      <c r="BE48" s="152"/>
      <c r="BF48" s="152"/>
      <c r="BG48" s="152"/>
    </row>
    <row r="49" spans="1:59" x14ac:dyDescent="0.35">
      <c r="B49" s="163">
        <f t="shared" ref="B49:B52" si="98">+$B$7</f>
        <v>44253</v>
      </c>
      <c r="C49" s="163">
        <f t="shared" ref="C49:C51" si="99">IF(ISBLANK(B49),"",B49+2)</f>
        <v>44255</v>
      </c>
      <c r="E49" s="287"/>
      <c r="F49" s="288">
        <f>INDEX('[2]Flat Rates 2022'!$A:$DB,MATCH(H49,'[2]Flat Rates 2022'!$A:$A,0),MATCH(K49,'[2]Flat Rates 2022'!$A$1:$DB$1,0))</f>
        <v>0</v>
      </c>
      <c r="G49" s="288" t="e">
        <f>INDEX(Control!$E$17:$O$21,MATCH(M49,Control!$E$17:$E$21,0),MATCH(H49,Control!$E$17:$O$17,0))</f>
        <v>#N/A</v>
      </c>
      <c r="H49" s="288" t="s">
        <v>300</v>
      </c>
      <c r="I49" s="289" t="e">
        <f>INDEX(Vessel_Minimum_MT,MATCH(M49,Control!$E$11:$E$15,0),MATCH(H49,Control!$E$11:$O$11,0))</f>
        <v>#N/A</v>
      </c>
      <c r="J49" s="289">
        <f>N49/$BF$15</f>
        <v>106053.53535353536</v>
      </c>
      <c r="K49" s="288" t="s">
        <v>300</v>
      </c>
      <c r="L49" s="288" t="str">
        <f>IF(K49=H49,"",CONCATENATE(CONCATENATE(VLOOKUP(H49,Zones,2,FALSE),"/",VLOOKUP(K49,Zones,2,FALSE))))</f>
        <v/>
      </c>
      <c r="M49" s="290" t="s">
        <v>23</v>
      </c>
      <c r="N49" s="291">
        <v>700000</v>
      </c>
      <c r="O49" s="292">
        <v>0</v>
      </c>
      <c r="P49" s="293">
        <v>0</v>
      </c>
      <c r="Q49" s="286" t="e">
        <f>IF($H49="Esmeraldas",IF(O49&gt;1000,IF(P49=0,O49,P49)/N49*1.1,((I49*F49*(IF(P49=0,O49,P49)/100))+IF(J49&lt;I49,0,(J49-I49)*F49*IF(P49=0,O49,P49)/100*G49))/N49*1.1),IF(O49&gt;1000,IF(P49=0,O49,P49)/N49,((I49*F49*(IF(P49=0,O49,P49)/100))+IF(J49&lt;I49,0,(J49-I49)*F49*IF(P49=0,O49,P49)/100*G49)))/N49)</f>
        <v>#N/A</v>
      </c>
      <c r="R49" s="2"/>
      <c r="S49" s="138">
        <f>INDEX('[2]Flat Rates 2022'!$A:$DB,MATCH(U49,'[2]Flat Rates 2022'!$A:$A,0),MATCH(AA49,'[2]Flat Rates 2022'!$A$1:$DB$1,0))</f>
        <v>8.0299999999999994</v>
      </c>
      <c r="T49" s="138" t="e">
        <f>INDEX(Control!$E$17:$O$21,MATCH(Z49,Control!$E$17:$E$21,0),MATCH(U49,Control!$E$17:$O$17,0))</f>
        <v>#N/A</v>
      </c>
      <c r="U49" s="138" t="s">
        <v>300</v>
      </c>
      <c r="V49" s="139">
        <v>43430</v>
      </c>
      <c r="W49" s="139">
        <f t="shared" ref="W49:W51" si="100">+V49+4</f>
        <v>43434</v>
      </c>
      <c r="X49" s="116" t="e">
        <f>INDEX(Vessel_Minimum_MT,MATCH(Z49,Control!$E$11:$E$15,0),MATCH(U49,Control!$E$11:$O$11,0))</f>
        <v>#N/A</v>
      </c>
      <c r="Y49" s="140">
        <f>AC49/$BF$15</f>
        <v>71964.898989898997</v>
      </c>
      <c r="Z49" s="147" t="s">
        <v>23</v>
      </c>
      <c r="AA49" s="164" t="s">
        <v>71</v>
      </c>
      <c r="AB49" s="142" t="e">
        <f>IF(AA49=U49,"",CONCATENATE(CONCATENATE(VLOOKUP(U49,Zones,2,FALSE),"/",VLOOKUP(AA49,Zones,2,FALSE))))</f>
        <v>#N/A</v>
      </c>
      <c r="AC49" s="141">
        <v>475000</v>
      </c>
      <c r="AD49" s="141">
        <v>265</v>
      </c>
      <c r="AE49" s="151">
        <v>100</v>
      </c>
      <c r="AF49" s="149" t="e">
        <f>IF($U49="Esmeraldas",IF(AD49&gt;1000,IF(AE49=0,AD49,AE49)/AC49*1.1,((X49*S49*(IF(AE49=0,AD49,AE49)/100))+IF(Y49&lt;X49,0,(Y49-X49)*S49*IF(AE49=0,AD49,AE49)/100*T49))/AC49*1.1),IF(AD49&gt;1000,IF(AE49=0,AD49,AE49)/AC49,((X49*S49*(IF(AE49=0,AD49,AE49)/100))+IF(Y49&lt;X49,0,(Y49-X49)*S49*IF(AE49=0,AD49,AE49)/100*T49))/AC49))</f>
        <v>#N/A</v>
      </c>
      <c r="AG49" s="134">
        <v>2</v>
      </c>
      <c r="AH49" s="155" t="e">
        <f>IF(INDEX(Index,MATCH(AA49,TVM_PortList,0),MATCH("Type",Control!$Q$3:$U$3,0))="BL",INDEX(Index,MATCH(AA49,TVM_PortList,0),MATCH("Payment",Control!$Q$3:$U$3,0))-INDEX(Index,MATCH(U49,TVM_PortList,0),MATCH("Payment",Control!$Q$3:$U$3,0)),AY49+INDEX(Index,MATCH(AA49,TVM_PortList,0),MATCH("Payment",Control!$Q$3:$U$3,0))-INDEX(Index,MATCH(U49,TVM_PortList,0),MATCH("Payment",Control!$Q$3:$U$3,0)))</f>
        <v>#N/A</v>
      </c>
      <c r="AI49" s="143">
        <f>AG49*VLOOKUP($Z49,$BH$7:$BJ$11,3,FALSE)/$AC49</f>
        <v>8.2105263157894737E-2</v>
      </c>
      <c r="AJ49" s="143" t="e">
        <f>IF(AH49&lt;0,0,$AH49*$BF$9)</f>
        <v>#N/A</v>
      </c>
      <c r="AK49" s="143">
        <f>IF(((AC49-VLOOKUP(Z49,$BL$8:$BM$12,2,FALSE))/$BF$16)&lt;=0,0,$BJ$13/AC49)</f>
        <v>0</v>
      </c>
      <c r="AL49" s="143">
        <f>IF(H49="Beaumont",$BF$8,0)</f>
        <v>0</v>
      </c>
      <c r="AM49" s="143">
        <v>0</v>
      </c>
      <c r="AN49" s="143">
        <f t="shared" ref="AN49:AN52" si="101">$BF$10</f>
        <v>0.01</v>
      </c>
      <c r="AO49" s="143">
        <f t="shared" ref="AO49:AO52" si="102">$BF$11</f>
        <v>0.01</v>
      </c>
      <c r="AP49" s="143">
        <f>IF(INDEX(Control!$Q$3:$S$62,MATCH($AA49,Control!$Q$3:$Q$62,0),MATCH(AP$6,Control!$Q$3:$S$3,0))=1,$BF$12*$BG$12,0)</f>
        <v>0.2</v>
      </c>
      <c r="AQ49" s="143" t="e">
        <f>IF(INDEX(Control!$Q$3:$S$62,MATCH($AA49,Control!$Q$3:$Q$62,0),MATCH(AQ$6,Control!$Q$3:$S$3,0))=1,$BF$13/$AC49,0)</f>
        <v>#N/A</v>
      </c>
      <c r="AR49" s="143">
        <f>$BF$14</f>
        <v>0</v>
      </c>
      <c r="AS49" s="143">
        <f>IF(AND(K49="Chiriqui Grande",U49="Puerto Armuelles"),$BI$16,0)</f>
        <v>0</v>
      </c>
      <c r="AT49" s="149" t="e">
        <f t="shared" ref="AT49:AT51" si="103">SUM(AI49:AS49)</f>
        <v>#N/A</v>
      </c>
      <c r="AU49" s="149" t="e">
        <f>+Q49+AF49+AT49</f>
        <v>#N/A</v>
      </c>
      <c r="AV49" s="149">
        <f t="shared" ref="AV49:AV51" si="104">IF(MONTH(BB49)-MONTH(B49)=1,$AV$3,IF(MONTH(BB49)-MONTH(B49)=0,0,$AV$3+$AW$3))</f>
        <v>0.01</v>
      </c>
      <c r="AW49" s="145" t="e">
        <f>$C$48+AU49+AV49</f>
        <v>#N/A</v>
      </c>
      <c r="AY49" s="153">
        <f>INDEX('[1]Transit Time'!$A:$DC,MATCH(H49,'[1]Transit Time'!$A:$A,0),MATCH(K49,'[1]Transit Time'!$A$1:$DC$1,0))+INDEX('[1]Transit Time'!$A:$DC,MATCH(K49,'[1]Transit Time'!$A:$A,0),MATCH(U49,'[1]Transit Time'!$A$1:$DC$1,0))+INDEX('[1]Transit Time'!$A:$DC,MATCH(U49,'[1]Transit Time'!$A:$A,0),MATCH(AA49,'[1]Transit Time'!$A$1:$DC$1,0))</f>
        <v>7.5</v>
      </c>
      <c r="BA49" s="163">
        <f>IF(ISBLANK(B49),"",B49+$AY49)</f>
        <v>44260.5</v>
      </c>
      <c r="BB49" s="163">
        <f>IFERROR(IF(ISBLANK(C49),"",C49+$AY49),"")</f>
        <v>44262.5</v>
      </c>
    </row>
    <row r="50" spans="1:59" s="165" customFormat="1" x14ac:dyDescent="0.35">
      <c r="A50" s="2"/>
      <c r="B50" s="230">
        <f t="shared" si="98"/>
        <v>44253</v>
      </c>
      <c r="C50" s="230">
        <f t="shared" si="99"/>
        <v>44255</v>
      </c>
      <c r="D50" s="210"/>
      <c r="E50" s="296"/>
      <c r="F50" s="297">
        <f>INDEX('[2]Flat Rates 2022'!$A:$DB,MATCH(H50,'[2]Flat Rates 2022'!$A:$A,0),MATCH(K50,'[2]Flat Rates 2022'!$A$1:$DB$1,0))</f>
        <v>0</v>
      </c>
      <c r="G50" s="297" t="e">
        <f>INDEX(Control!$E$17:$O$21,MATCH(M50,Control!$E$17:$E$21,0),MATCH(H50,Control!$E$17:$O$17,0))</f>
        <v>#N/A</v>
      </c>
      <c r="H50" s="297" t="s">
        <v>300</v>
      </c>
      <c r="I50" s="298" t="e">
        <f>INDEX(Vessel_Minimum_MT,MATCH(M50,Control!$E$11:$E$15,0),MATCH(H50,Control!$E$11:$O$11,0))</f>
        <v>#N/A</v>
      </c>
      <c r="J50" s="299">
        <f>N50/$BF$15</f>
        <v>75752.525252525258</v>
      </c>
      <c r="K50" s="297" t="s">
        <v>300</v>
      </c>
      <c r="L50" s="297" t="str">
        <f>IF(K50=H50,"",CONCATENATE(CONCATENATE(VLOOKUP(H50,Zones,2,FALSE),"/",VLOOKUP(K50,Zones,2,FALSE))))</f>
        <v/>
      </c>
      <c r="M50" s="300" t="s">
        <v>23</v>
      </c>
      <c r="N50" s="299">
        <v>500000</v>
      </c>
      <c r="O50" s="301">
        <v>0</v>
      </c>
      <c r="P50" s="302">
        <v>100</v>
      </c>
      <c r="Q50" s="303" t="e">
        <f>IF($H50="Esmeraldas",IF(O50&gt;1000,IF(P50=0,O50,P50)/N50*1.1,((I50*F50*(IF(P50=0,O50,P50)/100))+IF(J50&lt;I50,0,(J50-I50)*F50*IF(P50=0,O50,P50)/100*G50))/N50*1.1),IF(O50&gt;1000,IF(P50=0,O50,P50)/N50,((I50*F50*(IF(P50=0,O50,P50)/100))+IF(J50&lt;I50,0,(J50-I50)*F50*IF(P50=0,O50,P50)/100*G50)))/N50)</f>
        <v>#N/A</v>
      </c>
      <c r="R50" s="2"/>
      <c r="S50" s="220">
        <f>INDEX('[2]Flat Rates 2022'!$A:$DB,MATCH(U50,'[2]Flat Rates 2022'!$A:$A,0),MATCH(AA50,'[2]Flat Rates 2022'!$A$1:$DB$1,0))</f>
        <v>25.45</v>
      </c>
      <c r="T50" s="220">
        <f>INDEX(Control!$E$17:$O$21,MATCH(Z50,Control!$E$17:$E$21,0),MATCH(U50,Control!$E$17:$O$17,0))</f>
        <v>0.5</v>
      </c>
      <c r="U50" s="220" t="s">
        <v>63</v>
      </c>
      <c r="V50" s="221">
        <v>43430</v>
      </c>
      <c r="W50" s="221">
        <f t="shared" si="100"/>
        <v>43434</v>
      </c>
      <c r="X50" s="213">
        <f>INDEX(Vessel_Minimum_MT,MATCH(Z50,Control!$E$11:$E$15,0),MATCH(U50,Control!$E$11:$O$11,0))</f>
        <v>70000</v>
      </c>
      <c r="Y50" s="222">
        <f>AC50/$BF$15</f>
        <v>71964.898989898997</v>
      </c>
      <c r="Z50" s="215" t="s">
        <v>23</v>
      </c>
      <c r="AA50" s="223" t="s">
        <v>100</v>
      </c>
      <c r="AB50" s="212" t="str">
        <f>IF(AA50=U50,"",CONCATENATE(CONCATENATE(VLOOKUP(U50,Zones,2,FALSE),"/",VLOOKUP(AA50,Zones,2,FALSE))))</f>
        <v>Panama WC/KOREA</v>
      </c>
      <c r="AC50" s="214">
        <v>475000</v>
      </c>
      <c r="AD50" s="214">
        <v>1001</v>
      </c>
      <c r="AE50" s="262">
        <v>1250000</v>
      </c>
      <c r="AF50" s="225">
        <f>IF($U50="Esmeraldas",IF(AD50&gt;1000,IF(AE50=0,AD50,AE50)/AC50*1.1,((X50*S50*(IF(AE50=0,AD50,AE50)/100))+IF(Y50&lt;X50,0,(Y50-X50)*S50*IF(AE50=0,AD50,AE50)/100*T50))/AC50*1.1),IF(AD50&gt;1000,IF(AE50=0,AD50,AE50)/AC50,((X50*S50*(IF(AE50=0,AD50,AE50)/100))+IF(Y50&lt;X50,0,(Y50-X50)*S50*IF(AE50=0,AD50,AE50)/100*T50))/AC50))</f>
        <v>2.6315789473684212</v>
      </c>
      <c r="AG50" s="226">
        <v>2</v>
      </c>
      <c r="AH50" s="214">
        <f>IF(INDEX(Index,MATCH(AA50,TVM_PortList,0),MATCH("Type",Control!$Q$3:$U$3,0))="BL",INDEX(Index,MATCH(AA50,TVM_PortList,0),MATCH("Payment",Control!$Q$3:$U$3,0))-INDEX(Index,MATCH(U50,TVM_PortList,0),MATCH("Payment",Control!$Q$3:$U$3,0)),AY50+INDEX(Index,MATCH(AA50,TVM_PortList,0),MATCH("Payment",Control!$Q$3:$U$3,0))-INDEX(Index,MATCH(U50,TVM_PortList,0),MATCH("Payment",Control!$Q$3:$U$3,0)))</f>
        <v>40</v>
      </c>
      <c r="AI50" s="227">
        <f>AG50*VLOOKUP($Z50,$BH$7:$BJ$11,3,FALSE)/$AC50</f>
        <v>8.2105263157894737E-2</v>
      </c>
      <c r="AJ50" s="227">
        <f>IF(AH50&lt;0,0,$AH50*$BF$9)</f>
        <v>0.37479452054794521</v>
      </c>
      <c r="AK50" s="227">
        <f>IF(((AC50-VLOOKUP(Z50,$BL$8:$BM$12,2,FALSE))/$BF$16)&lt;=0,0,$BJ$13/AC50)</f>
        <v>0</v>
      </c>
      <c r="AL50" s="227">
        <f>IF(H50="Beaumont",$BF$8,0)</f>
        <v>0</v>
      </c>
      <c r="AM50" s="227">
        <v>0</v>
      </c>
      <c r="AN50" s="227">
        <f t="shared" si="101"/>
        <v>0.01</v>
      </c>
      <c r="AO50" s="227">
        <f t="shared" si="102"/>
        <v>0.01</v>
      </c>
      <c r="AP50" s="227">
        <f>IF(INDEX(Control!$Q$3:$S$62,MATCH($AA50,Control!$Q$3:$Q$62,0),MATCH(AP$6,Control!$Q$3:$S$3,0))=1,$BF$12*$BG$12,0)</f>
        <v>0.2</v>
      </c>
      <c r="AQ50" s="227" t="e">
        <f>IF(INDEX(Control!$Q$3:$S$62,MATCH($AA50,Control!$Q$3:$Q$62,0),MATCH(AQ$6,Control!$Q$3:$S$3,0))=1,$BF$13/$AC50,0)</f>
        <v>#N/A</v>
      </c>
      <c r="AR50" s="227">
        <f>$BF$14</f>
        <v>0</v>
      </c>
      <c r="AS50" s="227">
        <f>IF(AND(K50="Chiriqui Grande",U50="Puerto Armuelles"),$BI$16,0)</f>
        <v>0</v>
      </c>
      <c r="AT50" s="225" t="e">
        <f t="shared" si="103"/>
        <v>#N/A</v>
      </c>
      <c r="AU50" s="225" t="e">
        <f>+Q50+AF50+AT50</f>
        <v>#N/A</v>
      </c>
      <c r="AV50" s="225">
        <f t="shared" si="104"/>
        <v>0.09</v>
      </c>
      <c r="AW50" s="228" t="e">
        <f t="shared" ref="AW50:AW51" si="105">$C$48+AU50+AV50</f>
        <v>#N/A</v>
      </c>
      <c r="AX50" s="220"/>
      <c r="AY50" s="229">
        <f>INDEX('[1]Transit Time'!$A:$DC,MATCH(H50,'[1]Transit Time'!$A:$A,0),MATCH(K50,'[1]Transit Time'!$A$1:$DC$1,0))+INDEX('[1]Transit Time'!$A:$DC,MATCH(K50,'[1]Transit Time'!$A:$A,0),MATCH(U50,'[1]Transit Time'!$A$1:$DC$1,0))+INDEX('[1]Transit Time'!$A:$DC,MATCH(U50,'[1]Transit Time'!$A:$A,0),MATCH(AA50,'[1]Transit Time'!$A$1:$DC$1,0))</f>
        <v>45</v>
      </c>
      <c r="AZ50" s="204"/>
      <c r="BA50" s="230">
        <f>IF(ISBLANK(B50),"",B50+$AY50)</f>
        <v>44298</v>
      </c>
      <c r="BB50" s="230">
        <f>IFERROR(IF(ISBLANK(C50),"",C50+$AY50),"")</f>
        <v>44300</v>
      </c>
      <c r="BC50"/>
      <c r="BF50" s="166"/>
      <c r="BG50" s="166"/>
    </row>
    <row r="51" spans="1:59" x14ac:dyDescent="0.35">
      <c r="B51" s="163">
        <f t="shared" si="98"/>
        <v>44253</v>
      </c>
      <c r="C51" s="163">
        <f t="shared" si="99"/>
        <v>44255</v>
      </c>
      <c r="E51" s="16"/>
      <c r="F51" s="138">
        <f>INDEX('[2]Flat Rates 2022'!$A:$DB,MATCH(H51,'[2]Flat Rates 2022'!$A:$A,0),MATCH(K51,'[2]Flat Rates 2022'!$A$1:$DB$1,0))</f>
        <v>8.0299999999999994</v>
      </c>
      <c r="G51" s="138" t="e">
        <f>INDEX(Control!$E$17:$O$21,MATCH(M51,Control!$E$17:$E$21,0),MATCH(H51,Control!$E$17:$O$17,0))</f>
        <v>#N/A</v>
      </c>
      <c r="H51" s="138" t="s">
        <v>300</v>
      </c>
      <c r="I51" s="116" t="e">
        <f>INDEX(Vessel_Minimum_MT,MATCH(M51,Control!$E$11:$E$15,0),MATCH(H51,Control!$E$11:$O$11,0))</f>
        <v>#N/A</v>
      </c>
      <c r="J51" s="116">
        <f>N51/$BF$15</f>
        <v>75752.525252525258</v>
      </c>
      <c r="K51" s="138" t="s">
        <v>71</v>
      </c>
      <c r="L51" s="138" t="e">
        <f>IF(K51=H51,"",CONCATENATE(CONCATENATE(VLOOKUP(H51,Zones,2,FALSE),"/",VLOOKUP(K51,Zones,2,FALSE))))</f>
        <v>#N/A</v>
      </c>
      <c r="M51" s="147" t="s">
        <v>23</v>
      </c>
      <c r="N51" s="141">
        <v>500000</v>
      </c>
      <c r="O51" s="17">
        <v>265</v>
      </c>
      <c r="P51" s="18">
        <v>100</v>
      </c>
      <c r="Q51" s="148" t="e">
        <f>IF($H51="Esmeraldas",IF(O51&gt;1000,IF(P51=0,O51,P51)/N51*1.1,((I51*F51*(IF(P51=0,O51,P51)/100))+IF(J51&lt;I51,0,(J51-I51)*F51*IF(P51=0,O51,P51)/100*G51))/N51*1.1),IF(O51&gt;1000,IF(P51=0,O51,P51)/N51,((I51*F51*(IF(P51=0,O51,P51)/100))+IF(J51&lt;I51,0,(J51-I51)*F51*IF(P51=0,O51,P51)/100*G51)))/N51)</f>
        <v>#N/A</v>
      </c>
      <c r="R51" s="2"/>
      <c r="S51" s="138">
        <f>INDEX('[2]Flat Rates 2022'!$A:$DB,MATCH(U51,'[2]Flat Rates 2022'!$A:$A,0),MATCH(AA51,'[2]Flat Rates 2022'!$A$1:$DB$1,0))</f>
        <v>25.45</v>
      </c>
      <c r="T51" s="138">
        <f>INDEX(Control!$E$17:$O$21,MATCH(Z51,Control!$E$17:$E$21,0),MATCH(U51,Control!$E$17:$O$17,0))</f>
        <v>0.5</v>
      </c>
      <c r="U51" s="138" t="s">
        <v>63</v>
      </c>
      <c r="V51" s="139">
        <v>43430</v>
      </c>
      <c r="W51" s="139">
        <f t="shared" si="100"/>
        <v>43434</v>
      </c>
      <c r="X51" s="116">
        <f>INDEX(Vessel_Minimum_MT,MATCH(Z51,Control!$E$11:$E$15,0),MATCH(U51,Control!$E$11:$O$11,0))</f>
        <v>270000</v>
      </c>
      <c r="Y51" s="140">
        <f>AC51/$BF$15</f>
        <v>287859.59595959599</v>
      </c>
      <c r="Z51" s="147" t="s">
        <v>25</v>
      </c>
      <c r="AA51" s="164" t="s">
        <v>100</v>
      </c>
      <c r="AB51" s="142" t="str">
        <f>IF(AA51=U51,"",CONCATENATE(CONCATENATE(VLOOKUP(U51,Zones,2,FALSE),"/",VLOOKUP(AA51,Zones,2,FALSE))))</f>
        <v>Panama WC/KOREA</v>
      </c>
      <c r="AC51" s="141">
        <v>1900000</v>
      </c>
      <c r="AD51" s="141">
        <v>1001</v>
      </c>
      <c r="AE51" s="151">
        <v>1800000</v>
      </c>
      <c r="AF51" s="149">
        <f>IF($U51="Esmeraldas",IF(AD51&gt;1000,IF(AE51=0,AD51,AE51)/AC51*1.1,((X51*S51*(IF(AE51=0,AD51,AE51)/100))+IF(Y51&lt;X51,0,(Y51-X51)*S51*IF(AE51=0,AD51,AE51)/100*T51))/AC51*1.1),IF(AD51&gt;1000,IF(AE51=0,AD51,AE51)/AC51,((X51*S51*(IF(AE51=0,AD51,AE51)/100))+IF(Y51&lt;X51,0,(Y51-X51)*S51*IF(AE51=0,AD51,AE51)/100*T51))/AC51))</f>
        <v>0.94736842105263153</v>
      </c>
      <c r="AG51" s="134">
        <v>2</v>
      </c>
      <c r="AH51" s="155">
        <f>IF(INDEX(Index,MATCH(AA51,TVM_PortList,0),MATCH("Type",Control!$Q$3:$U$3,0))="BL",INDEX(Index,MATCH(AA51,TVM_PortList,0),MATCH("Payment",Control!$Q$3:$U$3,0))-INDEX(Index,MATCH(U51,TVM_PortList,0),MATCH("Payment",Control!$Q$3:$U$3,0)),AY51+INDEX(Index,MATCH(AA51,TVM_PortList,0),MATCH("Payment",Control!$Q$3:$U$3,0))-INDEX(Index,MATCH(U51,TVM_PortList,0),MATCH("Payment",Control!$Q$3:$U$3,0)))</f>
        <v>33.5</v>
      </c>
      <c r="AI51" s="143">
        <f>AG51*VLOOKUP($Z51,$BH$7:$BJ$11,3,FALSE)/$AC51</f>
        <v>3.5789473684210524E-2</v>
      </c>
      <c r="AJ51" s="143">
        <f>IF(AH51&lt;0,0,$AH51*$BF$9)</f>
        <v>0.31389041095890408</v>
      </c>
      <c r="AK51" s="143">
        <f>IF(((AC51-VLOOKUP(Z51,$BL$8:$BM$12,2,FALSE))/$BF$16)&lt;=0,0,$BJ$13/AC51)</f>
        <v>0.97368421052631582</v>
      </c>
      <c r="AL51" s="143">
        <f>IF(H51="Beaumont",$BF$8,0)</f>
        <v>0</v>
      </c>
      <c r="AM51" s="143">
        <v>0</v>
      </c>
      <c r="AN51" s="143">
        <f t="shared" si="101"/>
        <v>0.01</v>
      </c>
      <c r="AO51" s="143">
        <f t="shared" si="102"/>
        <v>0.01</v>
      </c>
      <c r="AP51" s="143">
        <f>IF(INDEX(Control!$Q$3:$S$62,MATCH($AA51,Control!$Q$3:$Q$62,0),MATCH(AP$6,Control!$Q$3:$S$3,0))=1,$BF$12*$BG$12,0)</f>
        <v>0.2</v>
      </c>
      <c r="AQ51" s="143" t="e">
        <f>IF(INDEX(Control!$Q$3:$S$62,MATCH($AA51,Control!$Q$3:$Q$62,0),MATCH(AQ$6,Control!$Q$3:$S$3,0))=1,$BF$13/$AC51,0)</f>
        <v>#N/A</v>
      </c>
      <c r="AR51" s="143">
        <f>$BF$14</f>
        <v>0</v>
      </c>
      <c r="AS51" s="143">
        <f>IF(AND(K51="Chiriqui Grande",U51="Puerto Armuelles"),$BI$16,0)</f>
        <v>0</v>
      </c>
      <c r="AT51" s="149" t="e">
        <f t="shared" si="103"/>
        <v>#N/A</v>
      </c>
      <c r="AU51" s="149" t="e">
        <f>+Q51+AF51+AT51</f>
        <v>#N/A</v>
      </c>
      <c r="AV51" s="149">
        <f t="shared" si="104"/>
        <v>0.09</v>
      </c>
      <c r="AW51" s="145" t="e">
        <f t="shared" si="105"/>
        <v>#N/A</v>
      </c>
      <c r="AY51" s="153">
        <f>INDEX('[1]Transit Time'!$A:$DC,MATCH(H51,'[1]Transit Time'!$A:$A,0),MATCH(K51,'[1]Transit Time'!$A$1:$DC$1,0))+INDEX('[1]Transit Time'!$A:$DC,MATCH(K51,'[1]Transit Time'!$A:$A,0),MATCH(U51,'[1]Transit Time'!$A$1:$DC$1,0))+INDEX('[1]Transit Time'!$A:$DC,MATCH(U51,'[1]Transit Time'!$A:$A,0),MATCH(AA51,'[1]Transit Time'!$A$1:$DC$1,0))</f>
        <v>38.5</v>
      </c>
      <c r="BA51" s="163">
        <f>IF(ISBLANK(B51),"",B51+$AY51)</f>
        <v>44291.5</v>
      </c>
      <c r="BB51" s="163">
        <f>IFERROR(IF(ISBLANK(C51),"",C51+$AY51),"")</f>
        <v>44293.5</v>
      </c>
    </row>
    <row r="52" spans="1:59" s="165" customFormat="1" x14ac:dyDescent="0.35">
      <c r="A52" s="2"/>
      <c r="B52" s="230">
        <f t="shared" si="98"/>
        <v>44253</v>
      </c>
      <c r="C52" s="230">
        <f>IF(ISBLANK(B52),"",B52+2)</f>
        <v>44255</v>
      </c>
      <c r="D52" s="210"/>
      <c r="E52" s="278"/>
      <c r="F52" s="279">
        <f>INDEX('[2]Flat Rates 2022'!$A:$DB,MATCH(H52,'[2]Flat Rates 2022'!$A:$A,0),MATCH(K52,'[2]Flat Rates 2022'!$A$1:$DB$1,0))</f>
        <v>8.0299999999999994</v>
      </c>
      <c r="G52" s="279" t="e">
        <f>INDEX(Control!$E$17:$O$21,MATCH(M52,Control!$E$17:$E$21,0),MATCH(H52,Control!$E$17:$O$17,0))</f>
        <v>#N/A</v>
      </c>
      <c r="H52" s="279" t="s">
        <v>300</v>
      </c>
      <c r="I52" s="280" t="e">
        <f>INDEX(Vessel_Minimum_MT,MATCH(M52,Control!$E$11:$E$15,0),MATCH(H52,Control!$E$11:$O$11,0))</f>
        <v>#N/A</v>
      </c>
      <c r="J52" s="281">
        <f>N52/$BF$15</f>
        <v>75752.525252525258</v>
      </c>
      <c r="K52" s="279" t="s">
        <v>71</v>
      </c>
      <c r="L52" s="279" t="e">
        <f>IF(K52=H52,"",CONCATENATE(CONCATENATE(VLOOKUP(H52,Zones,2,FALSE),"/",VLOOKUP(K52,Zones,2,FALSE))))</f>
        <v>#N/A</v>
      </c>
      <c r="M52" s="282" t="s">
        <v>23</v>
      </c>
      <c r="N52" s="281">
        <v>500000</v>
      </c>
      <c r="O52" s="283">
        <v>265</v>
      </c>
      <c r="P52" s="284">
        <v>100</v>
      </c>
      <c r="Q52" s="285" t="e">
        <f>IF($H52="Esmeraldas",IF(O52&gt;1000,IF(P52=0,O52,P52)/N52*1.1,((I52*F52*(IF(P52=0,O52,P52)/100))+IF(J52&lt;I52,0,(J52-I52)*F52*IF(P52=0,O52,P52)/100*G52))/N52*1.1),IF(O52&gt;1000,IF(P52=0,O52,P52)/N52,((I52*F52*(IF(P52=0,O52,P52)/100))+IF(J52&lt;I52,0,(J52-I52)*F52*IF(P52=0,O52,P52)/100*G52)))/N52)</f>
        <v>#N/A</v>
      </c>
      <c r="R52" s="2"/>
      <c r="S52" s="220">
        <f>INDEX('[2]Flat Rates 2022'!$A:$DB,MATCH(U52,'[2]Flat Rates 2022'!$A:$A,0),MATCH(AA52,'[2]Flat Rates 2022'!$A$1:$DB$1,0))</f>
        <v>25.45</v>
      </c>
      <c r="T52" s="220">
        <f>INDEX(Control!$E$17:$O$21,MATCH(Z52,Control!$E$17:$E$21,0),MATCH(U52,Control!$E$17:$O$17,0))</f>
        <v>0.5</v>
      </c>
      <c r="U52" s="220" t="s">
        <v>63</v>
      </c>
      <c r="V52" s="221">
        <v>43430</v>
      </c>
      <c r="W52" s="221">
        <f>+V52+4</f>
        <v>43434</v>
      </c>
      <c r="X52" s="213">
        <f>INDEX(Vessel_Minimum_MT,MATCH(Z52,Control!$E$11:$E$15,0),MATCH(U52,Control!$E$11:$O$11,0))</f>
        <v>145000</v>
      </c>
      <c r="Y52" s="222">
        <f>AC52/$BF$15</f>
        <v>143929.79797979799</v>
      </c>
      <c r="Z52" s="215" t="s">
        <v>24</v>
      </c>
      <c r="AA52" s="223" t="s">
        <v>100</v>
      </c>
      <c r="AB52" s="212" t="str">
        <f>IF(AA52=U52,"",CONCATENATE(CONCATENATE(VLOOKUP(U52,Zones,2,FALSE),"/",VLOOKUP(AA52,Zones,2,FALSE))))</f>
        <v>Panama WC/KOREA</v>
      </c>
      <c r="AC52" s="214">
        <v>950000</v>
      </c>
      <c r="AD52" s="214">
        <v>1001</v>
      </c>
      <c r="AE52" s="262">
        <v>1750000</v>
      </c>
      <c r="AF52" s="225">
        <f>IF($U52="Esmeraldas",IF(AD52&gt;1000,IF(AE52=0,AD52,AE52)/AC52*1.1,((X52*S52*(IF(AE52=0,AD52,AE52)/100))+IF(Y52&lt;X52,0,(Y52-X52)*S52*IF(AE52=0,AD52,AE52)/100*T52))/AC52*1.1),IF(AD52&gt;1000,IF(AE52=0,AD52,AE52)/AC52,((X52*S52*(IF(AE52=0,AD52,AE52)/100))+IF(Y52&lt;X52,0,(Y52-X52)*S52*IF(AE52=0,AD52,AE52)/100*T52))/AC52))</f>
        <v>1.8421052631578947</v>
      </c>
      <c r="AG52" s="226">
        <v>2</v>
      </c>
      <c r="AH52" s="214">
        <f>IF(INDEX(Index,MATCH(AA52,TVM_PortList,0),MATCH("Type",Control!$Q$3:$U$3,0))="BL",INDEX(Index,MATCH(AA52,TVM_PortList,0),MATCH("Payment",Control!$Q$3:$U$3,0))-INDEX(Index,MATCH(U52,TVM_PortList,0),MATCH("Payment",Control!$Q$3:$U$3,0)),AY52+INDEX(Index,MATCH(AA52,TVM_PortList,0),MATCH("Payment",Control!$Q$3:$U$3,0))-INDEX(Index,MATCH(U52,TVM_PortList,0),MATCH("Payment",Control!$Q$3:$U$3,0)))</f>
        <v>33.5</v>
      </c>
      <c r="AI52" s="227">
        <f>AG52*VLOOKUP($Z52,$BH$7:$BJ$11,3,FALSE)/$AC52</f>
        <v>5.2631578947368418E-2</v>
      </c>
      <c r="AJ52" s="227">
        <f>IF(AH52&lt;0,0,$AH52*$BF$9)</f>
        <v>0.31389041095890408</v>
      </c>
      <c r="AK52" s="227">
        <f>IF(((AC52-VLOOKUP(Z52,$BL$8:$BM$12,2,FALSE))/$BF$16)&lt;=0,0,$BJ$13/AC52)</f>
        <v>1.9473684210526316</v>
      </c>
      <c r="AL52" s="227">
        <f>IF(H52="Beaumont",$BF$8,0)</f>
        <v>0</v>
      </c>
      <c r="AM52" s="227">
        <v>0</v>
      </c>
      <c r="AN52" s="227">
        <f t="shared" si="101"/>
        <v>0.01</v>
      </c>
      <c r="AO52" s="227">
        <f t="shared" si="102"/>
        <v>0.01</v>
      </c>
      <c r="AP52" s="227">
        <f>IF(INDEX(Control!$Q$3:$S$62,MATCH($AA52,Control!$Q$3:$Q$62,0),MATCH(AP$6,Control!$Q$3:$S$3,0))=1,$BF$12*$BG$12,0)</f>
        <v>0.2</v>
      </c>
      <c r="AQ52" s="227" t="e">
        <f>IF(INDEX(Control!$Q$3:$S$62,MATCH($AA52,Control!$Q$3:$Q$62,0),MATCH(AQ$6,Control!$Q$3:$S$3,0))=1,$BF$13/$AC52,0)</f>
        <v>#N/A</v>
      </c>
      <c r="AR52" s="227">
        <f>$BF$14</f>
        <v>0</v>
      </c>
      <c r="AS52" s="227">
        <f>IF(AND(K52="Chiriqui Grande",U52="Puerto Armuelles"),$BI$16,0)</f>
        <v>0</v>
      </c>
      <c r="AT52" s="225" t="e">
        <f>SUM(AI52:AS52)</f>
        <v>#N/A</v>
      </c>
      <c r="AU52" s="225" t="e">
        <f>+Q52+AF52+AT52</f>
        <v>#N/A</v>
      </c>
      <c r="AV52" s="225">
        <f>IF(MONTH(BB52)-MONTH(B52)=1,$AV$3,IF(MONTH(BB52)-MONTH(B52)=0,0,$AV$3+$AW$3))</f>
        <v>0.09</v>
      </c>
      <c r="AW52" s="228" t="e">
        <f>$C$48+AU52+AV52</f>
        <v>#N/A</v>
      </c>
      <c r="AX52" s="220"/>
      <c r="AY52" s="229">
        <f>INDEX('[1]Transit Time'!$A:$DC,MATCH(H52,'[1]Transit Time'!$A:$A,0),MATCH(K52,'[1]Transit Time'!$A$1:$DC$1,0))+INDEX('[1]Transit Time'!$A:$DC,MATCH(K52,'[1]Transit Time'!$A:$A,0),MATCH(U52,'[1]Transit Time'!$A$1:$DC$1,0))+INDEX('[1]Transit Time'!$A:$DC,MATCH(U52,'[1]Transit Time'!$A:$A,0),MATCH(AA52,'[1]Transit Time'!$A$1:$DC$1,0))</f>
        <v>38.5</v>
      </c>
      <c r="AZ52" s="204"/>
      <c r="BA52" s="230">
        <f>IF(ISBLANK(B52),"",B52+$AY52)</f>
        <v>44291.5</v>
      </c>
      <c r="BB52" s="230">
        <f>IFERROR(IF(ISBLANK(C52),"",C52+$AY52),"")</f>
        <v>44293.5</v>
      </c>
      <c r="BC52"/>
      <c r="BF52" s="166"/>
      <c r="BG52" s="166"/>
    </row>
    <row r="53" spans="1:59" x14ac:dyDescent="0.35">
      <c r="B53"/>
      <c r="C53"/>
      <c r="R53" s="2"/>
      <c r="U53">
        <v>3.35</v>
      </c>
      <c r="V53">
        <v>1.85</v>
      </c>
      <c r="W53">
        <f>V53-U53</f>
        <v>-1.5</v>
      </c>
      <c r="AE53" s="2"/>
      <c r="AF53" s="132"/>
      <c r="AG53" s="3"/>
      <c r="AH53" s="2"/>
      <c r="AN53" s="133"/>
    </row>
    <row r="54" spans="1:59" x14ac:dyDescent="0.35">
      <c r="B54"/>
      <c r="C54"/>
      <c r="U54">
        <v>6.8</v>
      </c>
      <c r="V54">
        <v>5.3</v>
      </c>
      <c r="W54">
        <f t="shared" ref="W54:W55" si="106">V54-U54</f>
        <v>-1.5</v>
      </c>
      <c r="AE54" s="2"/>
      <c r="AF54" s="132"/>
      <c r="AG54" s="3"/>
      <c r="AH54" s="2"/>
      <c r="AN54" s="133"/>
    </row>
    <row r="55" spans="1:59" x14ac:dyDescent="0.35">
      <c r="B55"/>
      <c r="C55"/>
      <c r="U55">
        <v>5.2</v>
      </c>
      <c r="V55">
        <v>3.7</v>
      </c>
      <c r="W55">
        <f t="shared" si="106"/>
        <v>-1.5</v>
      </c>
      <c r="AE55" s="2"/>
      <c r="AF55" s="2"/>
      <c r="AG55" s="3"/>
      <c r="AH55" s="2"/>
      <c r="AN55" s="133"/>
    </row>
    <row r="56" spans="1:59" x14ac:dyDescent="0.35">
      <c r="AE56" s="2"/>
      <c r="AF56" s="2"/>
      <c r="AH56" s="2"/>
      <c r="AN56" s="133"/>
    </row>
    <row r="57" spans="1:59" x14ac:dyDescent="0.35">
      <c r="AK57" s="1"/>
      <c r="AL57" s="1"/>
    </row>
    <row r="58" spans="1:59" x14ac:dyDescent="0.35">
      <c r="AK58" s="1"/>
      <c r="AL58" s="1"/>
    </row>
    <row r="59" spans="1:59" x14ac:dyDescent="0.35">
      <c r="AK59" s="1"/>
      <c r="AL59" s="1"/>
    </row>
    <row r="60" spans="1:59" x14ac:dyDescent="0.35">
      <c r="AK60" s="1"/>
      <c r="AL60" s="1"/>
    </row>
    <row r="61" spans="1:59" x14ac:dyDescent="0.35">
      <c r="AK61" s="1"/>
      <c r="AL61" s="1"/>
    </row>
    <row r="62" spans="1:59" x14ac:dyDescent="0.35">
      <c r="AK62" s="1"/>
      <c r="AL62" s="1"/>
    </row>
    <row r="63" spans="1:59" x14ac:dyDescent="0.35">
      <c r="D63" s="2"/>
      <c r="M63" s="2"/>
      <c r="Q63" s="2"/>
      <c r="R63" s="2"/>
      <c r="S63" s="2"/>
      <c r="T63" s="2"/>
      <c r="U63" s="2"/>
      <c r="V63" s="2"/>
      <c r="W63" s="2"/>
      <c r="Y63" s="2"/>
      <c r="Z63" s="2"/>
      <c r="AA63" s="2"/>
      <c r="AD63" s="2"/>
      <c r="AE63" s="2"/>
      <c r="AF63" s="2"/>
      <c r="AH63" s="2"/>
      <c r="AK63" s="1"/>
      <c r="AL63" s="1"/>
      <c r="AT63" s="2"/>
      <c r="AU63" s="2"/>
      <c r="AV63" s="2"/>
      <c r="AW63" s="2"/>
      <c r="AY63" s="2"/>
    </row>
    <row r="64" spans="1:59" x14ac:dyDescent="0.35">
      <c r="D64" s="2"/>
      <c r="M64" s="2"/>
      <c r="Q64" s="2"/>
      <c r="R64" s="2"/>
      <c r="S64" s="2"/>
      <c r="T64" s="2"/>
      <c r="U64" s="2"/>
      <c r="V64" s="2"/>
      <c r="W64" s="2"/>
      <c r="Y64" s="2"/>
      <c r="Z64" s="2"/>
      <c r="AA64" s="2"/>
      <c r="AD64" s="2"/>
      <c r="AE64" s="2"/>
      <c r="AF64" s="2"/>
      <c r="AH64" s="2"/>
      <c r="AK64" s="1"/>
      <c r="AL64" s="1"/>
      <c r="AT64" s="2"/>
      <c r="AU64" s="2"/>
      <c r="AV64" s="2"/>
      <c r="AW64" s="2"/>
      <c r="AY64" s="2"/>
    </row>
    <row r="65" spans="4:51" x14ac:dyDescent="0.35">
      <c r="D65" s="2"/>
      <c r="M65" s="2"/>
      <c r="Q65" s="2"/>
      <c r="R65" s="2"/>
      <c r="S65" s="2"/>
      <c r="T65" s="2"/>
      <c r="U65" s="2"/>
      <c r="V65" s="2"/>
      <c r="W65" s="2"/>
      <c r="Y65" s="2"/>
      <c r="Z65" s="2"/>
      <c r="AA65" s="2"/>
      <c r="AD65" s="2"/>
      <c r="AE65" s="2"/>
      <c r="AF65" s="2"/>
      <c r="AH65" s="2"/>
      <c r="AK65" s="1"/>
      <c r="AL65" s="1"/>
      <c r="AT65" s="2"/>
      <c r="AU65" s="2"/>
      <c r="AV65" s="2"/>
      <c r="AW65" s="2"/>
      <c r="AY65" s="2"/>
    </row>
  </sheetData>
  <mergeCells count="28">
    <mergeCell ref="B24:C24"/>
    <mergeCell ref="BA24:BB24"/>
    <mergeCell ref="B44:C44"/>
    <mergeCell ref="BA44:BB44"/>
    <mergeCell ref="E48:Q48"/>
    <mergeCell ref="Z48:AW48"/>
    <mergeCell ref="E35:Q35"/>
    <mergeCell ref="Z35:AW35"/>
    <mergeCell ref="B36:C36"/>
    <mergeCell ref="BA36:BB36"/>
    <mergeCell ref="E43:Q43"/>
    <mergeCell ref="Z43:AW43"/>
    <mergeCell ref="E19:Q19"/>
    <mergeCell ref="Z19:AW19"/>
    <mergeCell ref="B20:C20"/>
    <mergeCell ref="BA20:BB20"/>
    <mergeCell ref="E23:Q23"/>
    <mergeCell ref="Z23:AW23"/>
    <mergeCell ref="E14:Q14"/>
    <mergeCell ref="Z14:AW14"/>
    <mergeCell ref="B15:C15"/>
    <mergeCell ref="BA15:BB15"/>
    <mergeCell ref="BA6:BB6"/>
    <mergeCell ref="E2:AW2"/>
    <mergeCell ref="AD4:AF4"/>
    <mergeCell ref="E5:Q5"/>
    <mergeCell ref="Z5:AW5"/>
    <mergeCell ref="B6:C6"/>
  </mergeCells>
  <conditionalFormatting sqref="B7:C13">
    <cfRule type="expression" dxfId="111" priority="26">
      <formula>LEN(B7)=0</formula>
    </cfRule>
  </conditionalFormatting>
  <conditionalFormatting sqref="B16:C18 B21:C22">
    <cfRule type="expression" dxfId="110" priority="25">
      <formula>LEN(B16)=0</formula>
    </cfRule>
  </conditionalFormatting>
  <conditionalFormatting sqref="B25:C34">
    <cfRule type="expression" dxfId="109" priority="11">
      <formula>LEN(B25)=0</formula>
    </cfRule>
  </conditionalFormatting>
  <conditionalFormatting sqref="B43:C43 B45:C45">
    <cfRule type="expression" dxfId="108" priority="21">
      <formula>LEN(B43)=0</formula>
    </cfRule>
  </conditionalFormatting>
  <conditionalFormatting sqref="B48:C49">
    <cfRule type="expression" dxfId="107" priority="5">
      <formula>LEN(B48)=0</formula>
    </cfRule>
  </conditionalFormatting>
  <conditionalFormatting sqref="B51:C51">
    <cfRule type="expression" dxfId="106" priority="1">
      <formula>LEN(B51)=0</formula>
    </cfRule>
  </conditionalFormatting>
  <conditionalFormatting sqref="AG7:AG13 AG21:AG22">
    <cfRule type="cellIs" dxfId="105" priority="33" operator="greaterThan">
      <formula>2</formula>
    </cfRule>
  </conditionalFormatting>
  <conditionalFormatting sqref="AG16:AG18">
    <cfRule type="cellIs" dxfId="104" priority="28" operator="greaterThan">
      <formula>2</formula>
    </cfRule>
  </conditionalFormatting>
  <conditionalFormatting sqref="AG25:AG34">
    <cfRule type="cellIs" dxfId="103" priority="10" operator="greaterThan">
      <formula>2</formula>
    </cfRule>
  </conditionalFormatting>
  <conditionalFormatting sqref="AG45">
    <cfRule type="cellIs" dxfId="102" priority="23" operator="greaterThan">
      <formula>2</formula>
    </cfRule>
  </conditionalFormatting>
  <conditionalFormatting sqref="AG49">
    <cfRule type="cellIs" dxfId="101" priority="8" operator="greaterThan">
      <formula>2</formula>
    </cfRule>
  </conditionalFormatting>
  <conditionalFormatting sqref="AG51">
    <cfRule type="cellIs" dxfId="100" priority="3" operator="greaterThan">
      <formula>2</formula>
    </cfRule>
  </conditionalFormatting>
  <conditionalFormatting sqref="BA7:BB13">
    <cfRule type="expression" dxfId="99" priority="31">
      <formula>LEN(BA7)=0</formula>
    </cfRule>
  </conditionalFormatting>
  <conditionalFormatting sqref="BA16:BB18">
    <cfRule type="expression" dxfId="98" priority="27">
      <formula>LEN(BA16)=0</formula>
    </cfRule>
  </conditionalFormatting>
  <conditionalFormatting sqref="BA21:BB22">
    <cfRule type="expression" dxfId="97" priority="32">
      <formula>LEN(BA21)=0</formula>
    </cfRule>
  </conditionalFormatting>
  <conditionalFormatting sqref="BA25:BB34">
    <cfRule type="expression" dxfId="96" priority="13">
      <formula>LEN(BA25)=0</formula>
    </cfRule>
  </conditionalFormatting>
  <conditionalFormatting sqref="BA45:BB45">
    <cfRule type="expression" dxfId="95" priority="22">
      <formula>LEN(BA45)=0</formula>
    </cfRule>
  </conditionalFormatting>
  <conditionalFormatting sqref="BA49:BB49">
    <cfRule type="expression" dxfId="94" priority="7">
      <formula>LEN(BA49)=0</formula>
    </cfRule>
  </conditionalFormatting>
  <conditionalFormatting sqref="BA51:BB51">
    <cfRule type="expression" dxfId="93" priority="2">
      <formula>LEN(BA51)=0</formula>
    </cfRule>
  </conditionalFormatting>
  <dataValidations disablePrompts="1" count="2">
    <dataValidation type="list" allowBlank="1" showInputMessage="1" showErrorMessage="1" sqref="AA37:AA42 AA7:AA13 H7:H13 K7:K13 U7:U13 U16:U18 AA21:AA22 AA45 K45 H45 U45 H16:H18 AA16:AA18 K16:K18 H21:H22 U21:U22 K21:K22 U25:U34 K25:K34 AA25:AA34 H25:H34 K49:K52 H49:H52 U49:U52 AA49:AA52" xr:uid="{00000000-0002-0000-0300-000000000000}">
      <formula1>Port_List</formula1>
    </dataValidation>
    <dataValidation type="list" allowBlank="1" showInputMessage="1" showErrorMessage="1" sqref="T45 T16:T18 T21:T22 T7:T13 T25:T34" xr:uid="{00000000-0002-0000-0300-000001000000}">
      <formula1>Overages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300-000002000000}">
          <x14:formula1>
            <xm:f>Control!$E$2:$E$4</xm:f>
          </x14:formula1>
          <xm:sqref>E21:E22 E16:E18 E45 E7:E13 E25:E34 E49:E52</xm:sqref>
        </x14:dataValidation>
        <x14:dataValidation type="list" allowBlank="1" showInputMessage="1" showErrorMessage="1" xr:uid="{00000000-0002-0000-0300-000003000000}">
          <x14:formula1>
            <xm:f>Control!$E$6:$E$9</xm:f>
          </x14:formula1>
          <xm:sqref>M16:M18 Z16:Z18 M45 Z45 M7:M13 Z7:Z13 Z21:Z22 M21:M22 M25:M34 Z25:Z34 Z49:Z52 M49:M52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FF00FF"/>
    <outlinePr summaryRight="0"/>
  </sheetPr>
  <dimension ref="A1:BV89"/>
  <sheetViews>
    <sheetView showGridLines="0" topLeftCell="A2" zoomScale="85" zoomScaleNormal="85" workbookViewId="0">
      <pane xSplit="1" ySplit="4" topLeftCell="B6" activePane="bottomRight" state="frozen"/>
      <selection pane="topRight" activeCell="B2" sqref="B2"/>
      <selection pane="bottomLeft" activeCell="A6" sqref="A6"/>
      <selection pane="bottomRight" activeCell="B2" sqref="B2"/>
    </sheetView>
  </sheetViews>
  <sheetFormatPr defaultColWidth="8.81640625" defaultRowHeight="15.5" outlineLevelCol="1" x14ac:dyDescent="0.35"/>
  <cols>
    <col min="1" max="1" width="2.54296875" style="2" customWidth="1"/>
    <col min="2" max="3" width="7.54296875" style="2" bestFit="1" customWidth="1"/>
    <col min="4" max="4" width="1.1796875" customWidth="1"/>
    <col min="5" max="5" width="16.1796875" style="2" customWidth="1" collapsed="1"/>
    <col min="6" max="6" width="7.54296875" style="2" hidden="1" customWidth="1" outlineLevel="1"/>
    <col min="7" max="7" width="9.453125" style="2" hidden="1" customWidth="1" outlineLevel="1"/>
    <col min="8" max="8" width="12.54296875" style="2" hidden="1" customWidth="1" outlineLevel="1"/>
    <col min="9" max="9" width="9.453125" style="2" hidden="1" customWidth="1" outlineLevel="1"/>
    <col min="10" max="11" width="7.54296875" style="2" hidden="1" customWidth="1" outlineLevel="1"/>
    <col min="12" max="12" width="18" style="2" hidden="1" customWidth="1" outlineLevel="1"/>
    <col min="13" max="13" width="14" style="2" hidden="1" customWidth="1" outlineLevel="1"/>
    <col min="14" max="14" width="15.81640625" style="2" hidden="1" customWidth="1" outlineLevel="1"/>
    <col min="15" max="15" width="14.54296875" style="2" hidden="1" customWidth="1" outlineLevel="1"/>
    <col min="16" max="16" width="13.453125" style="133" customWidth="1"/>
    <col min="17" max="17" width="12.54296875" style="2" bestFit="1" customWidth="1"/>
    <col min="18" max="18" width="10.453125" style="2" bestFit="1" customWidth="1"/>
    <col min="19" max="19" width="12.54296875" style="2" customWidth="1"/>
    <col min="20" max="20" width="21.1796875" customWidth="1"/>
    <col min="21" max="21" width="2.54296875" customWidth="1" collapsed="1"/>
    <col min="22" max="22" width="6.54296875" hidden="1" customWidth="1" outlineLevel="1"/>
    <col min="23" max="23" width="9.453125" hidden="1" customWidth="1" outlineLevel="1"/>
    <col min="24" max="24" width="12.54296875" hidden="1" customWidth="1" outlineLevel="1"/>
    <col min="25" max="25" width="17.453125" hidden="1" customWidth="1" outlineLevel="1"/>
    <col min="26" max="28" width="7.54296875" hidden="1" customWidth="1" outlineLevel="1"/>
    <col min="29" max="29" width="21.1796875" hidden="1" customWidth="1" outlineLevel="1"/>
    <col min="30" max="30" width="13.54296875" hidden="1" customWidth="1" outlineLevel="1"/>
    <col min="31" max="31" width="13.453125" hidden="1" customWidth="1" outlineLevel="1"/>
    <col min="32" max="32" width="11.453125" customWidth="1"/>
    <col min="33" max="33" width="18.54296875" customWidth="1"/>
    <col min="34" max="34" width="26.453125" style="2" bestFit="1" customWidth="1"/>
    <col min="35" max="35" width="13.453125" style="2" bestFit="1" customWidth="1"/>
    <col min="36" max="36" width="17.453125" style="124" bestFit="1" customWidth="1"/>
    <col min="37" max="37" width="17.453125" style="124" customWidth="1"/>
    <col min="38" max="38" width="15.453125" style="21" customWidth="1"/>
    <col min="39" max="39" width="11.453125" style="2" bestFit="1" customWidth="1"/>
    <col min="40" max="40" width="8" style="124" customWidth="1" collapsed="1"/>
    <col min="41" max="41" width="11.453125" style="2" hidden="1" customWidth="1" outlineLevel="1"/>
    <col min="42" max="42" width="7.54296875" style="2" hidden="1" customWidth="1" outlineLevel="1"/>
    <col min="43" max="43" width="20.54296875" style="2" hidden="1" customWidth="1" outlineLevel="1"/>
    <col min="44" max="44" width="25.453125" style="2" hidden="1" customWidth="1" outlineLevel="1"/>
    <col min="45" max="45" width="16" style="2" hidden="1" customWidth="1" outlineLevel="1"/>
    <col min="46" max="46" width="11" style="2" hidden="1" customWidth="1" outlineLevel="1"/>
    <col min="47" max="47" width="11.54296875" style="2" hidden="1" customWidth="1" outlineLevel="1"/>
    <col min="48" max="48" width="17" style="2" hidden="1" customWidth="1" outlineLevel="1"/>
    <col min="49" max="49" width="9.54296875" style="2" hidden="1" customWidth="1" outlineLevel="1"/>
    <col min="50" max="50" width="11.54296875" style="2" hidden="1" customWidth="1" outlineLevel="1"/>
    <col min="51" max="51" width="12.54296875" style="2" hidden="1" customWidth="1" outlineLevel="1"/>
    <col min="52" max="52" width="17.453125" style="21" customWidth="1"/>
    <col min="53" max="53" width="8.453125" style="21" customWidth="1"/>
    <col min="54" max="54" width="12.54296875" style="21" customWidth="1"/>
    <col min="55" max="55" width="9.1796875" style="6" customWidth="1"/>
    <col min="56" max="56" width="1.1796875" style="2" customWidth="1"/>
    <col min="57" max="57" width="9.54296875" style="43" customWidth="1"/>
    <col min="58" max="58" width="1.1796875" style="2" customWidth="1"/>
    <col min="59" max="59" width="12.54296875" style="2" bestFit="1" customWidth="1"/>
    <col min="60" max="60" width="7.54296875" style="2" bestFit="1" customWidth="1"/>
    <col min="61" max="61" width="9.54296875" customWidth="1"/>
    <col min="62" max="62" width="28.54296875" style="2" bestFit="1" customWidth="1"/>
    <col min="63" max="64" width="14.54296875" style="2" bestFit="1" customWidth="1"/>
    <col min="65" max="65" width="11.453125" style="2" bestFit="1" customWidth="1"/>
    <col min="66" max="66" width="8.81640625" style="2"/>
    <col min="67" max="67" width="12.54296875" style="2" bestFit="1" customWidth="1"/>
    <col min="68" max="16384" width="8.81640625" style="2"/>
  </cols>
  <sheetData>
    <row r="1" spans="2:74" ht="15.65" hidden="1" customHeight="1" thickBot="1" x14ac:dyDescent="0.4">
      <c r="T1" s="20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2:74" ht="29" thickBot="1" x14ac:dyDescent="0.7">
      <c r="B2" s="81"/>
      <c r="C2"/>
      <c r="E2" s="1047" t="s">
        <v>301</v>
      </c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48"/>
      <c r="W2" s="1048"/>
      <c r="X2" s="1048"/>
      <c r="Y2" s="1048"/>
      <c r="Z2" s="1048"/>
      <c r="AA2" s="1048"/>
      <c r="AB2" s="1048"/>
      <c r="AC2" s="1048"/>
      <c r="AD2" s="1048"/>
      <c r="AE2" s="1048"/>
      <c r="AF2" s="1048"/>
      <c r="AG2" s="1048"/>
      <c r="AH2" s="1048"/>
      <c r="AI2" s="1048"/>
      <c r="AJ2" s="1048"/>
      <c r="AK2" s="1048"/>
      <c r="AL2" s="1048"/>
      <c r="AM2" s="1048"/>
      <c r="AN2" s="1048"/>
      <c r="AO2" s="1048"/>
      <c r="AP2" s="1048"/>
      <c r="AQ2" s="1048"/>
      <c r="AR2" s="1048"/>
      <c r="AS2" s="1048"/>
      <c r="AT2" s="1048"/>
      <c r="AU2" s="1048"/>
      <c r="AV2" s="1048"/>
      <c r="AW2" s="1048"/>
      <c r="AX2" s="1048"/>
      <c r="AY2" s="1048"/>
      <c r="AZ2" s="1048"/>
      <c r="BA2" s="1048"/>
      <c r="BB2" s="1048"/>
      <c r="BC2" s="1048"/>
      <c r="BE2" t="s">
        <v>302</v>
      </c>
      <c r="BG2" s="201" t="e">
        <f>BC17-BC47</f>
        <v>#N/A</v>
      </c>
      <c r="BH2"/>
      <c r="BJ2" s="51"/>
    </row>
    <row r="3" spans="2:74" ht="15.65" customHeight="1" x14ac:dyDescent="0.35">
      <c r="B3" s="126"/>
      <c r="C3"/>
      <c r="E3" s="39" t="s">
        <v>303</v>
      </c>
      <c r="F3" s="152"/>
      <c r="G3" s="152"/>
      <c r="H3" s="40"/>
      <c r="I3" s="41"/>
      <c r="J3" s="126"/>
      <c r="K3" s="126"/>
      <c r="L3" s="126"/>
      <c r="M3" s="126"/>
      <c r="N3" s="126"/>
      <c r="O3" s="126"/>
      <c r="P3" s="42">
        <v>0</v>
      </c>
      <c r="Q3" s="11"/>
      <c r="R3" s="193"/>
      <c r="S3" s="23" t="s">
        <v>152</v>
      </c>
      <c r="T3" s="10">
        <v>0.57999999999999996</v>
      </c>
      <c r="U3" s="37"/>
      <c r="V3" s="37"/>
      <c r="W3" s="126"/>
      <c r="X3" s="36"/>
      <c r="Y3" s="38"/>
      <c r="Z3" s="126"/>
      <c r="AA3" s="126"/>
      <c r="AB3" s="126"/>
      <c r="AC3" s="126"/>
      <c r="AD3" s="126"/>
      <c r="AE3" s="37"/>
      <c r="AF3" s="193"/>
      <c r="AG3" s="109" t="s">
        <v>228</v>
      </c>
      <c r="AH3" s="36">
        <v>-1.2</v>
      </c>
      <c r="AI3" s="22"/>
      <c r="AJ3" s="193"/>
      <c r="AK3" s="36"/>
      <c r="AL3" s="193"/>
      <c r="AM3" s="36"/>
      <c r="AN3" s="24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46" t="s">
        <v>164</v>
      </c>
      <c r="BB3" s="46">
        <v>-0.35</v>
      </c>
      <c r="BC3" s="46">
        <v>0</v>
      </c>
      <c r="BE3" s="77" t="s">
        <v>304</v>
      </c>
      <c r="BG3" s="195" t="e">
        <f>BC19-BC47</f>
        <v>#N/A</v>
      </c>
      <c r="BH3" s="114"/>
    </row>
    <row r="4" spans="2:74" ht="15" customHeight="1" thickBot="1" x14ac:dyDescent="0.4">
      <c r="T4" s="2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52"/>
      <c r="AI4" s="52"/>
      <c r="AJ4" s="1043" t="s">
        <v>288</v>
      </c>
      <c r="AK4" s="1043"/>
      <c r="AL4" s="1043"/>
      <c r="AM4" s="192"/>
      <c r="BE4" s="85" t="s">
        <v>305</v>
      </c>
      <c r="BG4" s="3" t="e">
        <f>BC19-BC17</f>
        <v>#N/A</v>
      </c>
      <c r="BH4" s="3"/>
    </row>
    <row r="5" spans="2:74" ht="19.5" customHeight="1" thickBot="1" x14ac:dyDescent="0.5">
      <c r="B5"/>
      <c r="C5"/>
      <c r="E5" s="1049" t="s">
        <v>306</v>
      </c>
      <c r="F5" s="1050"/>
      <c r="G5" s="1050"/>
      <c r="H5" s="1050"/>
      <c r="I5" s="1050"/>
      <c r="J5" s="1050"/>
      <c r="K5" s="1050"/>
      <c r="L5" s="1050"/>
      <c r="M5" s="1050"/>
      <c r="N5" s="1050"/>
      <c r="O5" s="1050"/>
      <c r="P5" s="1050"/>
      <c r="Q5" s="1050"/>
      <c r="R5" s="1050"/>
      <c r="S5" s="1050"/>
      <c r="T5" s="1050"/>
      <c r="U5" s="2"/>
      <c r="V5" s="9"/>
      <c r="W5" s="9"/>
      <c r="X5" s="9"/>
      <c r="Y5" s="9"/>
      <c r="Z5" s="9"/>
      <c r="AA5" s="9"/>
      <c r="AB5" s="9"/>
      <c r="AC5" s="9"/>
      <c r="AD5" s="9"/>
      <c r="AE5" s="9"/>
      <c r="AF5" s="1049" t="s">
        <v>307</v>
      </c>
      <c r="AG5" s="1050"/>
      <c r="AH5" s="1050"/>
      <c r="AI5" s="1050"/>
      <c r="AJ5" s="1050"/>
      <c r="AK5" s="1050"/>
      <c r="AL5" s="1050"/>
      <c r="AM5" s="1050"/>
      <c r="AN5" s="1050"/>
      <c r="AO5" s="1050"/>
      <c r="AP5" s="1050"/>
      <c r="AQ5" s="1050"/>
      <c r="AR5" s="1050"/>
      <c r="AS5" s="1050"/>
      <c r="AT5" s="1050"/>
      <c r="AU5" s="1050"/>
      <c r="AV5" s="1050"/>
      <c r="AW5" s="1050"/>
      <c r="AX5" s="1050"/>
      <c r="AY5" s="1050"/>
      <c r="AZ5" s="1050"/>
      <c r="BA5" s="1050"/>
      <c r="BB5" s="1050"/>
      <c r="BC5" s="1051"/>
      <c r="BE5" s="112"/>
      <c r="BG5" s="78" t="e">
        <f>BG4-BG3</f>
        <v>#N/A</v>
      </c>
      <c r="BH5" s="76" t="e">
        <f>BG5/(AI19-AI17)</f>
        <v>#N/A</v>
      </c>
    </row>
    <row r="6" spans="2:74" ht="29.5" customHeight="1" thickBot="1" x14ac:dyDescent="0.4">
      <c r="B6" s="1005" t="s">
        <v>167</v>
      </c>
      <c r="C6" s="1005"/>
      <c r="E6" s="120" t="s">
        <v>276</v>
      </c>
      <c r="F6" s="152" t="s">
        <v>172</v>
      </c>
      <c r="G6" s="152" t="s">
        <v>2</v>
      </c>
      <c r="H6" s="152" t="s">
        <v>195</v>
      </c>
      <c r="I6" s="152" t="s">
        <v>173</v>
      </c>
      <c r="J6" s="152" t="s">
        <v>308</v>
      </c>
      <c r="K6" s="152"/>
      <c r="L6" s="152" t="s">
        <v>174</v>
      </c>
      <c r="M6" s="152" t="s">
        <v>175</v>
      </c>
      <c r="N6" s="152" t="s">
        <v>177</v>
      </c>
      <c r="O6" s="152" t="s">
        <v>178</v>
      </c>
      <c r="P6" s="122" t="s">
        <v>176</v>
      </c>
      <c r="Q6" s="120" t="s">
        <v>200</v>
      </c>
      <c r="R6" s="120" t="s">
        <v>277</v>
      </c>
      <c r="S6" s="121" t="s">
        <v>202</v>
      </c>
      <c r="T6" s="123" t="s">
        <v>309</v>
      </c>
      <c r="U6" s="2"/>
      <c r="V6" s="120" t="s">
        <v>172</v>
      </c>
      <c r="W6" s="120" t="s">
        <v>2</v>
      </c>
      <c r="X6" s="120" t="s">
        <v>195</v>
      </c>
      <c r="Y6" s="120" t="s">
        <v>173</v>
      </c>
      <c r="Z6" s="120" t="s">
        <v>167</v>
      </c>
      <c r="AA6" s="120"/>
      <c r="AB6" s="120" t="s">
        <v>308</v>
      </c>
      <c r="AC6" s="120"/>
      <c r="AD6" s="120" t="s">
        <v>174</v>
      </c>
      <c r="AE6" s="120" t="s">
        <v>175</v>
      </c>
      <c r="AF6" s="120" t="s">
        <v>176</v>
      </c>
      <c r="AG6" s="120" t="s">
        <v>177</v>
      </c>
      <c r="AH6" s="120" t="s">
        <v>178</v>
      </c>
      <c r="AI6" s="120" t="s">
        <v>179</v>
      </c>
      <c r="AJ6" s="146" t="s">
        <v>180</v>
      </c>
      <c r="AK6" s="128" t="s">
        <v>181</v>
      </c>
      <c r="AL6" s="150" t="s">
        <v>182</v>
      </c>
      <c r="AM6" s="136" t="s">
        <v>183</v>
      </c>
      <c r="AN6" s="146" t="s">
        <v>279</v>
      </c>
      <c r="AO6" s="136" t="s">
        <v>137</v>
      </c>
      <c r="AP6" s="136" t="s">
        <v>140</v>
      </c>
      <c r="AQ6" s="136" t="s">
        <v>310</v>
      </c>
      <c r="AR6" s="136" t="s">
        <v>311</v>
      </c>
      <c r="AS6" s="136" t="s">
        <v>187</v>
      </c>
      <c r="AT6" s="136" t="s">
        <v>141</v>
      </c>
      <c r="AU6" s="136" t="s">
        <v>188</v>
      </c>
      <c r="AV6" s="136" t="s">
        <v>17</v>
      </c>
      <c r="AW6" s="136" t="s">
        <v>207</v>
      </c>
      <c r="AX6" s="136" t="s">
        <v>189</v>
      </c>
      <c r="AY6" s="136" t="s">
        <v>152</v>
      </c>
      <c r="AZ6" s="150" t="s">
        <v>190</v>
      </c>
      <c r="BA6" s="150" t="s">
        <v>191</v>
      </c>
      <c r="BB6" s="150" t="s">
        <v>192</v>
      </c>
      <c r="BC6" s="137" t="s">
        <v>194</v>
      </c>
      <c r="BE6" s="137" t="s">
        <v>195</v>
      </c>
      <c r="BG6" s="1011" t="s">
        <v>196</v>
      </c>
      <c r="BH6" s="1011"/>
      <c r="BJ6" s="118" t="s">
        <v>135</v>
      </c>
      <c r="BS6" s="132"/>
      <c r="BT6" s="127"/>
      <c r="BU6" s="132"/>
      <c r="BV6" s="132"/>
    </row>
    <row r="7" spans="2:74" ht="16" thickBot="1" x14ac:dyDescent="0.4">
      <c r="B7" s="83">
        <v>43784</v>
      </c>
      <c r="C7" s="84">
        <f t="shared" ref="C7:C14" si="0">IF(ISBLANK(B7),"",B7+2)</f>
        <v>43786</v>
      </c>
      <c r="E7" s="16"/>
      <c r="F7" s="140">
        <f>IF(I7=N7,0,INDEX('[2]Flat Rates 2022'!$A:$DB,MATCH(I7,'[2]Flat Rates 2022'!$A:$A,0),MATCH(N7,'[2]Flat Rates 2022'!$A$1:$DB$1,0)))</f>
        <v>16.18</v>
      </c>
      <c r="G7" s="138">
        <f>INDEX(Control!$E$17:$L$21,MATCH(P7,Control!$E$17:$E$21,0),MATCH(I7,Control!$E$17:$L$17,0))</f>
        <v>0.5</v>
      </c>
      <c r="H7" s="138">
        <v>18</v>
      </c>
      <c r="I7" s="138" t="s">
        <v>65</v>
      </c>
      <c r="J7" s="139">
        <f t="shared" ref="J7:K14" si="1">+B7+$H7</f>
        <v>43802</v>
      </c>
      <c r="K7" s="139">
        <f t="shared" si="1"/>
        <v>43804</v>
      </c>
      <c r="L7" s="140">
        <f>INDEX(Vessel_Minimum_MT,MATCH(P7,Control!$E$11:$E$15,0),MATCH(I7,Control!$E$11:$L$11,0))</f>
        <v>270000</v>
      </c>
      <c r="M7" s="140">
        <f t="shared" ref="M7:M14" si="2">Q7/$BL$15</f>
        <v>289929.12371134025</v>
      </c>
      <c r="N7" s="138" t="s">
        <v>55</v>
      </c>
      <c r="O7" s="138" t="str">
        <f t="shared" ref="O7:O14" si="3">IF(N7=I7,"",CONCATENATE(CONCATENATE(VLOOKUP(I7,Zones,2,FALSE),"/",VLOOKUP(N7,Zones,2,FALSE))))</f>
        <v>LATAM EAST/CARIBS</v>
      </c>
      <c r="P7" s="147" t="s">
        <v>25</v>
      </c>
      <c r="Q7" s="15">
        <v>2000000</v>
      </c>
      <c r="R7" s="17">
        <v>0</v>
      </c>
      <c r="S7" s="18">
        <v>75</v>
      </c>
      <c r="T7" s="149">
        <f>IF($I7="Esmeraldas",IF(R7&gt;1000,IF(S7=0,R7,S7)/Q7*1.1,((L7*F7*(IF(S7=0,R7,S7)/100))+IF(M7&lt;L7,0,(M7-L7)*F7*IF(S7=0,R7,S7)/100*G7))/Q7*1.1),IF(R7&gt;1000,IF(S7=0,R7,S7)/Q7,((L7*F7*(IF(S7=0,R7,S7)/100))+IF(M7&lt;L7,0,(M7-L7)*F7*IF(S7=0,R7,S7)/100*G7)))/Q7)</f>
        <v>1.6986849790592784</v>
      </c>
      <c r="U7" s="2"/>
      <c r="V7" s="138">
        <f>INDEX('[2]Flat Rates 2022'!$A:$DB,MATCH(Y7,'[2]Flat Rates 2022'!$A:$A,0),MATCH(AG7,'[2]Flat Rates 2022'!$A$1:$DB$1,0))</f>
        <v>0</v>
      </c>
      <c r="W7" s="138">
        <f>INDEX(Control!$E$17:$L$21,MATCH(AF7,Control!$E$17:$E$21,0),MATCH(Y7,Control!$E$17:$L$17,0))</f>
        <v>0.5</v>
      </c>
      <c r="X7" s="138">
        <v>11</v>
      </c>
      <c r="Y7" s="138" t="s">
        <v>63</v>
      </c>
      <c r="Z7" s="139">
        <v>43430</v>
      </c>
      <c r="AA7" s="139">
        <f t="shared" ref="AA7:AA14" si="4">+Z7+4</f>
        <v>43434</v>
      </c>
      <c r="AB7" s="139">
        <f t="shared" ref="AB7:AC13" si="5">+Z7+$H7</f>
        <v>43448</v>
      </c>
      <c r="AC7" s="139">
        <f t="shared" si="5"/>
        <v>43452</v>
      </c>
      <c r="AD7" s="140">
        <f>INDEX(Vessel_Minimum_MT,MATCH(AF7,Control!$E$11:$E$15,0),MATCH(Y7,Control!$E$11:$L$11,0))</f>
        <v>50000</v>
      </c>
      <c r="AE7" s="140">
        <f t="shared" ref="AE7:AE14" si="6">AI7/$BL$15</f>
        <v>68858.166881443307</v>
      </c>
      <c r="AF7" s="48" t="s">
        <v>22</v>
      </c>
      <c r="AG7" s="142" t="s">
        <v>71</v>
      </c>
      <c r="AH7" s="142" t="str">
        <f t="shared" ref="AH7:AH14" si="7">IF(AG7=Y7,"",CONCATENATE(CONCATENATE(VLOOKUP(Y7,Zones,2,FALSE),"/",VLOOKUP(AG7,Zones,2,FALSE))))</f>
        <v>Panama WC/USWC</v>
      </c>
      <c r="AI7" s="141">
        <v>475000</v>
      </c>
      <c r="AJ7" s="141">
        <v>240</v>
      </c>
      <c r="AK7" s="151"/>
      <c r="AL7" s="149">
        <f>IF($Y7="Esmeraldas",IF(AJ7&gt;1000,IF(AK7=0,AJ7,AK7)/AI7*1.1,((AD7*V7*(IF(AK7=0,AJ7,AK7)/100))+IF(AE7&lt;AD7,0,(AE7-AD7)*V7*IF(AK7=0,AJ7,AK7)/100*W7))/AI7*1.1),IF(AJ7&gt;1000,IF(AK7=0,AJ7,AK7)/AI7,((AD7*V7*(IF(AK7=0,AJ7,AK7)/100))+IF(AE7&lt;AD7,0,(AE7-AD7)*V7*IF(AK7=0,AJ7,AK7)/100*W7))/AI7))</f>
        <v>0</v>
      </c>
      <c r="AM7" s="144">
        <v>0</v>
      </c>
      <c r="AN7" s="155">
        <f>INDEX('[1]Transit Time'!$A:$DC,MATCH(I7,'[1]Transit Time'!$A:$A,0),MATCH(N7,'[1]Transit Time'!$A$1:$DC$1,0))+INDEX('[1]Transit Time'!$A:$DC,MATCH(N7,'[1]Transit Time'!$A:$A,0),MATCH(Y7,'[1]Transit Time'!$A$1:$DC$1,0))+INDEX('[1]Transit Time'!$A:$DC,MATCH(Y7,'[1]Transit Time'!$A:$A,0),MATCH(AG7,'[1]Transit Time'!$A$1:$DC$1,0))-VLOOKUP($I7,Port_Info,4,FALSE)+VLOOKUP($AG7,Port_Info,4,FALSE)</f>
        <v>4</v>
      </c>
      <c r="AO7" s="143">
        <f t="shared" ref="AO7:AO14" si="8">AM7*VLOOKUP($AF7,$BJ$17:$BM$21,3,FALSE)/$AI7</f>
        <v>0</v>
      </c>
      <c r="AP7" s="143">
        <f t="shared" ref="AP7:AP14" si="9">IF(AN7&lt;0,0,$AN7*$BL$9)</f>
        <v>0.02</v>
      </c>
      <c r="AQ7" s="143">
        <f t="shared" ref="AQ7:AQ14" si="10">IF($I7="Esmeraldas",$BL$8,0)</f>
        <v>0</v>
      </c>
      <c r="AR7" s="143">
        <v>0</v>
      </c>
      <c r="AS7" s="143">
        <v>0</v>
      </c>
      <c r="AT7" s="143">
        <f t="shared" ref="AT7:AT14" si="11">$BL$10</f>
        <v>0.01</v>
      </c>
      <c r="AU7" s="143">
        <f t="shared" ref="AU7:AU14" si="12">$BL$11</f>
        <v>0.01</v>
      </c>
      <c r="AV7" s="143">
        <f>IF(INDEX(Control!$Q$3:$S$36,MATCH($AG7,Control!$Q$3:$Q$36,0),MATCH(AV$6,Control!$Q$3:$S$3,0))=1,$BL$12*$BM$12,0)</f>
        <v>0.11600000000000001</v>
      </c>
      <c r="AW7" s="143" t="e">
        <f>IF(INDEX(Control!$Q$3:$S$36,MATCH($AG7,Control!$Q$3:$Q$36,0),MATCH(AW$6,Control!$Q$3:$S$3,0))=1,$BL$13/$AI7,0)</f>
        <v>#N/A</v>
      </c>
      <c r="AX7" s="143">
        <f t="shared" ref="AX7:AX14" si="13">$BL$14</f>
        <v>0</v>
      </c>
      <c r="AY7" s="143">
        <f>IF(AND(N7="Chiriqui Grande",Y7="Puerto Armuelles"),$T$3,0)</f>
        <v>0.57999999999999996</v>
      </c>
      <c r="AZ7" s="149" t="e">
        <f>SUM(AO7:AY7)</f>
        <v>#N/A</v>
      </c>
      <c r="BA7" s="149" t="e">
        <f t="shared" ref="BA7:BA14" si="14">+T7+AL7+AZ7</f>
        <v>#N/A</v>
      </c>
      <c r="BB7" s="149">
        <f>$BB$3</f>
        <v>-0.35</v>
      </c>
      <c r="BC7" s="135" t="e">
        <f>$P$3+BA7+BB7+$AH$3</f>
        <v>#N/A</v>
      </c>
      <c r="BE7" s="153">
        <f>INDEX('[1]Transit Time'!$A:$DC,MATCH(I7,'[1]Transit Time'!$A:$A,0),MATCH(N7,'[1]Transit Time'!$A$1:$DC$1,0))+INDEX('[1]Transit Time'!$A:$DC,MATCH(N7,'[1]Transit Time'!$A:$A,0),MATCH(Y7,'[1]Transit Time'!$A$1:$DC$1,0))+INDEX('[1]Transit Time'!$A:$DC,MATCH(Y7,'[1]Transit Time'!$A:$A,0),MATCH(AG7,'[1]Transit Time'!$A$1:$DC$1,0))</f>
        <v>21</v>
      </c>
      <c r="BG7" s="163">
        <f>IF(ISBLANK(B7),"",B7+$BE7)</f>
        <v>43805</v>
      </c>
      <c r="BH7" s="163">
        <f>IFERROR(IF(ISBLANK(C7),"",C7+$BE7),"")</f>
        <v>43807</v>
      </c>
      <c r="BJ7" s="118" t="s">
        <v>136</v>
      </c>
      <c r="BL7" s="2">
        <v>23.7</v>
      </c>
      <c r="BO7" s="4"/>
      <c r="BP7" s="4"/>
      <c r="BS7" s="132"/>
    </row>
    <row r="8" spans="2:74" x14ac:dyDescent="0.35">
      <c r="B8" s="82">
        <f>+$B$7</f>
        <v>43784</v>
      </c>
      <c r="C8" s="82">
        <f t="shared" si="0"/>
        <v>43786</v>
      </c>
      <c r="E8" s="86"/>
      <c r="F8" s="87">
        <f>IF(I8=N8,0,INDEX('[2]Flat Rates 2022'!$A:$DB,MATCH(I8,'[2]Flat Rates 2022'!$A:$A,0),MATCH(N8,'[2]Flat Rates 2022'!$A$1:$DB$1,0)))</f>
        <v>16.559999999999999</v>
      </c>
      <c r="G8" s="87">
        <f>INDEX(Control!$E$17:$L$21,MATCH(P8,Control!$E$17:$E$21,0),MATCH(I8,Control!$E$17:$L$17,0))</f>
        <v>0.5</v>
      </c>
      <c r="H8" s="87">
        <v>0</v>
      </c>
      <c r="I8" s="87" t="s">
        <v>65</v>
      </c>
      <c r="J8" s="88">
        <f t="shared" si="1"/>
        <v>43784</v>
      </c>
      <c r="K8" s="88">
        <f t="shared" si="1"/>
        <v>43786</v>
      </c>
      <c r="L8" s="89">
        <f>INDEX(Vessel_Minimum_MT,MATCH(P8,Control!$E$11:$E$15,0),MATCH(I8,Control!$E$11:$L$11,0))</f>
        <v>145000</v>
      </c>
      <c r="M8" s="89">
        <f t="shared" si="2"/>
        <v>144964.56185567012</v>
      </c>
      <c r="N8" s="87" t="s">
        <v>63</v>
      </c>
      <c r="O8" s="87" t="str">
        <f t="shared" si="3"/>
        <v>LATAM EAST/Panama WC</v>
      </c>
      <c r="P8" s="147" t="s">
        <v>24</v>
      </c>
      <c r="Q8" s="15">
        <v>1000000</v>
      </c>
      <c r="R8" s="91">
        <v>0</v>
      </c>
      <c r="S8" s="18">
        <v>85</v>
      </c>
      <c r="T8" s="92">
        <f t="shared" ref="T8:T14" si="15">IF($I8="Esmeraldas",IF(R8&gt;1000,IF(S8=0,R8,S8)/Q8*1.1,((L8*F8*(IF(S8=0,R8,S8)/100))+IF(M8&lt;L8,0,(M8-L8)*F8*IF(S8=0,R8,S8)/100*G8))/Q8*1.1),IF(R8&gt;1000,IF(S8=0,R8,S8)/Q8,((L8*F8*(IF(S8=0,R8,S8)/100))+IF(M8&lt;L8,0,(M8-L8)*F8*IF(S8=0,R8,S8)/100*G8)))/Q8)</f>
        <v>2.0410200000000001</v>
      </c>
      <c r="U8" s="93"/>
      <c r="V8" s="93">
        <f>INDEX('[2]Flat Rates 2022'!$A:$DB,MATCH(Y8,'[2]Flat Rates 2022'!$A:$A,0),MATCH(AG8,'[2]Flat Rates 2022'!$A$1:$DB$1,0))</f>
        <v>0</v>
      </c>
      <c r="W8" s="93">
        <f>INDEX(Control!$E$17:$L$21,MATCH(AF8,Control!$E$17:$E$21,0),MATCH(Y8,Control!$E$17:$L$17,0))</f>
        <v>0.5</v>
      </c>
      <c r="X8" s="93">
        <v>11</v>
      </c>
      <c r="Y8" s="93" t="s">
        <v>63</v>
      </c>
      <c r="Z8" s="94">
        <v>43430</v>
      </c>
      <c r="AA8" s="94">
        <f t="shared" si="4"/>
        <v>43434</v>
      </c>
      <c r="AB8" s="94">
        <f t="shared" si="5"/>
        <v>43430</v>
      </c>
      <c r="AC8" s="94">
        <f t="shared" si="5"/>
        <v>43434</v>
      </c>
      <c r="AD8" s="95">
        <f>INDEX(Vessel_Minimum_MT,MATCH(AF8,Control!$E$11:$E$15,0),MATCH(Y8,Control!$E$11:$L$11,0))</f>
        <v>50000</v>
      </c>
      <c r="AE8" s="95">
        <f t="shared" si="6"/>
        <v>68858.166881443307</v>
      </c>
      <c r="AF8" s="90" t="s">
        <v>22</v>
      </c>
      <c r="AG8" s="87" t="s">
        <v>71</v>
      </c>
      <c r="AH8" s="87" t="str">
        <f t="shared" si="7"/>
        <v>Panama WC/USWC</v>
      </c>
      <c r="AI8" s="96">
        <v>475000</v>
      </c>
      <c r="AJ8" s="96">
        <v>240</v>
      </c>
      <c r="AK8" s="97"/>
      <c r="AL8" s="98">
        <f t="shared" ref="AL8:AL14" si="16">IF($Y8="Esmeraldas",IF(AJ8&gt;1000,IF(AK8=0,AJ8,AK8)/AI8*1.1,((AD8*V8*(IF(AK8=0,AJ8,AK8)/100))+IF(AE8&lt;AD8,0,(AE8-AD8)*V8*IF(AK8=0,AJ8,AK8)/100*W8))/AI8*1.1),IF(AJ8&gt;1000,IF(AK8=0,AJ8,AK8)/AI8,((AD8*V8*(IF(AK8=0,AJ8,AK8)/100))+IF(AE8&lt;AD8,0,(AE8-AD8)*V8*IF(AK8=0,AJ8,AK8)/100*W8))/AI8))</f>
        <v>0</v>
      </c>
      <c r="AM8" s="89">
        <v>0</v>
      </c>
      <c r="AN8" s="96">
        <f>INDEX('[1]Transit Time'!$A:$DC,MATCH(I8,'[1]Transit Time'!$A:$A,0),MATCH(N8,'[1]Transit Time'!$A$1:$DC$1,0))+INDEX('[1]Transit Time'!$A:$DC,MATCH(N8,'[1]Transit Time'!$A:$A,0),MATCH(Y8,'[1]Transit Time'!$A$1:$DC$1,0))+INDEX('[1]Transit Time'!$A:$DC,MATCH(Y8,'[1]Transit Time'!$A:$A,0),MATCH(AG8,'[1]Transit Time'!$A$1:$DC$1,0))-VLOOKUP($I8,Port_Info,4,FALSE)+VLOOKUP($AG8,Port_Info,4,FALSE)</f>
        <v>-6</v>
      </c>
      <c r="AO8" s="99">
        <f t="shared" si="8"/>
        <v>0</v>
      </c>
      <c r="AP8" s="99">
        <f t="shared" si="9"/>
        <v>0</v>
      </c>
      <c r="AQ8" s="99">
        <f t="shared" si="10"/>
        <v>0</v>
      </c>
      <c r="AR8" s="99">
        <v>0</v>
      </c>
      <c r="AS8" s="99">
        <v>0</v>
      </c>
      <c r="AT8" s="99">
        <f t="shared" si="11"/>
        <v>0.01</v>
      </c>
      <c r="AU8" s="99">
        <f t="shared" si="12"/>
        <v>0.01</v>
      </c>
      <c r="AV8" s="99">
        <f>IF(INDEX(Control!$Q$3:$S$36,MATCH($AG8,Control!$Q$3:$Q$36,0),MATCH(AV$6,Control!$Q$3:$S$3,0))=1,$BL$12*$BM$12,0)</f>
        <v>0.11600000000000001</v>
      </c>
      <c r="AW8" s="99" t="e">
        <f>IF(INDEX(Control!$Q$3:$S$36,MATCH($AG8,Control!$Q$3:$Q$36,0),MATCH(AW$6,Control!$Q$3:$S$3,0))=1,$BL$13/$AI8,0)</f>
        <v>#N/A</v>
      </c>
      <c r="AX8" s="99">
        <f t="shared" si="13"/>
        <v>0</v>
      </c>
      <c r="AY8" s="99">
        <f t="shared" ref="AY8:AY14" si="17">IF(AND(N8="Chiriqui Grande",Y8="Puerto Armuelles"),$T$3,0)</f>
        <v>0</v>
      </c>
      <c r="AZ8" s="98" t="e">
        <f t="shared" ref="AZ8:AZ14" si="18">SUM(AO8:AY8)</f>
        <v>#N/A</v>
      </c>
      <c r="BA8" s="98" t="e">
        <f t="shared" si="14"/>
        <v>#N/A</v>
      </c>
      <c r="BB8" s="98">
        <f t="shared" ref="BB8:BB14" si="19">$BB$3</f>
        <v>-0.35</v>
      </c>
      <c r="BC8" s="100" t="e">
        <f t="shared" ref="BC8:BC14" si="20">$P$3+BA8+BB8+$AH$3</f>
        <v>#N/A</v>
      </c>
      <c r="BE8" s="153">
        <f>INDEX('[1]Transit Time'!$A:$DC,MATCH(I8,'[1]Transit Time'!$A:$A,0),MATCH(N8,'[1]Transit Time'!$A$1:$DC$1,0))+INDEX('[1]Transit Time'!$A:$DC,MATCH(N8,'[1]Transit Time'!$A:$A,0),MATCH(Y8,'[1]Transit Time'!$A$1:$DC$1,0))+INDEX('[1]Transit Time'!$A:$DC,MATCH(Y8,'[1]Transit Time'!$A:$A,0),MATCH(AG8,'[1]Transit Time'!$A$1:$DC$1,0))</f>
        <v>11</v>
      </c>
      <c r="BG8" s="163">
        <f t="shared" ref="BG8:BG14" si="21">IF(ISBLANK(B8),"",B8+$BE8)</f>
        <v>43795</v>
      </c>
      <c r="BH8" s="163">
        <f t="shared" ref="BH8:BH14" si="22">IFERROR(IF(ISBLANK(C8),"",C8+$BE8),"")</f>
        <v>43797</v>
      </c>
      <c r="BJ8" s="133" t="s">
        <v>310</v>
      </c>
      <c r="BK8" s="133"/>
      <c r="BL8" s="117">
        <v>0.13</v>
      </c>
    </row>
    <row r="9" spans="2:74" x14ac:dyDescent="0.35">
      <c r="B9" s="163">
        <f t="shared" ref="B9:B14" si="23">+$B$7</f>
        <v>43784</v>
      </c>
      <c r="C9" s="163">
        <f t="shared" si="0"/>
        <v>43786</v>
      </c>
      <c r="E9" s="8"/>
      <c r="F9" s="142">
        <f>IF(I9=N9,0,INDEX('[2]Flat Rates 2022'!$A:$DB,MATCH(I9,'[2]Flat Rates 2022'!$A:$A,0),MATCH(N9,'[2]Flat Rates 2022'!$A$1:$DB$1,0)))</f>
        <v>16.18</v>
      </c>
      <c r="G9" s="142">
        <f>INDEX(Control!$E$17:$L$21,MATCH(P9,Control!$E$17:$E$21,0),MATCH(I9,Control!$E$17:$L$17,0))</f>
        <v>0.5</v>
      </c>
      <c r="H9" s="142">
        <v>18</v>
      </c>
      <c r="I9" s="142" t="str">
        <f t="shared" ref="I9:I14" si="24">$I$7</f>
        <v>La Paloma (Alpha Ligh. Zone)</v>
      </c>
      <c r="J9" s="19">
        <f t="shared" si="1"/>
        <v>43802</v>
      </c>
      <c r="K9" s="19">
        <f t="shared" si="1"/>
        <v>43804</v>
      </c>
      <c r="L9" s="144">
        <f>INDEX(Vessel_Minimum_MT,MATCH(P9,Control!$E$11:$E$15,0),MATCH(I9,Control!$E$11:$L$11,0))</f>
        <v>270000</v>
      </c>
      <c r="M9" s="144">
        <f t="shared" si="2"/>
        <v>289929.12371134025</v>
      </c>
      <c r="N9" s="142" t="s">
        <v>55</v>
      </c>
      <c r="O9" s="142" t="str">
        <f t="shared" si="3"/>
        <v>LATAM EAST/CARIBS</v>
      </c>
      <c r="P9" s="147" t="s">
        <v>25</v>
      </c>
      <c r="Q9" s="15">
        <v>2000000</v>
      </c>
      <c r="R9" s="13">
        <v>0</v>
      </c>
      <c r="S9" s="18">
        <v>75</v>
      </c>
      <c r="T9" s="148">
        <f t="shared" si="15"/>
        <v>1.6986849790592784</v>
      </c>
      <c r="U9" s="2"/>
      <c r="V9" s="138">
        <f>INDEX('[2]Flat Rates 2022'!$A:$DB,MATCH(Y9,'[2]Flat Rates 2022'!$A:$A,0),MATCH(AG9,'[2]Flat Rates 2022'!$A$1:$DB$1,0))</f>
        <v>0</v>
      </c>
      <c r="W9" s="138">
        <f>INDEX(Control!$E$17:$L$21,MATCH(AF9,Control!$E$17:$E$21,0),MATCH(Y9,Control!$E$17:$L$17,0))</f>
        <v>0.5</v>
      </c>
      <c r="X9" s="138">
        <v>11</v>
      </c>
      <c r="Y9" s="138" t="s">
        <v>63</v>
      </c>
      <c r="Z9" s="139">
        <v>43430</v>
      </c>
      <c r="AA9" s="139">
        <f t="shared" si="4"/>
        <v>43434</v>
      </c>
      <c r="AB9" s="139">
        <f t="shared" si="5"/>
        <v>43448</v>
      </c>
      <c r="AC9" s="139">
        <f t="shared" si="5"/>
        <v>43452</v>
      </c>
      <c r="AD9" s="140">
        <f>INDEX(Vessel_Minimum_MT,MATCH(AF9,Control!$E$11:$E$15,0),MATCH(Y9,Control!$E$11:$L$11,0))</f>
        <v>70000</v>
      </c>
      <c r="AE9" s="140">
        <f t="shared" si="6"/>
        <v>101475.19329896908</v>
      </c>
      <c r="AF9" s="147" t="s">
        <v>23</v>
      </c>
      <c r="AG9" s="142" t="s">
        <v>71</v>
      </c>
      <c r="AH9" s="142" t="str">
        <f t="shared" si="7"/>
        <v>Panama WC/USWC</v>
      </c>
      <c r="AI9" s="141">
        <v>700000</v>
      </c>
      <c r="AJ9" s="141">
        <v>157.5</v>
      </c>
      <c r="AK9" s="151"/>
      <c r="AL9" s="149">
        <f t="shared" si="16"/>
        <v>0</v>
      </c>
      <c r="AM9" s="144">
        <v>0</v>
      </c>
      <c r="AN9" s="141">
        <f>INDEX('[1]Transit Time'!$A:$DC,MATCH(I9,'[1]Transit Time'!$A:$A,0),MATCH(N9,'[1]Transit Time'!$A$1:$DC$1,0))+INDEX('[1]Transit Time'!$A:$DC,MATCH(N9,'[1]Transit Time'!$A:$A,0),MATCH(Y9,'[1]Transit Time'!$A$1:$DC$1,0))+INDEX('[1]Transit Time'!$A:$DC,MATCH(Y9,'[1]Transit Time'!$A:$A,0),MATCH(AG9,'[1]Transit Time'!$A$1:$DC$1,0))-VLOOKUP($I9,Port_Info,4,FALSE)+VLOOKUP($AG9,Port_Info,4,FALSE)</f>
        <v>4</v>
      </c>
      <c r="AO9" s="143">
        <f t="shared" si="8"/>
        <v>0</v>
      </c>
      <c r="AP9" s="143">
        <f t="shared" si="9"/>
        <v>0.02</v>
      </c>
      <c r="AQ9" s="143">
        <f t="shared" si="10"/>
        <v>0</v>
      </c>
      <c r="AR9" s="143">
        <v>0</v>
      </c>
      <c r="AS9" s="143">
        <v>0</v>
      </c>
      <c r="AT9" s="143">
        <f t="shared" si="11"/>
        <v>0.01</v>
      </c>
      <c r="AU9" s="143">
        <f t="shared" si="12"/>
        <v>0.01</v>
      </c>
      <c r="AV9" s="143">
        <f>IF(INDEX(Control!$Q$3:$S$36,MATCH($AG9,Control!$Q$3:$Q$36,0),MATCH(AV$6,Control!$Q$3:$S$3,0))=1,$BL$12*$BM$12,0)</f>
        <v>0.11600000000000001</v>
      </c>
      <c r="AW9" s="143" t="e">
        <f>IF(INDEX(Control!$Q$3:$S$36,MATCH($AG9,Control!$Q$3:$Q$36,0),MATCH(AW$6,Control!$Q$3:$S$3,0))=1,$BL$13/$AI9,0)</f>
        <v>#N/A</v>
      </c>
      <c r="AX9" s="143">
        <f t="shared" si="13"/>
        <v>0</v>
      </c>
      <c r="AY9" s="143">
        <f t="shared" si="17"/>
        <v>0.57999999999999996</v>
      </c>
      <c r="AZ9" s="149" t="e">
        <f t="shared" si="18"/>
        <v>#N/A</v>
      </c>
      <c r="BA9" s="149" t="e">
        <f t="shared" si="14"/>
        <v>#N/A</v>
      </c>
      <c r="BB9" s="149">
        <f t="shared" si="19"/>
        <v>-0.35</v>
      </c>
      <c r="BC9" s="145" t="e">
        <f t="shared" si="20"/>
        <v>#N/A</v>
      </c>
      <c r="BE9" s="153">
        <f>INDEX('[1]Transit Time'!$A:$DC,MATCH(I9,'[1]Transit Time'!$A:$A,0),MATCH(N9,'[1]Transit Time'!$A$1:$DC$1,0))+INDEX('[1]Transit Time'!$A:$DC,MATCH(N9,'[1]Transit Time'!$A:$A,0),MATCH(Y9,'[1]Transit Time'!$A$1:$DC$1,0))+INDEX('[1]Transit Time'!$A:$DC,MATCH(Y9,'[1]Transit Time'!$A:$A,0),MATCH(AG9,'[1]Transit Time'!$A$1:$DC$1,0))</f>
        <v>21</v>
      </c>
      <c r="BG9" s="163">
        <f t="shared" si="21"/>
        <v>43805</v>
      </c>
      <c r="BH9" s="163">
        <f t="shared" si="22"/>
        <v>43807</v>
      </c>
      <c r="BJ9" s="133" t="s">
        <v>140</v>
      </c>
      <c r="BK9" s="133"/>
      <c r="BL9" s="119">
        <v>5.0000000000000001E-3</v>
      </c>
    </row>
    <row r="10" spans="2:74" x14ac:dyDescent="0.35">
      <c r="B10" s="163">
        <f t="shared" si="23"/>
        <v>43784</v>
      </c>
      <c r="C10" s="163">
        <f t="shared" si="0"/>
        <v>43786</v>
      </c>
      <c r="E10" s="8"/>
      <c r="F10" s="142">
        <f>IF(I10=N10,0,INDEX('[2]Flat Rates 2022'!$A:$DB,MATCH(I10,'[2]Flat Rates 2022'!$A:$A,0),MATCH(N10,'[2]Flat Rates 2022'!$A$1:$DB$1,0)))</f>
        <v>16.18</v>
      </c>
      <c r="G10" s="142">
        <f>INDEX(Control!$E$17:$L$21,MATCH(P10,Control!$E$17:$E$21,0),MATCH(I10,Control!$E$17:$L$17,0))</f>
        <v>0.5</v>
      </c>
      <c r="H10" s="142">
        <v>18</v>
      </c>
      <c r="I10" s="142" t="str">
        <f t="shared" si="24"/>
        <v>La Paloma (Alpha Ligh. Zone)</v>
      </c>
      <c r="J10" s="19">
        <f t="shared" si="1"/>
        <v>43802</v>
      </c>
      <c r="K10" s="19">
        <f t="shared" si="1"/>
        <v>43804</v>
      </c>
      <c r="L10" s="144">
        <f>INDEX(Vessel_Minimum_MT,MATCH(P10,Control!$E$11:$E$15,0),MATCH(I10,Control!$E$11:$L$11,0))</f>
        <v>270000</v>
      </c>
      <c r="M10" s="144">
        <f t="shared" si="2"/>
        <v>289929.12371134025</v>
      </c>
      <c r="N10" s="142" t="s">
        <v>55</v>
      </c>
      <c r="O10" s="142" t="str">
        <f t="shared" si="3"/>
        <v>LATAM EAST/CARIBS</v>
      </c>
      <c r="P10" s="147" t="s">
        <v>25</v>
      </c>
      <c r="Q10" s="15">
        <v>2000000</v>
      </c>
      <c r="R10" s="13">
        <v>0</v>
      </c>
      <c r="S10" s="18">
        <v>75</v>
      </c>
      <c r="T10" s="148">
        <f t="shared" si="15"/>
        <v>1.6986849790592784</v>
      </c>
      <c r="U10" s="2"/>
      <c r="V10" s="138">
        <f>INDEX('[2]Flat Rates 2022'!$A:$DB,MATCH(Y10,'[2]Flat Rates 2022'!$A:$A,0),MATCH(AG10,'[2]Flat Rates 2022'!$A$1:$DB$1,0))</f>
        <v>12.21</v>
      </c>
      <c r="W10" s="138">
        <f>INDEX(Control!$E$17:$L$21,MATCH(AF10,Control!$E$17:$E$21,0),MATCH(Y10,Control!$E$17:$L$17,0))</f>
        <v>0.5</v>
      </c>
      <c r="X10" s="138">
        <v>10</v>
      </c>
      <c r="Y10" s="138" t="s">
        <v>63</v>
      </c>
      <c r="Z10" s="139">
        <v>43430</v>
      </c>
      <c r="AA10" s="139">
        <f t="shared" si="4"/>
        <v>43434</v>
      </c>
      <c r="AB10" s="139">
        <f t="shared" si="5"/>
        <v>43448</v>
      </c>
      <c r="AC10" s="139">
        <f t="shared" si="5"/>
        <v>43452</v>
      </c>
      <c r="AD10" s="140">
        <f>INDEX(Vessel_Minimum_MT,MATCH(AF10,Control!$E$11:$E$15,0),MATCH(Y10,Control!$E$11:$L$11,0))</f>
        <v>145000</v>
      </c>
      <c r="AE10" s="140">
        <f t="shared" si="6"/>
        <v>137716.33376288661</v>
      </c>
      <c r="AF10" s="147" t="s">
        <v>24</v>
      </c>
      <c r="AG10" s="142" t="s">
        <v>312</v>
      </c>
      <c r="AH10" s="142" t="str">
        <f t="shared" si="7"/>
        <v>Panama WC/USWC</v>
      </c>
      <c r="AI10" s="141">
        <v>950000</v>
      </c>
      <c r="AJ10" s="141">
        <v>105</v>
      </c>
      <c r="AK10" s="151"/>
      <c r="AL10" s="149">
        <f t="shared" si="16"/>
        <v>1.956813157894737</v>
      </c>
      <c r="AM10" s="144">
        <v>0</v>
      </c>
      <c r="AN10" s="141">
        <f>INDEX('[1]Transit Time'!$A:$DC,MATCH(I10,'[1]Transit Time'!$A:$A,0),MATCH(N10,'[1]Transit Time'!$A$1:$DC$1,0))+INDEX('[1]Transit Time'!$A:$DC,MATCH(N10,'[1]Transit Time'!$A:$A,0),MATCH(Y10,'[1]Transit Time'!$A$1:$DC$1,0))+INDEX('[1]Transit Time'!$A:$DC,MATCH(Y10,'[1]Transit Time'!$A:$A,0),MATCH(AG10,'[1]Transit Time'!$A$1:$DC$1,0))-VLOOKUP($I10,Port_Info,4,FALSE)+VLOOKUP($AG10,Port_Info,4,FALSE)</f>
        <v>3</v>
      </c>
      <c r="AO10" s="143">
        <f t="shared" si="8"/>
        <v>0</v>
      </c>
      <c r="AP10" s="143">
        <f t="shared" si="9"/>
        <v>1.4999999999999999E-2</v>
      </c>
      <c r="AQ10" s="143">
        <f t="shared" si="10"/>
        <v>0</v>
      </c>
      <c r="AR10" s="143">
        <v>0</v>
      </c>
      <c r="AS10" s="143">
        <v>0</v>
      </c>
      <c r="AT10" s="143">
        <f t="shared" si="11"/>
        <v>0.01</v>
      </c>
      <c r="AU10" s="143">
        <f t="shared" si="12"/>
        <v>0.01</v>
      </c>
      <c r="AV10" s="143">
        <f>IF(INDEX(Control!$Q$3:$S$36,MATCH($AG10,Control!$Q$3:$Q$36,0),MATCH(AV$6,Control!$Q$3:$S$3,0))=1,$BL$12*$BM$12,0)</f>
        <v>0.11600000000000001</v>
      </c>
      <c r="AW10" s="143" t="e">
        <f>IF(INDEX(Control!$Q$3:$S$36,MATCH($AG10,Control!$Q$3:$Q$36,0),MATCH(AW$6,Control!$Q$3:$S$3,0))=1,$BL$13/$AI10,0)</f>
        <v>#N/A</v>
      </c>
      <c r="AX10" s="143">
        <f t="shared" si="13"/>
        <v>0</v>
      </c>
      <c r="AY10" s="143">
        <f t="shared" si="17"/>
        <v>0.57999999999999996</v>
      </c>
      <c r="AZ10" s="149" t="e">
        <f t="shared" si="18"/>
        <v>#N/A</v>
      </c>
      <c r="BA10" s="149" t="e">
        <f t="shared" si="14"/>
        <v>#N/A</v>
      </c>
      <c r="BB10" s="149">
        <f t="shared" si="19"/>
        <v>-0.35</v>
      </c>
      <c r="BC10" s="145" t="e">
        <f t="shared" si="20"/>
        <v>#N/A</v>
      </c>
      <c r="BE10" s="153">
        <f>INDEX('[1]Transit Time'!$A:$DC,MATCH(I10,'[1]Transit Time'!$A:$A,0),MATCH(N10,'[1]Transit Time'!$A$1:$DC$1,0))+INDEX('[1]Transit Time'!$A:$DC,MATCH(N10,'[1]Transit Time'!$A:$A,0),MATCH(Y10,'[1]Transit Time'!$A$1:$DC$1,0))+INDEX('[1]Transit Time'!$A:$DC,MATCH(Y10,'[1]Transit Time'!$A:$A,0),MATCH(AG10,'[1]Transit Time'!$A$1:$DC$1,0))</f>
        <v>20</v>
      </c>
      <c r="BG10" s="163">
        <f t="shared" si="21"/>
        <v>43804</v>
      </c>
      <c r="BH10" s="163">
        <f t="shared" si="22"/>
        <v>43806</v>
      </c>
      <c r="BJ10" s="133" t="s">
        <v>141</v>
      </c>
      <c r="BK10" s="133"/>
      <c r="BL10" s="117">
        <v>0.01</v>
      </c>
    </row>
    <row r="11" spans="2:74" x14ac:dyDescent="0.35">
      <c r="B11" s="163">
        <f t="shared" si="23"/>
        <v>43784</v>
      </c>
      <c r="C11" s="163">
        <f t="shared" si="0"/>
        <v>43786</v>
      </c>
      <c r="E11" s="8"/>
      <c r="F11" s="142">
        <f>IF(I11=N11,0,INDEX('[2]Flat Rates 2022'!$A:$DB,MATCH(I11,'[2]Flat Rates 2022'!$A:$A,0),MATCH(N11,'[2]Flat Rates 2022'!$A$1:$DB$1,0)))</f>
        <v>16.18</v>
      </c>
      <c r="G11" s="142">
        <f>INDEX(Control!$E$17:$L$21,MATCH(P11,Control!$E$17:$E$21,0),MATCH(I11,Control!$E$17:$L$17,0))</f>
        <v>0.5</v>
      </c>
      <c r="H11" s="142">
        <v>18</v>
      </c>
      <c r="I11" s="142" t="str">
        <f t="shared" si="24"/>
        <v>La Paloma (Alpha Ligh. Zone)</v>
      </c>
      <c r="J11" s="19">
        <f t="shared" si="1"/>
        <v>43802</v>
      </c>
      <c r="K11" s="19">
        <f t="shared" si="1"/>
        <v>43804</v>
      </c>
      <c r="L11" s="144">
        <f>INDEX(Vessel_Minimum_MT,MATCH(P11,Control!$E$11:$E$15,0),MATCH(I11,Control!$E$11:$L$11,0))</f>
        <v>270000</v>
      </c>
      <c r="M11" s="144">
        <f t="shared" si="2"/>
        <v>289929.12371134025</v>
      </c>
      <c r="N11" s="142" t="s">
        <v>55</v>
      </c>
      <c r="O11" s="142" t="str">
        <f t="shared" si="3"/>
        <v>LATAM EAST/CARIBS</v>
      </c>
      <c r="P11" s="147" t="s">
        <v>25</v>
      </c>
      <c r="Q11" s="15">
        <v>2000000</v>
      </c>
      <c r="R11" s="13">
        <v>0</v>
      </c>
      <c r="S11" s="18">
        <v>75</v>
      </c>
      <c r="T11" s="148">
        <f t="shared" si="15"/>
        <v>1.6986849790592784</v>
      </c>
      <c r="U11" s="2"/>
      <c r="V11" s="138">
        <f>INDEX('[2]Flat Rates 2022'!$A:$DB,MATCH(Y11,'[2]Flat Rates 2022'!$A:$A,0),MATCH(AG11,'[2]Flat Rates 2022'!$A$1:$DB$1,0))</f>
        <v>0</v>
      </c>
      <c r="W11" s="138">
        <f>INDEX(Control!$E$17:$L$21,MATCH(AF11,Control!$E$17:$E$21,0),MATCH(Y11,Control!$E$17:$L$17,0))</f>
        <v>0.5</v>
      </c>
      <c r="X11" s="138">
        <v>11</v>
      </c>
      <c r="Y11" s="138" t="s">
        <v>63</v>
      </c>
      <c r="Z11" s="139">
        <v>43430</v>
      </c>
      <c r="AA11" s="139">
        <f t="shared" si="4"/>
        <v>43434</v>
      </c>
      <c r="AB11" s="139">
        <f t="shared" si="5"/>
        <v>43448</v>
      </c>
      <c r="AC11" s="139">
        <f t="shared" si="5"/>
        <v>43452</v>
      </c>
      <c r="AD11" s="140">
        <f>INDEX(Vessel_Minimum_MT,MATCH(AF11,Control!$E$11:$E$15,0),MATCH(Y11,Control!$E$11:$L$11,0))</f>
        <v>50000</v>
      </c>
      <c r="AE11" s="140">
        <f t="shared" si="6"/>
        <v>50737.596649484542</v>
      </c>
      <c r="AF11" s="147" t="s">
        <v>22</v>
      </c>
      <c r="AG11" s="142" t="s">
        <v>122</v>
      </c>
      <c r="AH11" s="142" t="e">
        <f t="shared" si="7"/>
        <v>#N/A</v>
      </c>
      <c r="AI11" s="141">
        <v>350000</v>
      </c>
      <c r="AJ11" s="141" t="e">
        <v>#N/A</v>
      </c>
      <c r="AK11" s="151"/>
      <c r="AL11" s="149" t="e">
        <f t="shared" si="16"/>
        <v>#N/A</v>
      </c>
      <c r="AM11" s="144">
        <v>0</v>
      </c>
      <c r="AN11" s="141" t="e">
        <f>INDEX('[1]Transit Time'!$A:$DC,MATCH(I11,'[1]Transit Time'!$A:$A,0),MATCH(N11,'[1]Transit Time'!$A$1:$DC$1,0))+INDEX('[1]Transit Time'!$A:$DC,MATCH(N11,'[1]Transit Time'!$A:$A,0),MATCH(Y11,'[1]Transit Time'!$A$1:$DC$1,0))+INDEX('[1]Transit Time'!$A:$DC,MATCH(Y11,'[1]Transit Time'!$A:$A,0),MATCH(AG11,'[1]Transit Time'!$A$1:$DC$1,0))-VLOOKUP($I11,Port_Info,4,FALSE)+VLOOKUP($AG11,Port_Info,4,FALSE)</f>
        <v>#N/A</v>
      </c>
      <c r="AO11" s="143">
        <f t="shared" si="8"/>
        <v>0</v>
      </c>
      <c r="AP11" s="143" t="e">
        <f t="shared" si="9"/>
        <v>#N/A</v>
      </c>
      <c r="AQ11" s="143">
        <f t="shared" si="10"/>
        <v>0</v>
      </c>
      <c r="AR11" s="143">
        <v>0</v>
      </c>
      <c r="AS11" s="143" t="e">
        <v>#N/A</v>
      </c>
      <c r="AT11" s="143">
        <f t="shared" si="11"/>
        <v>0.01</v>
      </c>
      <c r="AU11" s="143">
        <f t="shared" si="12"/>
        <v>0.01</v>
      </c>
      <c r="AV11" s="143" t="e">
        <f>IF(INDEX(Control!$Q$3:$S$36,MATCH($AG11,Control!$Q$3:$Q$36,0),MATCH(AV$6,Control!$Q$3:$S$3,0))=1,$BL$12*$BM$12,0)</f>
        <v>#N/A</v>
      </c>
      <c r="AW11" s="143" t="e">
        <f>IF(INDEX(Control!$Q$3:$S$36,MATCH($AG11,Control!$Q$3:$Q$36,0),MATCH(AW$6,Control!$Q$3:$S$3,0))=1,$BL$13/$AI11,0)</f>
        <v>#N/A</v>
      </c>
      <c r="AX11" s="143">
        <f t="shared" si="13"/>
        <v>0</v>
      </c>
      <c r="AY11" s="143">
        <f t="shared" si="17"/>
        <v>0.57999999999999996</v>
      </c>
      <c r="AZ11" s="149" t="e">
        <f t="shared" si="18"/>
        <v>#N/A</v>
      </c>
      <c r="BA11" s="149" t="e">
        <f t="shared" si="14"/>
        <v>#N/A</v>
      </c>
      <c r="BB11" s="149">
        <f t="shared" si="19"/>
        <v>-0.35</v>
      </c>
      <c r="BC11" s="145" t="e">
        <f t="shared" si="20"/>
        <v>#N/A</v>
      </c>
      <c r="BE11" s="153">
        <f>INDEX('[1]Transit Time'!$A:$DC,MATCH(I11,'[1]Transit Time'!$A:$A,0),MATCH(N11,'[1]Transit Time'!$A$1:$DC$1,0))+INDEX('[1]Transit Time'!$A:$DC,MATCH(N11,'[1]Transit Time'!$A:$A,0),MATCH(Y11,'[1]Transit Time'!$A$1:$DC$1,0))+INDEX('[1]Transit Time'!$A:$DC,MATCH(Y11,'[1]Transit Time'!$A:$A,0),MATCH(AG11,'[1]Transit Time'!$A$1:$DC$1,0))</f>
        <v>21</v>
      </c>
      <c r="BG11" s="163">
        <f t="shared" si="21"/>
        <v>43805</v>
      </c>
      <c r="BH11" s="163">
        <f t="shared" si="22"/>
        <v>43807</v>
      </c>
      <c r="BJ11" s="2" t="s">
        <v>188</v>
      </c>
      <c r="BL11" s="117">
        <v>0.01</v>
      </c>
    </row>
    <row r="12" spans="2:74" x14ac:dyDescent="0.35">
      <c r="B12" s="163">
        <f t="shared" si="23"/>
        <v>43784</v>
      </c>
      <c r="C12" s="163">
        <f t="shared" si="0"/>
        <v>43786</v>
      </c>
      <c r="E12" s="8"/>
      <c r="F12" s="142">
        <f>IF(I12=N12,0,INDEX('[2]Flat Rates 2022'!$A:$DB,MATCH(I12,'[2]Flat Rates 2022'!$A:$A,0),MATCH(N12,'[2]Flat Rates 2022'!$A$1:$DB$1,0)))</f>
        <v>16.18</v>
      </c>
      <c r="G12" s="142">
        <f>INDEX(Control!$E$17:$L$21,MATCH(P12,Control!$E$17:$E$21,0),MATCH(I12,Control!$E$17:$L$17,0))</f>
        <v>0.5</v>
      </c>
      <c r="H12" s="142">
        <v>18</v>
      </c>
      <c r="I12" s="142" t="str">
        <f t="shared" si="24"/>
        <v>La Paloma (Alpha Ligh. Zone)</v>
      </c>
      <c r="J12" s="19">
        <f t="shared" si="1"/>
        <v>43802</v>
      </c>
      <c r="K12" s="19">
        <f t="shared" si="1"/>
        <v>43804</v>
      </c>
      <c r="L12" s="144">
        <f>INDEX(Vessel_Minimum_MT,MATCH(P12,Control!$E$11:$E$15,0),MATCH(I12,Control!$E$11:$L$11,0))</f>
        <v>270000</v>
      </c>
      <c r="M12" s="144">
        <f t="shared" si="2"/>
        <v>289929.12371134025</v>
      </c>
      <c r="N12" s="142" t="s">
        <v>55</v>
      </c>
      <c r="O12" s="142" t="str">
        <f t="shared" si="3"/>
        <v>LATAM EAST/CARIBS</v>
      </c>
      <c r="P12" s="147" t="s">
        <v>25</v>
      </c>
      <c r="Q12" s="15">
        <v>2000000</v>
      </c>
      <c r="R12" s="13">
        <v>0</v>
      </c>
      <c r="S12" s="18">
        <v>75</v>
      </c>
      <c r="T12" s="148">
        <f t="shared" si="15"/>
        <v>1.6986849790592784</v>
      </c>
      <c r="U12" s="2"/>
      <c r="V12" s="138">
        <f>INDEX('[2]Flat Rates 2022'!$A:$DB,MATCH(Y12,'[2]Flat Rates 2022'!$A:$A,0),MATCH(AG12,'[2]Flat Rates 2022'!$A$1:$DB$1,0))</f>
        <v>0</v>
      </c>
      <c r="W12" s="138">
        <f>INDEX(Control!$E$17:$L$21,MATCH(AF12,Control!$E$17:$E$21,0),MATCH(Y12,Control!$E$17:$L$17,0))</f>
        <v>0.5</v>
      </c>
      <c r="X12" s="138">
        <v>11</v>
      </c>
      <c r="Y12" s="138" t="s">
        <v>63</v>
      </c>
      <c r="Z12" s="139">
        <v>43430</v>
      </c>
      <c r="AA12" s="139">
        <f t="shared" si="4"/>
        <v>43434</v>
      </c>
      <c r="AB12" s="139">
        <f t="shared" si="5"/>
        <v>43448</v>
      </c>
      <c r="AC12" s="139">
        <f t="shared" si="5"/>
        <v>43452</v>
      </c>
      <c r="AD12" s="140">
        <f>INDEX(Vessel_Minimum_MT,MATCH(AF12,Control!$E$11:$E$15,0),MATCH(Y12,Control!$E$11:$L$11,0))</f>
        <v>70000</v>
      </c>
      <c r="AE12" s="140">
        <f t="shared" si="6"/>
        <v>72482.280927835061</v>
      </c>
      <c r="AF12" s="147" t="s">
        <v>23</v>
      </c>
      <c r="AG12" s="142" t="s">
        <v>122</v>
      </c>
      <c r="AH12" s="142" t="e">
        <f t="shared" si="7"/>
        <v>#N/A</v>
      </c>
      <c r="AI12" s="141">
        <v>500000</v>
      </c>
      <c r="AJ12" s="141" t="e">
        <v>#N/A</v>
      </c>
      <c r="AK12" s="151"/>
      <c r="AL12" s="149" t="e">
        <f t="shared" si="16"/>
        <v>#N/A</v>
      </c>
      <c r="AM12" s="144">
        <v>0</v>
      </c>
      <c r="AN12" s="141" t="e">
        <f>INDEX('[1]Transit Time'!$A:$DC,MATCH(I12,'[1]Transit Time'!$A:$A,0),MATCH(N12,'[1]Transit Time'!$A$1:$DC$1,0))+INDEX('[1]Transit Time'!$A:$DC,MATCH(N12,'[1]Transit Time'!$A:$A,0),MATCH(Y12,'[1]Transit Time'!$A$1:$DC$1,0))+INDEX('[1]Transit Time'!$A:$DC,MATCH(Y12,'[1]Transit Time'!$A:$A,0),MATCH(AG12,'[1]Transit Time'!$A$1:$DC$1,0))-VLOOKUP($I12,Port_Info,4,FALSE)+VLOOKUP($AG12,Port_Info,4,FALSE)</f>
        <v>#N/A</v>
      </c>
      <c r="AO12" s="143">
        <f t="shared" si="8"/>
        <v>0</v>
      </c>
      <c r="AP12" s="143" t="e">
        <f t="shared" si="9"/>
        <v>#N/A</v>
      </c>
      <c r="AQ12" s="143">
        <f t="shared" si="10"/>
        <v>0</v>
      </c>
      <c r="AR12" s="143">
        <v>0</v>
      </c>
      <c r="AS12" s="143" t="e">
        <v>#N/A</v>
      </c>
      <c r="AT12" s="143">
        <f t="shared" si="11"/>
        <v>0.01</v>
      </c>
      <c r="AU12" s="143">
        <f t="shared" si="12"/>
        <v>0.01</v>
      </c>
      <c r="AV12" s="143" t="e">
        <f>IF(INDEX(Control!$Q$3:$S$36,MATCH($AG12,Control!$Q$3:$Q$36,0),MATCH(AV$6,Control!$Q$3:$S$3,0))=1,$BL$12*$BM$12,0)</f>
        <v>#N/A</v>
      </c>
      <c r="AW12" s="143" t="e">
        <f>IF(INDEX(Control!$Q$3:$S$36,MATCH($AG12,Control!$Q$3:$Q$36,0),MATCH(AW$6,Control!$Q$3:$S$3,0))=1,$BL$13/$AI12,0)</f>
        <v>#N/A</v>
      </c>
      <c r="AX12" s="143">
        <f t="shared" si="13"/>
        <v>0</v>
      </c>
      <c r="AY12" s="143">
        <f t="shared" si="17"/>
        <v>0.57999999999999996</v>
      </c>
      <c r="AZ12" s="149" t="e">
        <f t="shared" si="18"/>
        <v>#N/A</v>
      </c>
      <c r="BA12" s="149" t="e">
        <f t="shared" si="14"/>
        <v>#N/A</v>
      </c>
      <c r="BB12" s="149">
        <f t="shared" si="19"/>
        <v>-0.35</v>
      </c>
      <c r="BC12" s="145" t="e">
        <f t="shared" si="20"/>
        <v>#N/A</v>
      </c>
      <c r="BE12" s="153">
        <f>INDEX('[1]Transit Time'!$A:$DC,MATCH(I12,'[1]Transit Time'!$A:$A,0),MATCH(N12,'[1]Transit Time'!$A$1:$DC$1,0))+INDEX('[1]Transit Time'!$A:$DC,MATCH(N12,'[1]Transit Time'!$A:$A,0),MATCH(Y12,'[1]Transit Time'!$A$1:$DC$1,0))+INDEX('[1]Transit Time'!$A:$DC,MATCH(Y12,'[1]Transit Time'!$A:$A,0),MATCH(AG12,'[1]Transit Time'!$A$1:$DC$1,0))</f>
        <v>21</v>
      </c>
      <c r="BG12" s="163">
        <f t="shared" si="21"/>
        <v>43805</v>
      </c>
      <c r="BH12" s="163">
        <f t="shared" si="22"/>
        <v>43807</v>
      </c>
      <c r="BJ12" s="133" t="s">
        <v>17</v>
      </c>
      <c r="BK12" s="133"/>
      <c r="BL12" s="124">
        <v>58</v>
      </c>
      <c r="BM12" s="113">
        <v>2E-3</v>
      </c>
      <c r="BR12" s="132"/>
      <c r="BV12" s="132"/>
    </row>
    <row r="13" spans="2:74" x14ac:dyDescent="0.35">
      <c r="B13" s="163">
        <f t="shared" si="23"/>
        <v>43784</v>
      </c>
      <c r="C13" s="163">
        <f t="shared" si="0"/>
        <v>43786</v>
      </c>
      <c r="E13" s="8"/>
      <c r="F13" s="142">
        <f>IF(I13=N13,0,INDEX('[2]Flat Rates 2022'!$A:$DB,MATCH(I13,'[2]Flat Rates 2022'!$A:$A,0),MATCH(N13,'[2]Flat Rates 2022'!$A$1:$DB$1,0)))</f>
        <v>16.18</v>
      </c>
      <c r="G13" s="142">
        <f>INDEX(Control!$E$17:$L$21,MATCH(P13,Control!$E$17:$E$21,0),MATCH(I13,Control!$E$17:$L$17,0))</f>
        <v>0.5</v>
      </c>
      <c r="H13" s="142">
        <v>18</v>
      </c>
      <c r="I13" s="142" t="str">
        <f t="shared" si="24"/>
        <v>La Paloma (Alpha Ligh. Zone)</v>
      </c>
      <c r="J13" s="19">
        <f t="shared" si="1"/>
        <v>43802</v>
      </c>
      <c r="K13" s="19">
        <f t="shared" si="1"/>
        <v>43804</v>
      </c>
      <c r="L13" s="144">
        <f>INDEX(Vessel_Minimum_MT,MATCH(P13,Control!$E$11:$E$15,0),MATCH(I13,Control!$E$11:$L$11,0))</f>
        <v>270000</v>
      </c>
      <c r="M13" s="144">
        <f t="shared" si="2"/>
        <v>289929.12371134025</v>
      </c>
      <c r="N13" s="142" t="s">
        <v>55</v>
      </c>
      <c r="O13" s="142" t="str">
        <f t="shared" si="3"/>
        <v>LATAM EAST/CARIBS</v>
      </c>
      <c r="P13" s="147" t="s">
        <v>25</v>
      </c>
      <c r="Q13" s="15">
        <v>2000000</v>
      </c>
      <c r="R13" s="13">
        <v>0</v>
      </c>
      <c r="S13" s="18">
        <v>75</v>
      </c>
      <c r="T13" s="148">
        <f t="shared" si="15"/>
        <v>1.6986849790592784</v>
      </c>
      <c r="U13" s="2"/>
      <c r="V13" s="138">
        <f>INDEX('[2]Flat Rates 2022'!$A:$DB,MATCH(Y13,'[2]Flat Rates 2022'!$A:$A,0),MATCH(AG13,'[2]Flat Rates 2022'!$A$1:$DB$1,0))</f>
        <v>0</v>
      </c>
      <c r="W13" s="138">
        <f>INDEX(Control!$E$17:$L$21,MATCH(AF13,Control!$E$17:$E$21,0),MATCH(Y13,Control!$E$17:$L$17,0))</f>
        <v>0.5</v>
      </c>
      <c r="X13" s="138">
        <v>13</v>
      </c>
      <c r="Y13" s="138" t="s">
        <v>63</v>
      </c>
      <c r="Z13" s="139">
        <v>43430</v>
      </c>
      <c r="AA13" s="139">
        <f t="shared" si="4"/>
        <v>43434</v>
      </c>
      <c r="AB13" s="139">
        <f t="shared" si="5"/>
        <v>43448</v>
      </c>
      <c r="AC13" s="139">
        <f t="shared" si="5"/>
        <v>43452</v>
      </c>
      <c r="AD13" s="140">
        <f>INDEX(Vessel_Minimum_MT,MATCH(AF13,Control!$E$11:$E$15,0),MATCH(Y13,Control!$E$11:$L$11,0))</f>
        <v>50000</v>
      </c>
      <c r="AE13" s="140">
        <f t="shared" si="6"/>
        <v>68858.166881443307</v>
      </c>
      <c r="AF13" s="147" t="s">
        <v>22</v>
      </c>
      <c r="AG13" s="142" t="s">
        <v>68</v>
      </c>
      <c r="AH13" s="142" t="str">
        <f t="shared" si="7"/>
        <v>Panama WC/USWC</v>
      </c>
      <c r="AI13" s="141">
        <v>475000</v>
      </c>
      <c r="AJ13" s="141">
        <v>240</v>
      </c>
      <c r="AK13" s="151"/>
      <c r="AL13" s="149">
        <f t="shared" si="16"/>
        <v>0</v>
      </c>
      <c r="AM13" s="144">
        <v>0</v>
      </c>
      <c r="AN13" s="141">
        <f>INDEX('[1]Transit Time'!$A:$DC,MATCH(I13,'[1]Transit Time'!$A:$A,0),MATCH(N13,'[1]Transit Time'!$A$1:$DC$1,0))+INDEX('[1]Transit Time'!$A:$DC,MATCH(N13,'[1]Transit Time'!$A:$A,0),MATCH(Y13,'[1]Transit Time'!$A$1:$DC$1,0))+INDEX('[1]Transit Time'!$A:$DC,MATCH(Y13,'[1]Transit Time'!$A:$A,0),MATCH(AG13,'[1]Transit Time'!$A$1:$DC$1,0))-VLOOKUP($I13,Port_Info,4,FALSE)+VLOOKUP($AG13,Port_Info,4,FALSE)</f>
        <v>6</v>
      </c>
      <c r="AO13" s="143">
        <f t="shared" si="8"/>
        <v>0</v>
      </c>
      <c r="AP13" s="143">
        <f t="shared" si="9"/>
        <v>0.03</v>
      </c>
      <c r="AQ13" s="143">
        <f t="shared" si="10"/>
        <v>0</v>
      </c>
      <c r="AR13" s="143">
        <v>0</v>
      </c>
      <c r="AS13" s="143">
        <v>0</v>
      </c>
      <c r="AT13" s="143">
        <f t="shared" si="11"/>
        <v>0.01</v>
      </c>
      <c r="AU13" s="143">
        <f t="shared" si="12"/>
        <v>0.01</v>
      </c>
      <c r="AV13" s="143">
        <f>IF(INDEX(Control!$Q$3:$S$36,MATCH($AG13,Control!$Q$3:$Q$36,0),MATCH(AV$6,Control!$Q$3:$S$3,0))=1,$BL$12*$BM$12,0)</f>
        <v>0.11600000000000001</v>
      </c>
      <c r="AW13" s="143" t="e">
        <f>IF(INDEX(Control!$Q$3:$S$36,MATCH($AG13,Control!$Q$3:$Q$36,0),MATCH(AW$6,Control!$Q$3:$S$3,0))=1,$BL$13/$AI13,0)</f>
        <v>#N/A</v>
      </c>
      <c r="AX13" s="143">
        <f t="shared" si="13"/>
        <v>0</v>
      </c>
      <c r="AY13" s="143">
        <f t="shared" si="17"/>
        <v>0.57999999999999996</v>
      </c>
      <c r="AZ13" s="149" t="e">
        <f t="shared" si="18"/>
        <v>#N/A</v>
      </c>
      <c r="BA13" s="149" t="e">
        <f t="shared" si="14"/>
        <v>#N/A</v>
      </c>
      <c r="BB13" s="149">
        <f t="shared" si="19"/>
        <v>-0.35</v>
      </c>
      <c r="BC13" s="145" t="e">
        <f t="shared" si="20"/>
        <v>#N/A</v>
      </c>
      <c r="BE13" s="153">
        <f>INDEX('[1]Transit Time'!$A:$DC,MATCH(I13,'[1]Transit Time'!$A:$A,0),MATCH(N13,'[1]Transit Time'!$A$1:$DC$1,0))+INDEX('[1]Transit Time'!$A:$DC,MATCH(N13,'[1]Transit Time'!$A:$A,0),MATCH(Y13,'[1]Transit Time'!$A$1:$DC$1,0))+INDEX('[1]Transit Time'!$A:$DC,MATCH(Y13,'[1]Transit Time'!$A:$A,0),MATCH(AG13,'[1]Transit Time'!$A$1:$DC$1,0))</f>
        <v>23</v>
      </c>
      <c r="BG13" s="163">
        <f t="shared" si="21"/>
        <v>43807</v>
      </c>
      <c r="BH13" s="163">
        <f t="shared" si="22"/>
        <v>43809</v>
      </c>
      <c r="BJ13" s="133" t="s">
        <v>207</v>
      </c>
      <c r="BK13" s="133"/>
      <c r="BL13" s="124">
        <v>20000</v>
      </c>
      <c r="BR13" s="132"/>
    </row>
    <row r="14" spans="2:74" ht="16" thickBot="1" x14ac:dyDescent="0.4">
      <c r="B14" s="163">
        <f t="shared" si="23"/>
        <v>43784</v>
      </c>
      <c r="C14" s="163">
        <f t="shared" si="0"/>
        <v>43786</v>
      </c>
      <c r="E14" s="8"/>
      <c r="F14" s="26">
        <f>IF(I14=N14,0,INDEX('[2]Flat Rates 2022'!$A:$DB,MATCH(I14,'[2]Flat Rates 2022'!$A:$A,0),MATCH(N14,'[2]Flat Rates 2022'!$A$1:$DB$1,0)))</f>
        <v>16.18</v>
      </c>
      <c r="G14" s="26">
        <f>INDEX(Control!$E$17:$L$21,MATCH(P14,Control!$E$17:$E$21,0),MATCH(I14,Control!$E$17:$L$17,0))</f>
        <v>0.5</v>
      </c>
      <c r="H14" s="26">
        <v>18</v>
      </c>
      <c r="I14" s="26" t="str">
        <f t="shared" si="24"/>
        <v>La Paloma (Alpha Ligh. Zone)</v>
      </c>
      <c r="J14" s="27">
        <f t="shared" si="1"/>
        <v>43802</v>
      </c>
      <c r="K14" s="27">
        <f t="shared" si="1"/>
        <v>43804</v>
      </c>
      <c r="L14" s="28">
        <f>INDEX(Vessel_Minimum_MT,MATCH(P14,Control!$E$11:$E$15,0),MATCH(I14,Control!$E$11:$L$11,0))</f>
        <v>270000</v>
      </c>
      <c r="M14" s="28">
        <f t="shared" si="2"/>
        <v>289929.12371134025</v>
      </c>
      <c r="N14" s="142" t="s">
        <v>55</v>
      </c>
      <c r="O14" s="26" t="str">
        <f t="shared" si="3"/>
        <v>LATAM EAST/CARIBS</v>
      </c>
      <c r="P14" s="147" t="s">
        <v>25</v>
      </c>
      <c r="Q14" s="15">
        <v>2000000</v>
      </c>
      <c r="R14" s="17">
        <v>0</v>
      </c>
      <c r="S14" s="18">
        <v>75</v>
      </c>
      <c r="T14" s="148">
        <f t="shared" si="15"/>
        <v>1.6986849790592784</v>
      </c>
      <c r="U14" s="2"/>
      <c r="V14" s="138">
        <f>INDEX('[2]Flat Rates 2022'!$A:$DB,MATCH(Y14,'[2]Flat Rates 2022'!$A:$A,0),MATCH(AG14,'[2]Flat Rates 2022'!$A$1:$DB$1,0))</f>
        <v>0</v>
      </c>
      <c r="W14" s="138">
        <f>INDEX(Control!$E$17:$L$21,MATCH(AF14,Control!$E$17:$E$21,0),MATCH(Y14,Control!$E$17:$L$17,0))</f>
        <v>0.5</v>
      </c>
      <c r="X14" s="138">
        <v>13</v>
      </c>
      <c r="Y14" s="138" t="s">
        <v>63</v>
      </c>
      <c r="Z14" s="139">
        <v>43430</v>
      </c>
      <c r="AA14" s="139">
        <f t="shared" si="4"/>
        <v>43434</v>
      </c>
      <c r="AB14" s="139">
        <f>+Z14+$H14</f>
        <v>43448</v>
      </c>
      <c r="AC14" s="139">
        <f>+AA14+$H14</f>
        <v>43452</v>
      </c>
      <c r="AD14" s="140">
        <f>INDEX(Vessel_Minimum_MT,MATCH(AF14,Control!$E$11:$E$15,0),MATCH(Y14,Control!$E$11:$L$11,0))</f>
        <v>70000</v>
      </c>
      <c r="AE14" s="140">
        <f t="shared" si="6"/>
        <v>101475.19329896908</v>
      </c>
      <c r="AF14" s="147" t="s">
        <v>23</v>
      </c>
      <c r="AG14" s="142" t="s">
        <v>68</v>
      </c>
      <c r="AH14" s="26" t="str">
        <f t="shared" si="7"/>
        <v>Panama WC/USWC</v>
      </c>
      <c r="AI14" s="15">
        <v>700000</v>
      </c>
      <c r="AJ14" s="15">
        <v>157.5</v>
      </c>
      <c r="AK14" s="49">
        <v>0</v>
      </c>
      <c r="AL14" s="50">
        <f t="shared" si="16"/>
        <v>0</v>
      </c>
      <c r="AM14" s="28">
        <v>0</v>
      </c>
      <c r="AN14" s="15">
        <f>INDEX('[1]Transit Time'!$A:$DC,MATCH(I14,'[1]Transit Time'!$A:$A,0),MATCH(N14,'[1]Transit Time'!$A$1:$DC$1,0))+INDEX('[1]Transit Time'!$A:$DC,MATCH(N14,'[1]Transit Time'!$A:$A,0),MATCH(Y14,'[1]Transit Time'!$A$1:$DC$1,0))+INDEX('[1]Transit Time'!$A:$DC,MATCH(Y14,'[1]Transit Time'!$A:$A,0),MATCH(AG14,'[1]Transit Time'!$A$1:$DC$1,0))-VLOOKUP($I14,Port_Info,4,FALSE)+VLOOKUP($AG14,Port_Info,4,FALSE)</f>
        <v>6</v>
      </c>
      <c r="AO14" s="29">
        <f t="shared" si="8"/>
        <v>0</v>
      </c>
      <c r="AP14" s="29">
        <f t="shared" si="9"/>
        <v>0.03</v>
      </c>
      <c r="AQ14" s="29">
        <f t="shared" si="10"/>
        <v>0</v>
      </c>
      <c r="AR14" s="29">
        <v>0</v>
      </c>
      <c r="AS14" s="29">
        <v>0</v>
      </c>
      <c r="AT14" s="29">
        <f t="shared" si="11"/>
        <v>0.01</v>
      </c>
      <c r="AU14" s="29">
        <f t="shared" si="12"/>
        <v>0.01</v>
      </c>
      <c r="AV14" s="29">
        <f>IF(INDEX(Control!$Q$3:$S$36,MATCH($AG14,Control!$Q$3:$Q$36,0),MATCH(AV$6,Control!$Q$3:$S$3,0))=1,$BL$12*$BM$12,0)</f>
        <v>0.11600000000000001</v>
      </c>
      <c r="AW14" s="29" t="e">
        <f>IF(INDEX(Control!$Q$3:$S$36,MATCH($AG14,Control!$Q$3:$Q$36,0),MATCH(AW$6,Control!$Q$3:$S$3,0))=1,$BL$13/$AI14,0)</f>
        <v>#N/A</v>
      </c>
      <c r="AX14" s="29">
        <f t="shared" si="13"/>
        <v>0</v>
      </c>
      <c r="AY14" s="29">
        <f t="shared" si="17"/>
        <v>0.57999999999999996</v>
      </c>
      <c r="AZ14" s="50" t="e">
        <f t="shared" si="18"/>
        <v>#N/A</v>
      </c>
      <c r="BA14" s="50" t="e">
        <f t="shared" si="14"/>
        <v>#N/A</v>
      </c>
      <c r="BB14" s="50">
        <f t="shared" si="19"/>
        <v>-0.35</v>
      </c>
      <c r="BC14" s="30" t="e">
        <f t="shared" si="20"/>
        <v>#N/A</v>
      </c>
      <c r="BE14" s="153">
        <f>INDEX('[1]Transit Time'!$A:$DC,MATCH(I14,'[1]Transit Time'!$A:$A,0),MATCH(N14,'[1]Transit Time'!$A$1:$DC$1,0))+INDEX('[1]Transit Time'!$A:$DC,MATCH(N14,'[1]Transit Time'!$A:$A,0),MATCH(Y14,'[1]Transit Time'!$A$1:$DC$1,0))+INDEX('[1]Transit Time'!$A:$DC,MATCH(Y14,'[1]Transit Time'!$A:$A,0),MATCH(AG14,'[1]Transit Time'!$A$1:$DC$1,0))</f>
        <v>23</v>
      </c>
      <c r="BG14" s="163">
        <f t="shared" si="21"/>
        <v>43807</v>
      </c>
      <c r="BH14" s="163">
        <f t="shared" si="22"/>
        <v>43809</v>
      </c>
      <c r="BJ14" s="133" t="s">
        <v>282</v>
      </c>
      <c r="BK14" s="133"/>
      <c r="BL14" s="124">
        <v>0</v>
      </c>
    </row>
    <row r="15" spans="2:74" ht="19.5" customHeight="1" thickBot="1" x14ac:dyDescent="0.5">
      <c r="B15"/>
      <c r="C15"/>
      <c r="E15" s="57"/>
      <c r="F15" s="58"/>
      <c r="G15" s="74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2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49" t="s">
        <v>313</v>
      </c>
      <c r="AG15" s="1050"/>
      <c r="AH15" s="1050"/>
      <c r="AI15" s="1050"/>
      <c r="AJ15" s="1050"/>
      <c r="AK15" s="1050"/>
      <c r="AL15" s="1050"/>
      <c r="AM15" s="1050"/>
      <c r="AN15" s="1050"/>
      <c r="AO15" s="1050"/>
      <c r="AP15" s="1050"/>
      <c r="AQ15" s="1050"/>
      <c r="AR15" s="1050"/>
      <c r="AS15" s="1050"/>
      <c r="AT15" s="1050"/>
      <c r="AU15" s="1050"/>
      <c r="AV15" s="1050"/>
      <c r="AW15" s="1050"/>
      <c r="AX15" s="1050"/>
      <c r="AY15" s="1050"/>
      <c r="AZ15" s="1050"/>
      <c r="BA15" s="1050"/>
      <c r="BB15" s="1050"/>
      <c r="BC15" s="1051"/>
      <c r="BE15"/>
      <c r="BG15"/>
      <c r="BH15"/>
      <c r="BJ15" s="2" t="s">
        <v>144</v>
      </c>
      <c r="BL15" s="3">
        <f>($BL$7+131.5)/(141.5*0.159)</f>
        <v>6.898237660288463</v>
      </c>
      <c r="BT15" s="3"/>
    </row>
    <row r="16" spans="2:74" ht="29.5" customHeight="1" x14ac:dyDescent="0.35">
      <c r="B16" s="1011" t="s">
        <v>167</v>
      </c>
      <c r="C16" s="1011"/>
      <c r="E16" s="120" t="s">
        <v>276</v>
      </c>
      <c r="F16" s="152" t="s">
        <v>172</v>
      </c>
      <c r="G16" s="152" t="s">
        <v>2</v>
      </c>
      <c r="H16" s="152" t="s">
        <v>195</v>
      </c>
      <c r="I16" s="152" t="s">
        <v>173</v>
      </c>
      <c r="J16" s="152" t="s">
        <v>308</v>
      </c>
      <c r="K16" s="152"/>
      <c r="L16" s="152" t="s">
        <v>174</v>
      </c>
      <c r="M16" s="152" t="s">
        <v>175</v>
      </c>
      <c r="N16" s="152" t="s">
        <v>177</v>
      </c>
      <c r="O16" s="152" t="s">
        <v>178</v>
      </c>
      <c r="P16" s="122" t="s">
        <v>176</v>
      </c>
      <c r="Q16" s="120" t="s">
        <v>200</v>
      </c>
      <c r="R16" s="120" t="s">
        <v>277</v>
      </c>
      <c r="S16" s="121" t="s">
        <v>202</v>
      </c>
      <c r="T16" s="123" t="s">
        <v>309</v>
      </c>
      <c r="U16" s="2"/>
      <c r="V16" s="120" t="s">
        <v>172</v>
      </c>
      <c r="W16" s="120" t="s">
        <v>2</v>
      </c>
      <c r="X16" s="120" t="s">
        <v>195</v>
      </c>
      <c r="Y16" s="120" t="s">
        <v>173</v>
      </c>
      <c r="Z16" s="120" t="s">
        <v>167</v>
      </c>
      <c r="AA16" s="120"/>
      <c r="AB16" s="120" t="s">
        <v>308</v>
      </c>
      <c r="AC16" s="120"/>
      <c r="AD16" s="120" t="s">
        <v>174</v>
      </c>
      <c r="AE16" s="120" t="s">
        <v>175</v>
      </c>
      <c r="AF16" s="120" t="s">
        <v>176</v>
      </c>
      <c r="AG16" s="120" t="s">
        <v>177</v>
      </c>
      <c r="AH16" s="120" t="s">
        <v>178</v>
      </c>
      <c r="AI16" s="120" t="s">
        <v>200</v>
      </c>
      <c r="AJ16" s="146" t="s">
        <v>201</v>
      </c>
      <c r="AK16" s="25" t="s">
        <v>202</v>
      </c>
      <c r="AL16" s="150" t="s">
        <v>182</v>
      </c>
      <c r="AM16" s="136" t="s">
        <v>137</v>
      </c>
      <c r="AN16" s="146" t="s">
        <v>281</v>
      </c>
      <c r="AO16" s="136" t="s">
        <v>137</v>
      </c>
      <c r="AP16" s="136" t="s">
        <v>140</v>
      </c>
      <c r="AQ16" s="136" t="s">
        <v>310</v>
      </c>
      <c r="AR16" s="136" t="s">
        <v>311</v>
      </c>
      <c r="AS16" s="136" t="s">
        <v>187</v>
      </c>
      <c r="AT16" s="136" t="s">
        <v>141</v>
      </c>
      <c r="AU16" s="136" t="s">
        <v>188</v>
      </c>
      <c r="AV16" s="136" t="s">
        <v>17</v>
      </c>
      <c r="AW16" s="136" t="s">
        <v>207</v>
      </c>
      <c r="AX16" s="136" t="s">
        <v>189</v>
      </c>
      <c r="AY16" s="136" t="s">
        <v>152</v>
      </c>
      <c r="AZ16" s="150" t="s">
        <v>208</v>
      </c>
      <c r="BA16" s="150" t="s">
        <v>209</v>
      </c>
      <c r="BB16" s="150" t="s">
        <v>210</v>
      </c>
      <c r="BC16" s="137" t="s">
        <v>211</v>
      </c>
      <c r="BE16" s="137" t="s">
        <v>195</v>
      </c>
      <c r="BG16" s="1011" t="s">
        <v>196</v>
      </c>
      <c r="BH16" s="1011"/>
      <c r="BI16" s="76"/>
      <c r="BL16" s="3"/>
    </row>
    <row r="17" spans="2:72" x14ac:dyDescent="0.35">
      <c r="B17" s="163">
        <f t="shared" ref="B17:B30" si="25">+$B$7</f>
        <v>43784</v>
      </c>
      <c r="C17" s="163">
        <f t="shared" ref="C17:C30" si="26">IF(ISBLANK(B17),"",B17+2)</f>
        <v>43786</v>
      </c>
      <c r="E17" s="86"/>
      <c r="F17" s="101">
        <f>IF(I17=N17,0,INDEX('[2]Flat Rates 2022'!$A:$DB,MATCH(I17,'[2]Flat Rates 2022'!$A:$A,0),MATCH(N17,'[2]Flat Rates 2022'!$A$1:$DB$1,0)))</f>
        <v>0</v>
      </c>
      <c r="G17" s="101">
        <f>INDEX(Control!$E$17:$L$21,MATCH(P17,Control!$E$17:$E$21,0),MATCH(I17,Control!$E$17:$L$17,0))</f>
        <v>0.5</v>
      </c>
      <c r="H17" s="101" t="e">
        <v>#N/A</v>
      </c>
      <c r="I17" s="101" t="s">
        <v>65</v>
      </c>
      <c r="J17" s="102" t="e">
        <f t="shared" ref="J17:K19" si="27">+B17+$H17</f>
        <v>#N/A</v>
      </c>
      <c r="K17" s="102" t="e">
        <f t="shared" si="27"/>
        <v>#N/A</v>
      </c>
      <c r="L17" s="103">
        <f>INDEX(Vessel_Minimum_MT,MATCH(P17,Control!$E$11:$E$15,0),MATCH(I17,Control!$E$11:$L$11,0))</f>
        <v>50000</v>
      </c>
      <c r="M17" s="103">
        <f>Q17/$BL$15</f>
        <v>68858.166881443307</v>
      </c>
      <c r="N17" s="101" t="s">
        <v>65</v>
      </c>
      <c r="O17" s="101" t="str">
        <f>IF(N17=I17,"",CONCATENATE(CONCATENATE(VLOOKUP(I17,Zones,2,FALSE),"/",VLOOKUP(N17,Zones,2,FALSE))))</f>
        <v/>
      </c>
      <c r="P17" s="104" t="s">
        <v>22</v>
      </c>
      <c r="Q17" s="105">
        <v>475000</v>
      </c>
      <c r="R17" s="106">
        <v>0</v>
      </c>
      <c r="S17" s="107">
        <v>0</v>
      </c>
      <c r="T17" s="108">
        <f t="shared" ref="T17:T19" si="28">IF($I17="Esmeraldas",IF(R17&gt;1000,IF(S17=0,R17,S17)/Q17*1.1,((L17*F17*(IF(S17=0,R17,S17)/100))+IF(M17&lt;L17,0,(M17-L17)*F17*IF(S17=0,R17,S17)/100*G17))/Q17*1.1),IF(R17&gt;1000,IF(S17=0,R17,S17)/Q17,((L17*F17*(IF(S17=0,R17,S17)/100))+IF(M17&lt;L17,0,(M17-L17)*F17*IF(S17=0,R17,S17)/100*G17)))/Q17)</f>
        <v>0</v>
      </c>
      <c r="U17" s="93"/>
      <c r="V17" s="93">
        <f>INDEX('[2]Flat Rates 2022'!$A:$DB,MATCH(Y17,'[2]Flat Rates 2022'!$A:$A,0),MATCH(AG17,'[2]Flat Rates 2022'!$A$1:$DB$1,0))</f>
        <v>22.52</v>
      </c>
      <c r="W17" s="93">
        <f>INDEX(Control!$E$17:$L$21,MATCH(AF17,Control!$E$17:$E$21,0),MATCH(Y17,Control!$E$17:$L$17,0))</f>
        <v>0.5</v>
      </c>
      <c r="X17" s="93">
        <v>25</v>
      </c>
      <c r="Y17" s="93" t="s">
        <v>65</v>
      </c>
      <c r="Z17" s="94">
        <v>43430</v>
      </c>
      <c r="AA17" s="94">
        <f t="shared" ref="AA17:AA19" si="29">+Z17+4</f>
        <v>43434</v>
      </c>
      <c r="AB17" s="94" t="e">
        <f t="shared" ref="AB17:AC19" si="30">+Z17+$H17</f>
        <v>#N/A</v>
      </c>
      <c r="AC17" s="94" t="e">
        <f t="shared" si="30"/>
        <v>#N/A</v>
      </c>
      <c r="AD17" s="95">
        <f>INDEX(Vessel_Minimum_MT,MATCH(AF17,Control!$E$11:$E$15,0),MATCH(Y17,Control!$E$11:$L$11,0))</f>
        <v>145000</v>
      </c>
      <c r="AE17" s="95">
        <f>AI17/$BL$15</f>
        <v>137716.33376288661</v>
      </c>
      <c r="AF17" s="90" t="s">
        <v>24</v>
      </c>
      <c r="AG17" s="87" t="s">
        <v>71</v>
      </c>
      <c r="AH17" s="87" t="str">
        <f>IF(AG17=Y17,"",CONCATENATE(CONCATENATE(VLOOKUP(Y17,Zones,2,FALSE),"/",VLOOKUP(AG17,Zones,2,FALSE))))</f>
        <v>LATAM EAST/USWC</v>
      </c>
      <c r="AI17" s="96">
        <v>950000</v>
      </c>
      <c r="AJ17" s="96">
        <v>120</v>
      </c>
      <c r="AK17" s="197">
        <v>42.5</v>
      </c>
      <c r="AL17" s="92">
        <f t="shared" ref="AL17:AL19" si="31">IF($Y17="Esmeraldas",IF(AJ17&gt;1000,IF(AK17=0,AJ17,AK17)/AI17*1.1,((AD17*V17*(IF(AK17=0,AJ17,AK17)/100))+IF(AE17&lt;AD17,0,(AE17-AD17)*V17*IF(AK17=0,AJ17,AK17)/100*W17))/AI17*1.1),IF(AJ17&gt;1000,IF(AK17=0,AJ17,AK17)/AI17,((AD17*V17*(IF(AK17=0,AJ17,AK17)/100))+IF(AE17&lt;AD17,0,(AE17-AD17)*V17*IF(AK17=0,AJ17,AK17)/100*W17))/AI17))</f>
        <v>1.4608368421052631</v>
      </c>
      <c r="AM17" s="89">
        <v>2</v>
      </c>
      <c r="AN17" s="96">
        <f>INDEX('[1]Transit Time'!$A:$DC,MATCH(I17,'[1]Transit Time'!$A:$A,0),MATCH(N17,'[1]Transit Time'!$A$1:$DC$1,0))+INDEX('[1]Transit Time'!$A:$DC,MATCH(N17,'[1]Transit Time'!$A:$A,0),MATCH(Y17,'[1]Transit Time'!$A$1:$DC$1,0))+INDEX('[1]Transit Time'!$A:$DC,MATCH(Y17,'[1]Transit Time'!$A:$A,0),MATCH(AG17,'[1]Transit Time'!$A$1:$DC$1,0))-VLOOKUP($I17,Port_Info,4,FALSE)+VLOOKUP($AG17,Port_Info,4,FALSE)</f>
        <v>8</v>
      </c>
      <c r="AO17" s="99">
        <f>AM17*VLOOKUP($AF17,$BJ$17:$BM$21,3,FALSE)/$AI17</f>
        <v>9.4736842105263161E-2</v>
      </c>
      <c r="AP17" s="99">
        <f>IF(AN17&lt;0,0,$AN17*$BL$9)</f>
        <v>0.04</v>
      </c>
      <c r="AQ17" s="99">
        <f>IF($I17="Esmeraldas",$BL$8,0)</f>
        <v>0</v>
      </c>
      <c r="AR17" s="99">
        <v>0</v>
      </c>
      <c r="AS17" s="99">
        <v>0</v>
      </c>
      <c r="AT17" s="99">
        <f>$BL$10</f>
        <v>0.01</v>
      </c>
      <c r="AU17" s="99">
        <f>$BL$11</f>
        <v>0.01</v>
      </c>
      <c r="AV17" s="99">
        <f>IF(INDEX(Control!$Q$3:$S$36,MATCH($AG17,Control!$Q$3:$Q$36,0),MATCH(AV$6,Control!$Q$3:$S$3,0))=1,$BL$12*$BM$12,0)</f>
        <v>0.11600000000000001</v>
      </c>
      <c r="AW17" s="99" t="e">
        <f>IF(INDEX(Control!$Q$3:$S$36,MATCH($AG17,Control!$Q$3:$Q$36,0),MATCH(AW$6,Control!$Q$3:$S$3,0))=1,$BL$13/$AI17,0)</f>
        <v>#N/A</v>
      </c>
      <c r="AX17" s="99">
        <f>$BL$14</f>
        <v>0</v>
      </c>
      <c r="AY17" s="99">
        <f t="shared" ref="AY17:AY19" si="32">IF(AND(N17="Chiriqui Grande",Y17="Puerto Armuelles"),$T$3,0)</f>
        <v>0</v>
      </c>
      <c r="AZ17" s="98" t="e">
        <f t="shared" ref="AZ17:AZ19" si="33">SUM(AO17:AY17)</f>
        <v>#N/A</v>
      </c>
      <c r="BA17" s="98" t="e">
        <f>+T17+AL17+AZ17</f>
        <v>#N/A</v>
      </c>
      <c r="BB17" s="98">
        <f t="shared" ref="BB17:BB19" si="34">$BB$3</f>
        <v>-0.35</v>
      </c>
      <c r="BC17" s="135" t="e">
        <f t="shared" ref="BC17:BC19" si="35">$P$3+BA17+BB17+$AH$3</f>
        <v>#N/A</v>
      </c>
      <c r="BE17" s="153">
        <f>INDEX('[1]Transit Time'!$A:$DC,MATCH(I17,'[1]Transit Time'!$A:$A,0),MATCH(N17,'[1]Transit Time'!$A$1:$DC$1,0))+INDEX('[1]Transit Time'!$A:$DC,MATCH(N17,'[1]Transit Time'!$A:$A,0),MATCH(Y17,'[1]Transit Time'!$A$1:$DC$1,0))+INDEX('[1]Transit Time'!$A:$DC,MATCH(Y17,'[1]Transit Time'!$A:$A,0),MATCH(AG17,'[1]Transit Time'!$A$1:$DC$1,0))</f>
        <v>25</v>
      </c>
      <c r="BG17" s="163">
        <f>IF(ISBLANK(B17),"",B17+$BE17)</f>
        <v>43809</v>
      </c>
      <c r="BH17" s="163">
        <f t="shared" ref="BH17:BH19" si="36">IFERROR(IF(ISBLANK(C17),"",C17+$BE17),"")</f>
        <v>43811</v>
      </c>
      <c r="BJ17" s="118" t="s">
        <v>137</v>
      </c>
      <c r="BK17" s="133"/>
      <c r="BL17" s="154" t="s">
        <v>138</v>
      </c>
      <c r="BM17" s="154" t="s">
        <v>73</v>
      </c>
    </row>
    <row r="18" spans="2:72" x14ac:dyDescent="0.35">
      <c r="B18" s="163">
        <f t="shared" si="25"/>
        <v>43784</v>
      </c>
      <c r="C18" s="163">
        <f t="shared" si="26"/>
        <v>43786</v>
      </c>
      <c r="E18" s="8"/>
      <c r="F18" s="65">
        <f>IF(I18=N18,0,INDEX('[2]Flat Rates 2022'!$A:$DB,MATCH(I18,'[2]Flat Rates 2022'!$A:$A,0),MATCH(N18,'[2]Flat Rates 2022'!$A$1:$DB$1,0)))</f>
        <v>0</v>
      </c>
      <c r="G18" s="65">
        <f>INDEX(Control!$E$17:$L$21,MATCH(P18,Control!$E$17:$E$21,0),MATCH(I18,Control!$E$17:$L$17,0))</f>
        <v>0.5</v>
      </c>
      <c r="H18" s="65" t="e">
        <v>#N/A</v>
      </c>
      <c r="I18" s="65" t="s">
        <v>65</v>
      </c>
      <c r="J18" s="66" t="e">
        <f t="shared" si="27"/>
        <v>#N/A</v>
      </c>
      <c r="K18" s="66" t="e">
        <f t="shared" si="27"/>
        <v>#N/A</v>
      </c>
      <c r="L18" s="67">
        <f>INDEX(Vessel_Minimum_MT,MATCH(P18,Control!$E$11:$E$15,0),MATCH(I18,Control!$E$11:$L$11,0))</f>
        <v>50000</v>
      </c>
      <c r="M18" s="67">
        <f>Q18/$BL$15</f>
        <v>68858.166881443307</v>
      </c>
      <c r="N18" s="65" t="s">
        <v>65</v>
      </c>
      <c r="O18" s="65" t="str">
        <f>IF(N18=I18,"",CONCATENATE(CONCATENATE(VLOOKUP(I18,Zones,2,FALSE),"/",VLOOKUP(N18,Zones,2,FALSE))))</f>
        <v/>
      </c>
      <c r="P18" s="156" t="s">
        <v>22</v>
      </c>
      <c r="Q18" s="68">
        <v>475000</v>
      </c>
      <c r="R18" s="69">
        <v>0</v>
      </c>
      <c r="S18" s="70">
        <v>0</v>
      </c>
      <c r="T18" s="71">
        <f t="shared" si="28"/>
        <v>0</v>
      </c>
      <c r="U18" s="2"/>
      <c r="V18" s="138">
        <f>INDEX('[2]Flat Rates 2022'!$A:$DB,MATCH(Y18,'[2]Flat Rates 2022'!$A:$A,0),MATCH(AG18,'[2]Flat Rates 2022'!$A$1:$DB$1,0))</f>
        <v>25.41</v>
      </c>
      <c r="W18" s="138">
        <f>INDEX(Control!$E$17:$L$21,MATCH(AF18,Control!$E$17:$E$21,0),MATCH(Y18,Control!$E$17:$L$17,0))</f>
        <v>0.5</v>
      </c>
      <c r="X18" s="138">
        <v>0</v>
      </c>
      <c r="Y18" s="138" t="s">
        <v>65</v>
      </c>
      <c r="Z18" s="139">
        <v>43430</v>
      </c>
      <c r="AA18" s="139">
        <f t="shared" si="29"/>
        <v>43434</v>
      </c>
      <c r="AB18" s="139" t="e">
        <f t="shared" si="30"/>
        <v>#N/A</v>
      </c>
      <c r="AC18" s="139" t="e">
        <f t="shared" si="30"/>
        <v>#N/A</v>
      </c>
      <c r="AD18" s="140">
        <f>INDEX(Vessel_Minimum_MT,MATCH(AF18,Control!$E$11:$E$15,0),MATCH(Y18,Control!$E$11:$L$11,0))</f>
        <v>145000</v>
      </c>
      <c r="AE18" s="140">
        <f>AI18/$BL$15</f>
        <v>137716.33376288661</v>
      </c>
      <c r="AF18" s="147" t="s">
        <v>24</v>
      </c>
      <c r="AG18" s="142" t="s">
        <v>68</v>
      </c>
      <c r="AH18" s="142" t="str">
        <f>IF(AG18=Y18,"",CONCATENATE(CONCATENATE(VLOOKUP(Y18,Zones,2,FALSE),"/",VLOOKUP(AG18,Zones,2,FALSE))))</f>
        <v>LATAM EAST/USWC</v>
      </c>
      <c r="AI18" s="141">
        <v>950000</v>
      </c>
      <c r="AJ18" s="141">
        <v>120</v>
      </c>
      <c r="AK18" s="97">
        <v>70</v>
      </c>
      <c r="AL18" s="148">
        <f t="shared" si="31"/>
        <v>2.7148578947368422</v>
      </c>
      <c r="AM18" s="144">
        <v>2</v>
      </c>
      <c r="AN18" s="155">
        <f>INDEX('[1]Transit Time'!$A:$DC,MATCH(I18,'[1]Transit Time'!$A:$A,0),MATCH(N18,'[1]Transit Time'!$A$1:$DC$1,0))+INDEX('[1]Transit Time'!$A:$DC,MATCH(N18,'[1]Transit Time'!$A:$A,0),MATCH(Y18,'[1]Transit Time'!$A$1:$DC$1,0))+INDEX('[1]Transit Time'!$A:$DC,MATCH(Y18,'[1]Transit Time'!$A:$A,0),MATCH(AG18,'[1]Transit Time'!$A$1:$DC$1,0))-VLOOKUP($I18,Port_Info,4,FALSE)+VLOOKUP($AG18,Port_Info,4,FALSE)</f>
        <v>-17</v>
      </c>
      <c r="AO18" s="143">
        <f>AM18*VLOOKUP($AF18,$BJ$17:$BM$21,3,FALSE)/$AI18</f>
        <v>9.4736842105263161E-2</v>
      </c>
      <c r="AP18" s="143">
        <f>IF(AN18&lt;0,0,$AN18*$BL$9)</f>
        <v>0</v>
      </c>
      <c r="AQ18" s="143">
        <f>IF($I18="Esmeraldas",$BL$8,0)</f>
        <v>0</v>
      </c>
      <c r="AR18" s="143">
        <v>0</v>
      </c>
      <c r="AS18" s="143">
        <v>0</v>
      </c>
      <c r="AT18" s="143">
        <f>$BL$10</f>
        <v>0.01</v>
      </c>
      <c r="AU18" s="143">
        <f>$BL$11</f>
        <v>0.01</v>
      </c>
      <c r="AV18" s="143">
        <f>IF(INDEX(Control!$Q$3:$S$36,MATCH($AG18,Control!$Q$3:$Q$36,0),MATCH(AV$6,Control!$Q$3:$S$3,0))=1,$BL$12*$BM$12,0)</f>
        <v>0.11600000000000001</v>
      </c>
      <c r="AW18" s="143" t="e">
        <f>IF(INDEX(Control!$Q$3:$S$36,MATCH($AG18,Control!$Q$3:$Q$36,0),MATCH(AW$6,Control!$Q$3:$S$3,0))=1,$BL$13/$AI18,0)</f>
        <v>#N/A</v>
      </c>
      <c r="AX18" s="143">
        <f>$BL$14</f>
        <v>0</v>
      </c>
      <c r="AY18" s="143">
        <f t="shared" si="32"/>
        <v>0</v>
      </c>
      <c r="AZ18" s="149" t="e">
        <f t="shared" si="33"/>
        <v>#N/A</v>
      </c>
      <c r="BA18" s="149" t="e">
        <f>+T18+AL18+AZ18</f>
        <v>#N/A</v>
      </c>
      <c r="BB18" s="149">
        <f t="shared" si="34"/>
        <v>-0.35</v>
      </c>
      <c r="BC18" s="110" t="e">
        <f t="shared" si="35"/>
        <v>#N/A</v>
      </c>
      <c r="BE18" s="153">
        <f>INDEX('[1]Transit Time'!$A:$DC,MATCH(I18,'[1]Transit Time'!$A:$A,0),MATCH(N18,'[1]Transit Time'!$A$1:$DC$1,0))+INDEX('[1]Transit Time'!$A:$DC,MATCH(N18,'[1]Transit Time'!$A:$A,0),MATCH(Y18,'[1]Transit Time'!$A$1:$DC$1,0))+INDEX('[1]Transit Time'!$A:$DC,MATCH(Y18,'[1]Transit Time'!$A:$A,0),MATCH(AG18,'[1]Transit Time'!$A$1:$DC$1,0))</f>
        <v>0</v>
      </c>
      <c r="BG18" s="163">
        <f>IF(ISBLANK(B18),"",B18+$BE18)</f>
        <v>43784</v>
      </c>
      <c r="BH18" s="163">
        <f t="shared" si="36"/>
        <v>43786</v>
      </c>
      <c r="BJ18" s="133" t="s">
        <v>22</v>
      </c>
      <c r="BK18" s="133"/>
      <c r="BL18" s="154">
        <v>30000</v>
      </c>
      <c r="BM18" s="154">
        <v>55000</v>
      </c>
    </row>
    <row r="19" spans="2:72" ht="16" thickBot="1" x14ac:dyDescent="0.4">
      <c r="B19" s="163">
        <f t="shared" si="25"/>
        <v>43784</v>
      </c>
      <c r="C19" s="163">
        <f t="shared" si="26"/>
        <v>43786</v>
      </c>
      <c r="E19" s="8"/>
      <c r="F19" s="65">
        <f>IF(I19=N19,0,INDEX('[2]Flat Rates 2022'!$A:$DB,MATCH(I19,'[2]Flat Rates 2022'!$A:$A,0),MATCH(N19,'[2]Flat Rates 2022'!$A$1:$DB$1,0)))</f>
        <v>0</v>
      </c>
      <c r="G19" s="65">
        <f>INDEX(Control!$E$17:$L$21,MATCH(P19,Control!$E$17:$E$21,0),MATCH(I19,Control!$E$17:$L$17,0))</f>
        <v>0.5</v>
      </c>
      <c r="H19" s="65" t="e">
        <v>#N/A</v>
      </c>
      <c r="I19" s="65" t="s">
        <v>65</v>
      </c>
      <c r="J19" s="66" t="e">
        <f t="shared" si="27"/>
        <v>#N/A</v>
      </c>
      <c r="K19" s="66" t="e">
        <f t="shared" si="27"/>
        <v>#N/A</v>
      </c>
      <c r="L19" s="67">
        <f>INDEX(Vessel_Minimum_MT,MATCH(P19,Control!$E$11:$E$15,0),MATCH(I19,Control!$E$11:$L$11,0))</f>
        <v>50000</v>
      </c>
      <c r="M19" s="67">
        <f>Q19/$BL$15</f>
        <v>68858.166881443307</v>
      </c>
      <c r="N19" s="65" t="s">
        <v>65</v>
      </c>
      <c r="O19" s="65" t="str">
        <f>IF(N19=I19,"",CONCATENATE(CONCATENATE(VLOOKUP(I19,Zones,2,FALSE),"/",VLOOKUP(N19,Zones,2,FALSE))))</f>
        <v/>
      </c>
      <c r="P19" s="156" t="s">
        <v>22</v>
      </c>
      <c r="Q19" s="68">
        <v>475000</v>
      </c>
      <c r="R19" s="69">
        <v>0</v>
      </c>
      <c r="S19" s="70">
        <v>0</v>
      </c>
      <c r="T19" s="71">
        <f t="shared" si="28"/>
        <v>0</v>
      </c>
      <c r="U19" s="2"/>
      <c r="V19" s="138">
        <f>INDEX('[2]Flat Rates 2022'!$A:$DB,MATCH(Y19,'[2]Flat Rates 2022'!$A:$A,0),MATCH(AG19,'[2]Flat Rates 2022'!$A$1:$DB$1,0))</f>
        <v>11.66</v>
      </c>
      <c r="W19" s="138">
        <f>INDEX(Control!$E$17:$L$21,MATCH(AF19,Control!$E$17:$E$21,0),MATCH(Y19,Control!$E$17:$L$17,0))</f>
        <v>0.5</v>
      </c>
      <c r="X19" s="138">
        <v>0</v>
      </c>
      <c r="Y19" s="138" t="s">
        <v>65</v>
      </c>
      <c r="Z19" s="139">
        <v>43430</v>
      </c>
      <c r="AA19" s="139">
        <f t="shared" si="29"/>
        <v>43434</v>
      </c>
      <c r="AB19" s="139" t="e">
        <f t="shared" si="30"/>
        <v>#N/A</v>
      </c>
      <c r="AC19" s="139" t="e">
        <f t="shared" si="30"/>
        <v>#N/A</v>
      </c>
      <c r="AD19" s="140">
        <f>INDEX(Vessel_Minimum_MT,MATCH(AF19,Control!$E$11:$E$15,0),MATCH(Y19,Control!$E$11:$L$11,0))</f>
        <v>145000</v>
      </c>
      <c r="AE19" s="140">
        <f>AI19/$BL$15</f>
        <v>137716.33376288661</v>
      </c>
      <c r="AF19" s="147" t="s">
        <v>24</v>
      </c>
      <c r="AG19" s="142" t="s">
        <v>110</v>
      </c>
      <c r="AH19" s="142" t="str">
        <f>IF(AG19=Y19,"",CONCATENATE(CONCATENATE(VLOOKUP(Y19,Zones,2,FALSE),"/",VLOOKUP(AG19,Zones,2,FALSE))))</f>
        <v>LATAM EAST/LATAM WEST</v>
      </c>
      <c r="AI19" s="141">
        <v>950000</v>
      </c>
      <c r="AJ19" s="141">
        <f>AK17</f>
        <v>42.5</v>
      </c>
      <c r="AK19" s="151">
        <f>AK17</f>
        <v>42.5</v>
      </c>
      <c r="AL19" s="148">
        <f t="shared" si="31"/>
        <v>0.75636578947368416</v>
      </c>
      <c r="AM19" s="144">
        <v>2</v>
      </c>
      <c r="AN19" s="155">
        <f>INDEX('[1]Transit Time'!$A:$DC,MATCH(I19,'[1]Transit Time'!$A:$A,0),MATCH(N19,'[1]Transit Time'!$A$1:$DC$1,0))+INDEX('[1]Transit Time'!$A:$DC,MATCH(N19,'[1]Transit Time'!$A:$A,0),MATCH(Y19,'[1]Transit Time'!$A$1:$DC$1,0))+INDEX('[1]Transit Time'!$A:$DC,MATCH(Y19,'[1]Transit Time'!$A:$A,0),MATCH(AG19,'[1]Transit Time'!$A$1:$DC$1,0))-VLOOKUP($I19,Port_Info,4,FALSE)+VLOOKUP($AG19,Port_Info,4,FALSE)</f>
        <v>0</v>
      </c>
      <c r="AO19" s="143">
        <f>AM19*VLOOKUP($AF19,$BJ$17:$BM$21,3,FALSE)/$AI19</f>
        <v>9.4736842105263161E-2</v>
      </c>
      <c r="AP19" s="143">
        <f>IF(AN19&lt;0,0,$AN19*$BL$9)</f>
        <v>0</v>
      </c>
      <c r="AQ19" s="143">
        <f>IF($I19="Esmeraldas",$BL$8,0)</f>
        <v>0</v>
      </c>
      <c r="AR19" s="143">
        <v>0</v>
      </c>
      <c r="AS19" s="143">
        <v>0</v>
      </c>
      <c r="AT19" s="143">
        <f>$BL$10</f>
        <v>0.01</v>
      </c>
      <c r="AU19" s="143">
        <f>$BL$11</f>
        <v>0.01</v>
      </c>
      <c r="AV19" s="143">
        <f>IF(INDEX(Control!$Q$3:$S$36,MATCH($AG19,Control!$Q$3:$Q$36,0),MATCH(AV$6,Control!$Q$3:$S$3,0))=1,$BL$12*$BM$12,0)</f>
        <v>0</v>
      </c>
      <c r="AW19" s="143" t="e">
        <f>IF(INDEX(Control!$Q$3:$S$36,MATCH($AG19,Control!$Q$3:$Q$36,0),MATCH(AW$6,Control!$Q$3:$S$3,0))=1,$BL$13/$AI19,0)</f>
        <v>#N/A</v>
      </c>
      <c r="AX19" s="143">
        <f>$BL$14</f>
        <v>0</v>
      </c>
      <c r="AY19" s="143">
        <f t="shared" si="32"/>
        <v>0</v>
      </c>
      <c r="AZ19" s="149" t="e">
        <f t="shared" si="33"/>
        <v>#N/A</v>
      </c>
      <c r="BA19" s="149" t="e">
        <f>+T19+AL19+AZ19</f>
        <v>#N/A</v>
      </c>
      <c r="BB19" s="149">
        <f t="shared" si="34"/>
        <v>-0.35</v>
      </c>
      <c r="BC19" s="110" t="e">
        <f t="shared" si="35"/>
        <v>#N/A</v>
      </c>
      <c r="BE19" s="153">
        <f>INDEX('[1]Transit Time'!$A:$DC,MATCH(I19,'[1]Transit Time'!$A:$A,0),MATCH(N19,'[1]Transit Time'!$A$1:$DC$1,0))+INDEX('[1]Transit Time'!$A:$DC,MATCH(N19,'[1]Transit Time'!$A:$A,0),MATCH(Y19,'[1]Transit Time'!$A$1:$DC$1,0))+INDEX('[1]Transit Time'!$A:$DC,MATCH(Y19,'[1]Transit Time'!$A:$A,0),MATCH(AG19,'[1]Transit Time'!$A$1:$DC$1,0))</f>
        <v>0</v>
      </c>
      <c r="BG19" s="163">
        <f>IF(ISBLANK(B19),"",B19+$BE19)</f>
        <v>43784</v>
      </c>
      <c r="BH19" s="163">
        <f t="shared" si="36"/>
        <v>43786</v>
      </c>
      <c r="BJ19" s="133" t="s">
        <v>23</v>
      </c>
      <c r="BK19" s="133"/>
      <c r="BL19" s="154">
        <v>35000</v>
      </c>
      <c r="BM19" s="154">
        <v>65000</v>
      </c>
      <c r="BR19" s="34"/>
    </row>
    <row r="20" spans="2:72" ht="19.5" hidden="1" customHeight="1" thickBot="1" x14ac:dyDescent="0.5">
      <c r="B20"/>
      <c r="C20"/>
      <c r="E20" s="1049" t="s">
        <v>306</v>
      </c>
      <c r="F20" s="1050"/>
      <c r="G20" s="1050"/>
      <c r="H20" s="1050"/>
      <c r="I20" s="1050"/>
      <c r="J20" s="1050"/>
      <c r="K20" s="1050"/>
      <c r="L20" s="1050"/>
      <c r="M20" s="1050"/>
      <c r="N20" s="1050"/>
      <c r="O20" s="1050"/>
      <c r="P20" s="1050"/>
      <c r="Q20" s="1050"/>
      <c r="R20" s="1050"/>
      <c r="S20" s="1050"/>
      <c r="T20" s="1050"/>
      <c r="U20" s="2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49" t="s">
        <v>290</v>
      </c>
      <c r="AG20" s="1050"/>
      <c r="AH20" s="1050"/>
      <c r="AI20" s="1050"/>
      <c r="AJ20" s="1050"/>
      <c r="AK20" s="1050"/>
      <c r="AL20" s="1050"/>
      <c r="AM20" s="1050"/>
      <c r="AN20" s="1050"/>
      <c r="AO20" s="1050"/>
      <c r="AP20" s="1050"/>
      <c r="AQ20" s="1050"/>
      <c r="AR20" s="1050"/>
      <c r="AS20" s="1050"/>
      <c r="AT20" s="1050"/>
      <c r="AU20" s="1050"/>
      <c r="AV20" s="1050"/>
      <c r="AW20" s="1050"/>
      <c r="AX20" s="1050"/>
      <c r="AY20" s="1050"/>
      <c r="AZ20" s="1050"/>
      <c r="BA20" s="1050"/>
      <c r="BB20" s="1050"/>
      <c r="BC20" s="1051"/>
      <c r="BE20"/>
      <c r="BG20"/>
      <c r="BH20"/>
      <c r="BI20" s="76"/>
      <c r="BJ20" s="133" t="s">
        <v>24</v>
      </c>
      <c r="BK20" s="133"/>
      <c r="BL20" s="154">
        <v>45000</v>
      </c>
      <c r="BM20" s="154">
        <v>55000</v>
      </c>
    </row>
    <row r="21" spans="2:72" ht="31" hidden="1" x14ac:dyDescent="0.35">
      <c r="B21" s="1011" t="s">
        <v>167</v>
      </c>
      <c r="C21" s="1011"/>
      <c r="E21" s="120" t="s">
        <v>276</v>
      </c>
      <c r="F21" s="152" t="s">
        <v>172</v>
      </c>
      <c r="G21" s="152" t="s">
        <v>2</v>
      </c>
      <c r="H21" s="152" t="s">
        <v>195</v>
      </c>
      <c r="I21" s="152" t="s">
        <v>173</v>
      </c>
      <c r="J21" s="152" t="s">
        <v>308</v>
      </c>
      <c r="K21" s="152"/>
      <c r="L21" s="152" t="s">
        <v>174</v>
      </c>
      <c r="M21" s="152" t="s">
        <v>175</v>
      </c>
      <c r="N21" s="152" t="s">
        <v>177</v>
      </c>
      <c r="O21" s="152" t="s">
        <v>178</v>
      </c>
      <c r="P21" s="122" t="s">
        <v>176</v>
      </c>
      <c r="Q21" s="120" t="s">
        <v>200</v>
      </c>
      <c r="R21" s="120" t="s">
        <v>277</v>
      </c>
      <c r="S21" s="121" t="s">
        <v>202</v>
      </c>
      <c r="T21" s="123" t="s">
        <v>309</v>
      </c>
      <c r="U21" s="2"/>
      <c r="V21" s="120" t="s">
        <v>172</v>
      </c>
      <c r="W21" s="120" t="e">
        <f>INDEX(Control!$E$17:$L$21,MATCH(AF21,Control!$E$17:$E$21,0),MATCH(Y21,Control!$E$17:$L$17,0))</f>
        <v>#N/A</v>
      </c>
      <c r="X21" s="120" t="s">
        <v>195</v>
      </c>
      <c r="Y21" s="120" t="s">
        <v>173</v>
      </c>
      <c r="Z21" s="120" t="s">
        <v>167</v>
      </c>
      <c r="AA21" s="120"/>
      <c r="AB21" s="120" t="s">
        <v>308</v>
      </c>
      <c r="AC21" s="120"/>
      <c r="AD21" s="120" t="s">
        <v>174</v>
      </c>
      <c r="AE21" s="120" t="s">
        <v>175</v>
      </c>
      <c r="AF21" s="120" t="s">
        <v>176</v>
      </c>
      <c r="AG21" s="120" t="s">
        <v>177</v>
      </c>
      <c r="AH21" s="120" t="s">
        <v>178</v>
      </c>
      <c r="AI21" s="120" t="s">
        <v>200</v>
      </c>
      <c r="AJ21" s="146" t="s">
        <v>201</v>
      </c>
      <c r="AK21" s="25" t="s">
        <v>202</v>
      </c>
      <c r="AL21" s="150" t="s">
        <v>182</v>
      </c>
      <c r="AM21" s="136" t="s">
        <v>137</v>
      </c>
      <c r="AN21" s="146" t="s">
        <v>281</v>
      </c>
      <c r="AO21" s="136" t="s">
        <v>137</v>
      </c>
      <c r="AP21" s="136" t="s">
        <v>140</v>
      </c>
      <c r="AQ21" s="136" t="s">
        <v>310</v>
      </c>
      <c r="AR21" s="136" t="s">
        <v>311</v>
      </c>
      <c r="AS21" s="136" t="s">
        <v>187</v>
      </c>
      <c r="AT21" s="136" t="s">
        <v>141</v>
      </c>
      <c r="AU21" s="136" t="s">
        <v>188</v>
      </c>
      <c r="AV21" s="136" t="s">
        <v>17</v>
      </c>
      <c r="AW21" s="136" t="s">
        <v>207</v>
      </c>
      <c r="AX21" s="136" t="s">
        <v>189</v>
      </c>
      <c r="AY21" s="136" t="s">
        <v>152</v>
      </c>
      <c r="AZ21" s="150" t="s">
        <v>208</v>
      </c>
      <c r="BA21" s="150" t="s">
        <v>209</v>
      </c>
      <c r="BB21" s="150" t="s">
        <v>210</v>
      </c>
      <c r="BC21" s="137" t="s">
        <v>211</v>
      </c>
      <c r="BE21" s="137" t="s">
        <v>195</v>
      </c>
      <c r="BG21" s="1011" t="s">
        <v>196</v>
      </c>
      <c r="BH21" s="1011"/>
      <c r="BJ21" s="133" t="s">
        <v>25</v>
      </c>
      <c r="BK21" s="133"/>
      <c r="BL21" s="154">
        <v>55000</v>
      </c>
      <c r="BM21" s="154">
        <v>65000</v>
      </c>
    </row>
    <row r="22" spans="2:72" hidden="1" x14ac:dyDescent="0.35">
      <c r="B22" s="163">
        <f t="shared" si="25"/>
        <v>43784</v>
      </c>
      <c r="C22" s="163">
        <f t="shared" si="26"/>
        <v>43786</v>
      </c>
      <c r="E22" s="8"/>
      <c r="F22" s="138">
        <v>16.18</v>
      </c>
      <c r="G22" s="138">
        <f>INDEX(Control!$E$17:$L$21,MATCH(P22,Control!$E$17:$E$21,0),MATCH(I22,Control!$E$17:$L$17,0))</f>
        <v>0.5</v>
      </c>
      <c r="H22" s="138">
        <v>18</v>
      </c>
      <c r="I22" s="138" t="s">
        <v>65</v>
      </c>
      <c r="J22" s="139">
        <f t="shared" ref="J22:K30" si="37">+B22+$H22</f>
        <v>43802</v>
      </c>
      <c r="K22" s="139">
        <f t="shared" si="37"/>
        <v>43804</v>
      </c>
      <c r="L22" s="140">
        <f>INDEX(Vessel_Minimum_MT,MATCH(P22,Control!$E$11:$E$15,0),MATCH(I22,Control!$E$11:$L$11,0))</f>
        <v>50000</v>
      </c>
      <c r="M22" s="140">
        <f t="shared" ref="M22:M30" si="38">Q22/$BL$15</f>
        <v>68858.166881443307</v>
      </c>
      <c r="N22" s="142" t="s">
        <v>55</v>
      </c>
      <c r="O22" s="138" t="str">
        <f t="shared" ref="O22:O30" si="39">IF(N22=I22,"",CONCATENATE(CONCATENATE(VLOOKUP(I22,Zones,2,FALSE),"/",VLOOKUP(N22,Zones,2,FALSE))))</f>
        <v>LATAM EAST/CARIBS</v>
      </c>
      <c r="P22" s="147" t="s">
        <v>22</v>
      </c>
      <c r="Q22" s="141">
        <v>475000</v>
      </c>
      <c r="R22" s="17">
        <v>0</v>
      </c>
      <c r="S22" s="18">
        <v>0</v>
      </c>
      <c r="T22" s="148">
        <f t="shared" ref="T22:T30" si="40">IF($I22="Esmeraldas",IF(R22&gt;1000,IF(S22=0,R22,S22)/Q22*1.1,((L22*F22*(IF(S22=0,R22,S22)/100))+IF(M22&lt;L22,0,(M22-L22)*F22*IF(S22=0,R22,S22)/100*G22))/Q22*1.1),IF(R22&gt;1000,IF(S22=0,R22,S22)/Q22,((L22*F22*(IF(S22=0,R22,S22)/100))+IF(M22&lt;L22,0,(M22-L22)*F22*IF(S22=0,R22,S22)/100*G22)))/Q22)</f>
        <v>0</v>
      </c>
      <c r="U22" s="2"/>
      <c r="V22" s="138">
        <v>10.8</v>
      </c>
      <c r="W22" s="138">
        <f>INDEX(Control!$E$17:$L$21,MATCH(AF22,Control!$E$17:$E$21,0),MATCH(Y22,Control!$E$17:$L$17,0))</f>
        <v>0.5</v>
      </c>
      <c r="X22" s="138">
        <v>11.5</v>
      </c>
      <c r="Y22" s="138" t="s">
        <v>63</v>
      </c>
      <c r="Z22" s="139">
        <v>43430</v>
      </c>
      <c r="AA22" s="139">
        <f t="shared" ref="AA22:AA30" si="41">+Z22+4</f>
        <v>43434</v>
      </c>
      <c r="AB22" s="139">
        <f t="shared" ref="AB22:AC26" si="42">+Z22+$H22</f>
        <v>43448</v>
      </c>
      <c r="AC22" s="139">
        <f t="shared" si="42"/>
        <v>43452</v>
      </c>
      <c r="AD22" s="140">
        <f>INDEX(Vessel_Minimum_MT,MATCH(AF22,Control!$E$11:$E$15,0),MATCH(Y22,Control!$E$11:$L$11,0))</f>
        <v>50000</v>
      </c>
      <c r="AE22" s="140">
        <f t="shared" ref="AE22:AE30" si="43">AI22/$BL$15</f>
        <v>70307.8125</v>
      </c>
      <c r="AF22" s="147" t="s">
        <v>22</v>
      </c>
      <c r="AG22" s="142" t="s">
        <v>110</v>
      </c>
      <c r="AH22" s="142" t="str">
        <f t="shared" ref="AH22:AH30" si="44">IF(AG22=Y22,"",CONCATENATE(CONCATENATE(VLOOKUP(Y22,Zones,2,FALSE),"/",VLOOKUP(AG22,Zones,2,FALSE))))</f>
        <v>Panama WC/LATAM WEST</v>
      </c>
      <c r="AI22" s="141">
        <v>485000</v>
      </c>
      <c r="AJ22" s="141">
        <v>245</v>
      </c>
      <c r="AK22" s="151">
        <v>0</v>
      </c>
      <c r="AL22" s="148">
        <f t="shared" ref="AL22:AL30" si="45">IF($Y22="Esmeraldas",IF(AJ22&gt;1000,IF(AK22=0,AJ22,AK22)/AI22*1.1,((AD22*V22*(IF(AK22=0,AJ22,AK22)/100))+IF(AE22&lt;AD22,0,(AE22-AD22)*V22*IF(AK22=0,AJ22,AK22)/100*W22))/AI22*1.1),IF(AJ22&gt;1000,IF(AK22=0,AJ22,AK22)/AI22,((AD22*V22*(IF(AK22=0,AJ22,AK22)/100))+IF(AE22&lt;AD22,0,(AE22-AD22)*V22*IF(AK22=0,AJ22,AK22)/100*W22))/AI22))</f>
        <v>3.2817986791237113</v>
      </c>
      <c r="AM22" s="144">
        <v>2</v>
      </c>
      <c r="AN22" s="155">
        <f>INDEX('[1]Transit Time'!$A:$DC,MATCH(I22,'[1]Transit Time'!$A:$A,0),MATCH(N22,'[1]Transit Time'!$A$1:$DC$1,0))+INDEX('[1]Transit Time'!$A:$DC,MATCH(N22,'[1]Transit Time'!$A:$A,0),MATCH(Y22,'[1]Transit Time'!$A$1:$DC$1,0))+INDEX('[1]Transit Time'!$A:$DC,MATCH(Y22,'[1]Transit Time'!$A:$A,0),MATCH(AG22,'[1]Transit Time'!$A$1:$DC$1,0))-VLOOKUP($I22,Port_Info,4,FALSE)+VLOOKUP($AG22,Port_Info,4,FALSE)</f>
        <v>20</v>
      </c>
      <c r="AO22" s="143">
        <f t="shared" ref="AO22:AO30" si="46">AM22*VLOOKUP($AF22,$BJ$17:$BM$21,3,FALSE)/$AI22</f>
        <v>0.12371134020618557</v>
      </c>
      <c r="AP22" s="143">
        <f t="shared" ref="AP22:AP30" si="47">IF(AN22&lt;0,0,$AN22*$BL$9)</f>
        <v>0.1</v>
      </c>
      <c r="AQ22" s="143">
        <f t="shared" ref="AQ22:AQ30" si="48">IF($I22="Esmeraldas",$BL$8,0)</f>
        <v>0</v>
      </c>
      <c r="AR22" s="143">
        <v>0</v>
      </c>
      <c r="AS22" s="143">
        <v>0</v>
      </c>
      <c r="AT22" s="143">
        <f t="shared" ref="AT22:AT30" si="49">$BL$10</f>
        <v>0.01</v>
      </c>
      <c r="AU22" s="143">
        <f t="shared" ref="AU22:AU30" si="50">$BL$11</f>
        <v>0.01</v>
      </c>
      <c r="AV22" s="143">
        <f>IF(INDEX(Control!$Q$3:$S$36,MATCH($AG22,Control!$Q$3:$Q$36,0),MATCH(AV$6,Control!$Q$3:$S$3,0))=1,$BL$12*$BM$12,0)</f>
        <v>0</v>
      </c>
      <c r="AW22" s="143" t="e">
        <f>IF(INDEX(Control!$Q$3:$S$36,MATCH($AG22,Control!$Q$3:$Q$36,0),MATCH(AW$6,Control!$Q$3:$S$3,0))=1,$BL$13/$AI22,0)</f>
        <v>#N/A</v>
      </c>
      <c r="AX22" s="143">
        <f t="shared" ref="AX22:AX30" si="51">$BL$14</f>
        <v>0</v>
      </c>
      <c r="AY22" s="143">
        <f t="shared" ref="AY22:AY30" si="52">IF(AND(N22="Chiriqui Grande",Y22="Puerto Armuelles"),$T$3,0)</f>
        <v>0.57999999999999996</v>
      </c>
      <c r="AZ22" s="149" t="e">
        <f t="shared" ref="AZ22:AZ27" si="53">SUM(AO22:AY22)</f>
        <v>#N/A</v>
      </c>
      <c r="BA22" s="149" t="e">
        <f t="shared" ref="BA22:BA30" si="54">+T22+AL22+AZ22</f>
        <v>#N/A</v>
      </c>
      <c r="BB22" s="149">
        <f t="shared" ref="BB22:BB30" si="55">$BB$3</f>
        <v>-0.35</v>
      </c>
      <c r="BC22" s="135" t="e">
        <f t="shared" ref="BC22:BC30" si="56">$P$3+BA22+BB22+$AH$3</f>
        <v>#N/A</v>
      </c>
      <c r="BE22" s="153">
        <f>INDEX('[1]Transit Time'!$A:$DC,MATCH(I22,'[1]Transit Time'!$A:$A,0),MATCH(N22,'[1]Transit Time'!$A$1:$DC$1,0))+INDEX('[1]Transit Time'!$A:$DC,MATCH(N22,'[1]Transit Time'!$A:$A,0),MATCH(Y22,'[1]Transit Time'!$A$1:$DC$1,0))+INDEX('[1]Transit Time'!$A:$DC,MATCH(Y22,'[1]Transit Time'!$A:$A,0),MATCH(AG22,'[1]Transit Time'!$A$1:$DC$1,0))</f>
        <v>20</v>
      </c>
      <c r="BG22" s="163">
        <f t="shared" ref="BG22:BG30" si="57">IF(ISBLANK(B22),"",B22+$BE22)</f>
        <v>43804</v>
      </c>
      <c r="BH22" s="163">
        <f t="shared" ref="BH22:BH30" si="58">IFERROR(IF(ISBLANK(C22),"",C22+$BE22),"")</f>
        <v>43806</v>
      </c>
      <c r="BL22"/>
    </row>
    <row r="23" spans="2:72" hidden="1" x14ac:dyDescent="0.35">
      <c r="B23" s="163">
        <f t="shared" si="25"/>
        <v>43784</v>
      </c>
      <c r="C23" s="163">
        <f t="shared" si="26"/>
        <v>43786</v>
      </c>
      <c r="E23" s="8"/>
      <c r="F23" s="142">
        <v>16.18</v>
      </c>
      <c r="G23" s="142">
        <f>INDEX(Control!$E$17:$L$21,MATCH(P23,Control!$E$17:$E$21,0),MATCH(I23,Control!$E$17:$L$17,0))</f>
        <v>0.5</v>
      </c>
      <c r="H23" s="142">
        <v>18</v>
      </c>
      <c r="I23" s="142" t="s">
        <v>65</v>
      </c>
      <c r="J23" s="19">
        <f t="shared" si="37"/>
        <v>43802</v>
      </c>
      <c r="K23" s="19">
        <f t="shared" si="37"/>
        <v>43804</v>
      </c>
      <c r="L23" s="144">
        <f>INDEX(Vessel_Minimum_MT,MATCH(P23,Control!$E$11:$E$15,0),MATCH(I23,Control!$E$11:$L$11,0))</f>
        <v>50000</v>
      </c>
      <c r="M23" s="144">
        <f t="shared" si="38"/>
        <v>68858.166881443307</v>
      </c>
      <c r="N23" s="142" t="s">
        <v>55</v>
      </c>
      <c r="O23" s="142" t="str">
        <f t="shared" si="39"/>
        <v>LATAM EAST/CARIBS</v>
      </c>
      <c r="P23" s="147" t="s">
        <v>22</v>
      </c>
      <c r="Q23" s="141">
        <v>475000</v>
      </c>
      <c r="R23" s="13">
        <v>0</v>
      </c>
      <c r="S23" s="14">
        <v>0</v>
      </c>
      <c r="T23" s="148">
        <f t="shared" si="40"/>
        <v>0</v>
      </c>
      <c r="U23" s="2"/>
      <c r="V23" s="138">
        <v>10.8</v>
      </c>
      <c r="W23" s="138">
        <f>INDEX(Control!$E$17:$L$21,MATCH(AF23,Control!$E$17:$E$21,0),MATCH(Y23,Control!$E$17:$L$17,0))</f>
        <v>0.5</v>
      </c>
      <c r="X23" s="138">
        <v>11.5</v>
      </c>
      <c r="Y23" s="138" t="s">
        <v>63</v>
      </c>
      <c r="Z23" s="139">
        <v>43430</v>
      </c>
      <c r="AA23" s="139">
        <f t="shared" si="41"/>
        <v>43434</v>
      </c>
      <c r="AB23" s="139">
        <f t="shared" si="42"/>
        <v>43448</v>
      </c>
      <c r="AC23" s="139">
        <f t="shared" si="42"/>
        <v>43452</v>
      </c>
      <c r="AD23" s="140">
        <f>INDEX(Vessel_Minimum_MT,MATCH(AF23,Control!$E$11:$E$15,0),MATCH(Y23,Control!$E$11:$L$11,0))</f>
        <v>70000</v>
      </c>
      <c r="AE23" s="140">
        <f t="shared" si="43"/>
        <v>76106.394974226816</v>
      </c>
      <c r="AF23" s="147" t="s">
        <v>23</v>
      </c>
      <c r="AG23" s="142" t="s">
        <v>110</v>
      </c>
      <c r="AH23" s="142" t="str">
        <f t="shared" si="44"/>
        <v>Panama WC/LATAM WEST</v>
      </c>
      <c r="AI23" s="141">
        <v>525000</v>
      </c>
      <c r="AJ23" s="141">
        <v>155</v>
      </c>
      <c r="AK23" s="151">
        <v>0</v>
      </c>
      <c r="AL23" s="149">
        <f t="shared" si="45"/>
        <v>2.3293533827319592</v>
      </c>
      <c r="AM23" s="144">
        <v>2</v>
      </c>
      <c r="AN23" s="141">
        <f>INDEX('[1]Transit Time'!$A:$DC,MATCH(I23,'[1]Transit Time'!$A:$A,0),MATCH(N23,'[1]Transit Time'!$A$1:$DC$1,0))+INDEX('[1]Transit Time'!$A:$DC,MATCH(N23,'[1]Transit Time'!$A:$A,0),MATCH(Y23,'[1]Transit Time'!$A$1:$DC$1,0))+INDEX('[1]Transit Time'!$A:$DC,MATCH(Y23,'[1]Transit Time'!$A:$A,0),MATCH(AG23,'[1]Transit Time'!$A$1:$DC$1,0))-VLOOKUP($I23,Port_Info,4,FALSE)+VLOOKUP($AG23,Port_Info,4,FALSE)</f>
        <v>20</v>
      </c>
      <c r="AO23" s="143">
        <f t="shared" si="46"/>
        <v>0.13333333333333333</v>
      </c>
      <c r="AP23" s="143">
        <f t="shared" si="47"/>
        <v>0.1</v>
      </c>
      <c r="AQ23" s="143">
        <f t="shared" si="48"/>
        <v>0</v>
      </c>
      <c r="AR23" s="143">
        <v>0</v>
      </c>
      <c r="AS23" s="143">
        <v>0</v>
      </c>
      <c r="AT23" s="143">
        <f t="shared" si="49"/>
        <v>0.01</v>
      </c>
      <c r="AU23" s="143">
        <f t="shared" si="50"/>
        <v>0.01</v>
      </c>
      <c r="AV23" s="143">
        <f>IF(INDEX(Control!$Q$3:$S$36,MATCH($AG23,Control!$Q$3:$Q$36,0),MATCH(AV$6,Control!$Q$3:$S$3,0))=1,$BL$12*$BM$12,0)</f>
        <v>0</v>
      </c>
      <c r="AW23" s="143" t="e">
        <f>IF(INDEX(Control!$Q$3:$S$36,MATCH($AG23,Control!$Q$3:$Q$36,0),MATCH(AW$6,Control!$Q$3:$S$3,0))=1,$BL$13/$AI23,0)</f>
        <v>#N/A</v>
      </c>
      <c r="AX23" s="143">
        <f t="shared" si="51"/>
        <v>0</v>
      </c>
      <c r="AY23" s="143">
        <f t="shared" si="52"/>
        <v>0.57999999999999996</v>
      </c>
      <c r="AZ23" s="149" t="e">
        <f t="shared" si="53"/>
        <v>#N/A</v>
      </c>
      <c r="BA23" s="149" t="e">
        <f t="shared" si="54"/>
        <v>#N/A</v>
      </c>
      <c r="BB23" s="149">
        <f t="shared" si="55"/>
        <v>-0.35</v>
      </c>
      <c r="BC23" s="145" t="e">
        <f t="shared" si="56"/>
        <v>#N/A</v>
      </c>
      <c r="BE23" s="153">
        <f>INDEX('[1]Transit Time'!$A:$DC,MATCH(I23,'[1]Transit Time'!$A:$A,0),MATCH(N23,'[1]Transit Time'!$A$1:$DC$1,0))+INDEX('[1]Transit Time'!$A:$DC,MATCH(N23,'[1]Transit Time'!$A:$A,0),MATCH(Y23,'[1]Transit Time'!$A$1:$DC$1,0))+INDEX('[1]Transit Time'!$A:$DC,MATCH(Y23,'[1]Transit Time'!$A:$A,0),MATCH(AG23,'[1]Transit Time'!$A$1:$DC$1,0))</f>
        <v>20</v>
      </c>
      <c r="BG23" s="163">
        <f t="shared" si="57"/>
        <v>43804</v>
      </c>
      <c r="BH23" s="163">
        <f t="shared" si="58"/>
        <v>43806</v>
      </c>
    </row>
    <row r="24" spans="2:72" hidden="1" x14ac:dyDescent="0.35">
      <c r="B24" s="163">
        <f t="shared" si="25"/>
        <v>43784</v>
      </c>
      <c r="C24" s="163">
        <f t="shared" si="26"/>
        <v>43786</v>
      </c>
      <c r="E24" s="8"/>
      <c r="F24" s="142">
        <v>16.18</v>
      </c>
      <c r="G24" s="142">
        <f>INDEX(Control!$E$17:$L$21,MATCH(P24,Control!$E$17:$E$21,0),MATCH(I24,Control!$E$17:$L$17,0))</f>
        <v>0.5</v>
      </c>
      <c r="H24" s="142">
        <v>18</v>
      </c>
      <c r="I24" s="142" t="str">
        <f t="shared" ref="I24:I30" si="59">$I$7</f>
        <v>La Paloma (Alpha Ligh. Zone)</v>
      </c>
      <c r="J24" s="19">
        <f t="shared" si="37"/>
        <v>43802</v>
      </c>
      <c r="K24" s="19">
        <f t="shared" si="37"/>
        <v>43804</v>
      </c>
      <c r="L24" s="144">
        <f>INDEX(Vessel_Minimum_MT,MATCH(P24,Control!$E$11:$E$15,0),MATCH(I24,Control!$E$11:$L$11,0))</f>
        <v>50000</v>
      </c>
      <c r="M24" s="144">
        <f t="shared" si="38"/>
        <v>68858.166881443307</v>
      </c>
      <c r="N24" s="142" t="s">
        <v>55</v>
      </c>
      <c r="O24" s="142" t="str">
        <f t="shared" si="39"/>
        <v>LATAM EAST/CARIBS</v>
      </c>
      <c r="P24" s="147" t="s">
        <v>22</v>
      </c>
      <c r="Q24" s="141">
        <v>475000</v>
      </c>
      <c r="R24" s="13">
        <v>0</v>
      </c>
      <c r="S24" s="14">
        <v>0</v>
      </c>
      <c r="T24" s="148">
        <f t="shared" si="40"/>
        <v>0</v>
      </c>
      <c r="U24" s="2"/>
      <c r="V24" s="138">
        <v>10.8</v>
      </c>
      <c r="W24" s="138">
        <f>INDEX(Control!$E$17:$L$21,MATCH(AF24,Control!$E$17:$E$21,0),MATCH(Y24,Control!$E$17:$L$17,0))</f>
        <v>0.5</v>
      </c>
      <c r="X24" s="138">
        <v>11.5</v>
      </c>
      <c r="Y24" s="138" t="s">
        <v>63</v>
      </c>
      <c r="Z24" s="139">
        <v>43430</v>
      </c>
      <c r="AA24" s="139">
        <f t="shared" si="41"/>
        <v>43434</v>
      </c>
      <c r="AB24" s="139">
        <f t="shared" si="42"/>
        <v>43448</v>
      </c>
      <c r="AC24" s="139">
        <f t="shared" si="42"/>
        <v>43452</v>
      </c>
      <c r="AD24" s="140">
        <f>INDEX(Vessel_Minimum_MT,MATCH(AF24,Control!$E$11:$E$15,0),MATCH(Y24,Control!$E$11:$L$11,0))</f>
        <v>145000</v>
      </c>
      <c r="AE24" s="140">
        <f t="shared" si="43"/>
        <v>137716.33376288661</v>
      </c>
      <c r="AF24" s="147" t="s">
        <v>24</v>
      </c>
      <c r="AG24" s="142" t="s">
        <v>110</v>
      </c>
      <c r="AH24" s="142" t="str">
        <f t="shared" si="44"/>
        <v>Panama WC/LATAM WEST</v>
      </c>
      <c r="AI24" s="141">
        <v>950000</v>
      </c>
      <c r="AJ24" s="141">
        <v>110</v>
      </c>
      <c r="AK24" s="151">
        <v>0</v>
      </c>
      <c r="AL24" s="149">
        <f t="shared" si="45"/>
        <v>1.8132631578947371</v>
      </c>
      <c r="AM24" s="144">
        <v>2</v>
      </c>
      <c r="AN24" s="141">
        <f>INDEX('[1]Transit Time'!$A:$DC,MATCH(I24,'[1]Transit Time'!$A:$A,0),MATCH(N24,'[1]Transit Time'!$A$1:$DC$1,0))+INDEX('[1]Transit Time'!$A:$DC,MATCH(N24,'[1]Transit Time'!$A:$A,0),MATCH(Y24,'[1]Transit Time'!$A$1:$DC$1,0))+INDEX('[1]Transit Time'!$A:$DC,MATCH(Y24,'[1]Transit Time'!$A:$A,0),MATCH(AG24,'[1]Transit Time'!$A$1:$DC$1,0))-VLOOKUP($I24,Port_Info,4,FALSE)+VLOOKUP($AG24,Port_Info,4,FALSE)</f>
        <v>20</v>
      </c>
      <c r="AO24" s="143">
        <f t="shared" si="46"/>
        <v>9.4736842105263161E-2</v>
      </c>
      <c r="AP24" s="143">
        <f t="shared" si="47"/>
        <v>0.1</v>
      </c>
      <c r="AQ24" s="143">
        <f t="shared" si="48"/>
        <v>0</v>
      </c>
      <c r="AR24" s="143">
        <v>0</v>
      </c>
      <c r="AS24" s="143">
        <v>0</v>
      </c>
      <c r="AT24" s="143">
        <f t="shared" si="49"/>
        <v>0.01</v>
      </c>
      <c r="AU24" s="143">
        <f t="shared" si="50"/>
        <v>0.01</v>
      </c>
      <c r="AV24" s="143">
        <f>IF(INDEX(Control!$Q$3:$S$36,MATCH($AG24,Control!$Q$3:$Q$36,0),MATCH(AV$6,Control!$Q$3:$S$3,0))=1,$BL$12*$BM$12,0)</f>
        <v>0</v>
      </c>
      <c r="AW24" s="143" t="e">
        <f>IF(INDEX(Control!$Q$3:$S$36,MATCH($AG24,Control!$Q$3:$Q$36,0),MATCH(AW$6,Control!$Q$3:$S$3,0))=1,$BL$13/$AI24,0)</f>
        <v>#N/A</v>
      </c>
      <c r="AX24" s="143">
        <f t="shared" si="51"/>
        <v>0</v>
      </c>
      <c r="AY24" s="143">
        <f t="shared" si="52"/>
        <v>0.57999999999999996</v>
      </c>
      <c r="AZ24" s="149" t="e">
        <f t="shared" si="53"/>
        <v>#N/A</v>
      </c>
      <c r="BA24" s="149" t="e">
        <f t="shared" si="54"/>
        <v>#N/A</v>
      </c>
      <c r="BB24" s="149">
        <f t="shared" si="55"/>
        <v>-0.35</v>
      </c>
      <c r="BC24" s="145" t="e">
        <f t="shared" si="56"/>
        <v>#N/A</v>
      </c>
      <c r="BE24" s="153">
        <f>INDEX('[1]Transit Time'!$A:$DC,MATCH(I24,'[1]Transit Time'!$A:$A,0),MATCH(N24,'[1]Transit Time'!$A$1:$DC$1,0))+INDEX('[1]Transit Time'!$A:$DC,MATCH(N24,'[1]Transit Time'!$A:$A,0),MATCH(Y24,'[1]Transit Time'!$A$1:$DC$1,0))+INDEX('[1]Transit Time'!$A:$DC,MATCH(Y24,'[1]Transit Time'!$A:$A,0),MATCH(AG24,'[1]Transit Time'!$A$1:$DC$1,0))</f>
        <v>20</v>
      </c>
      <c r="BG24" s="163">
        <f t="shared" si="57"/>
        <v>43804</v>
      </c>
      <c r="BH24" s="163">
        <f t="shared" si="58"/>
        <v>43806</v>
      </c>
    </row>
    <row r="25" spans="2:72" hidden="1" x14ac:dyDescent="0.35">
      <c r="B25" s="163">
        <f t="shared" si="25"/>
        <v>43784</v>
      </c>
      <c r="C25" s="163">
        <f t="shared" si="26"/>
        <v>43786</v>
      </c>
      <c r="E25" s="8"/>
      <c r="F25" s="142">
        <v>16.18</v>
      </c>
      <c r="G25" s="142">
        <f>INDEX(Control!$E$17:$L$21,MATCH(P25,Control!$E$17:$E$21,0),MATCH(I25,Control!$E$17:$L$17,0))</f>
        <v>0</v>
      </c>
      <c r="H25" s="142">
        <v>18</v>
      </c>
      <c r="I25" s="142" t="str">
        <f t="shared" si="59"/>
        <v>La Paloma (Alpha Ligh. Zone)</v>
      </c>
      <c r="J25" s="19">
        <f t="shared" si="37"/>
        <v>43802</v>
      </c>
      <c r="K25" s="19">
        <f t="shared" si="37"/>
        <v>43804</v>
      </c>
      <c r="L25" s="144">
        <f>INDEX(Vessel_Minimum_MT,MATCH(P25,Control!$E$11:$E$15,0),MATCH(I25,Control!$E$11:$L$11,0))</f>
        <v>70000</v>
      </c>
      <c r="M25" s="144">
        <f t="shared" si="38"/>
        <v>72482.280927835061</v>
      </c>
      <c r="N25" s="142" t="s">
        <v>55</v>
      </c>
      <c r="O25" s="142" t="str">
        <f t="shared" si="39"/>
        <v>LATAM EAST/CARIBS</v>
      </c>
      <c r="P25" s="147" t="s">
        <v>23</v>
      </c>
      <c r="Q25" s="141">
        <v>500000</v>
      </c>
      <c r="R25" s="13">
        <v>0</v>
      </c>
      <c r="S25" s="14">
        <v>0</v>
      </c>
      <c r="T25" s="148">
        <f t="shared" si="40"/>
        <v>0</v>
      </c>
      <c r="U25" s="2"/>
      <c r="V25" s="138">
        <v>5.94</v>
      </c>
      <c r="W25" s="138">
        <f>INDEX(Control!$E$17:$L$21,MATCH(AF25,Control!$E$17:$E$21,0),MATCH(Y25,Control!$E$17:$L$17,0))</f>
        <v>0.5</v>
      </c>
      <c r="X25" s="138">
        <v>6</v>
      </c>
      <c r="Y25" s="138" t="s">
        <v>63</v>
      </c>
      <c r="Z25" s="139">
        <v>43430</v>
      </c>
      <c r="AA25" s="139">
        <f t="shared" si="41"/>
        <v>43434</v>
      </c>
      <c r="AB25" s="139">
        <f t="shared" si="42"/>
        <v>43448</v>
      </c>
      <c r="AC25" s="139">
        <f t="shared" si="42"/>
        <v>43452</v>
      </c>
      <c r="AD25" s="140">
        <f>INDEX(Vessel_Minimum_MT,MATCH(AF25,Control!$E$11:$E$15,0),MATCH(Y25,Control!$E$11:$L$11,0))</f>
        <v>50000</v>
      </c>
      <c r="AE25" s="140">
        <f t="shared" si="43"/>
        <v>68858.166881443307</v>
      </c>
      <c r="AF25" s="147" t="s">
        <v>22</v>
      </c>
      <c r="AG25" s="142" t="s">
        <v>94</v>
      </c>
      <c r="AH25" s="142" t="str">
        <f t="shared" si="44"/>
        <v>Panama WC/PAMPILLA</v>
      </c>
      <c r="AI25" s="141">
        <v>475000</v>
      </c>
      <c r="AJ25" s="141">
        <v>8200000</v>
      </c>
      <c r="AK25" s="151">
        <v>0</v>
      </c>
      <c r="AL25" s="149">
        <f t="shared" si="45"/>
        <v>17.263157894736842</v>
      </c>
      <c r="AM25" s="144">
        <v>2</v>
      </c>
      <c r="AN25" s="141">
        <f>INDEX('[1]Transit Time'!$A:$DC,MATCH(I25,'[1]Transit Time'!$A:$A,0),MATCH(N25,'[1]Transit Time'!$A$1:$DC$1,0))+INDEX('[1]Transit Time'!$A:$DC,MATCH(N25,'[1]Transit Time'!$A:$A,0),MATCH(Y25,'[1]Transit Time'!$A$1:$DC$1,0))+INDEX('[1]Transit Time'!$A:$DC,MATCH(Y25,'[1]Transit Time'!$A:$A,0),MATCH(AG25,'[1]Transit Time'!$A$1:$DC$1,0))-VLOOKUP($I25,Port_Info,4,FALSE)+VLOOKUP($AG25,Port_Info,4,FALSE)</f>
        <v>-1</v>
      </c>
      <c r="AO25" s="143">
        <f t="shared" si="46"/>
        <v>0.12631578947368421</v>
      </c>
      <c r="AP25" s="143">
        <f t="shared" si="47"/>
        <v>0</v>
      </c>
      <c r="AQ25" s="143">
        <f t="shared" si="48"/>
        <v>0</v>
      </c>
      <c r="AR25" s="143">
        <v>0</v>
      </c>
      <c r="AS25" s="143">
        <v>0</v>
      </c>
      <c r="AT25" s="143">
        <f t="shared" si="49"/>
        <v>0.01</v>
      </c>
      <c r="AU25" s="143">
        <f t="shared" si="50"/>
        <v>0.01</v>
      </c>
      <c r="AV25" s="143">
        <f>IF(INDEX(Control!$Q$3:$S$36,MATCH($AG25,Control!$Q$3:$Q$36,0),MATCH(AV$6,Control!$Q$3:$S$3,0))=1,$BL$12*$BM$12,0)</f>
        <v>0</v>
      </c>
      <c r="AW25" s="143" t="e">
        <f>IF(INDEX(Control!$Q$3:$S$36,MATCH($AG25,Control!$Q$3:$Q$36,0),MATCH(AW$6,Control!$Q$3:$S$3,0))=1,$BL$13/$AI25,0)</f>
        <v>#N/A</v>
      </c>
      <c r="AX25" s="143">
        <f t="shared" si="51"/>
        <v>0</v>
      </c>
      <c r="AY25" s="143">
        <f t="shared" si="52"/>
        <v>0.57999999999999996</v>
      </c>
      <c r="AZ25" s="149" t="e">
        <f t="shared" si="53"/>
        <v>#N/A</v>
      </c>
      <c r="BA25" s="149" t="e">
        <f t="shared" si="54"/>
        <v>#N/A</v>
      </c>
      <c r="BB25" s="149">
        <f t="shared" si="55"/>
        <v>-0.35</v>
      </c>
      <c r="BC25" s="135" t="e">
        <f t="shared" si="56"/>
        <v>#N/A</v>
      </c>
      <c r="BE25" s="153">
        <f>INDEX('[1]Transit Time'!$A:$DC,MATCH(I25,'[1]Transit Time'!$A:$A,0),MATCH(N25,'[1]Transit Time'!$A$1:$DC$1,0))+INDEX('[1]Transit Time'!$A:$DC,MATCH(N25,'[1]Transit Time'!$A:$A,0),MATCH(Y25,'[1]Transit Time'!$A$1:$DC$1,0))+INDEX('[1]Transit Time'!$A:$DC,MATCH(Y25,'[1]Transit Time'!$A:$A,0),MATCH(AG25,'[1]Transit Time'!$A$1:$DC$1,0))</f>
        <v>16</v>
      </c>
      <c r="BG25" s="163">
        <f t="shared" si="57"/>
        <v>43800</v>
      </c>
      <c r="BH25" s="163">
        <f t="shared" si="58"/>
        <v>43802</v>
      </c>
    </row>
    <row r="26" spans="2:72" hidden="1" x14ac:dyDescent="0.35">
      <c r="B26" s="163">
        <f t="shared" si="25"/>
        <v>43784</v>
      </c>
      <c r="C26" s="163">
        <f t="shared" si="26"/>
        <v>43786</v>
      </c>
      <c r="E26" s="8"/>
      <c r="F26" s="142">
        <v>16.18</v>
      </c>
      <c r="G26" s="142">
        <f>INDEX(Control!$E$17:$L$21,MATCH(P26,Control!$E$17:$E$21,0),MATCH(I26,Control!$E$17:$L$17,0))</f>
        <v>0.5</v>
      </c>
      <c r="H26" s="142">
        <v>18</v>
      </c>
      <c r="I26" s="142" t="str">
        <f t="shared" si="59"/>
        <v>La Paloma (Alpha Ligh. Zone)</v>
      </c>
      <c r="J26" s="19">
        <f t="shared" si="37"/>
        <v>43802</v>
      </c>
      <c r="K26" s="19">
        <f t="shared" si="37"/>
        <v>43804</v>
      </c>
      <c r="L26" s="144">
        <f>INDEX(Vessel_Minimum_MT,MATCH(P26,Control!$E$11:$E$15,0),MATCH(I26,Control!$E$11:$L$11,0))</f>
        <v>50000</v>
      </c>
      <c r="M26" s="144">
        <f t="shared" si="38"/>
        <v>68858.166881443307</v>
      </c>
      <c r="N26" s="142" t="s">
        <v>55</v>
      </c>
      <c r="O26" s="142" t="str">
        <f t="shared" si="39"/>
        <v>LATAM EAST/CARIBS</v>
      </c>
      <c r="P26" s="147" t="s">
        <v>22</v>
      </c>
      <c r="Q26" s="141">
        <v>475000</v>
      </c>
      <c r="R26" s="13">
        <v>0</v>
      </c>
      <c r="S26" s="14">
        <v>0</v>
      </c>
      <c r="T26" s="148">
        <f t="shared" si="40"/>
        <v>0</v>
      </c>
      <c r="U26" s="2"/>
      <c r="V26" s="138">
        <v>5.94</v>
      </c>
      <c r="W26" s="138">
        <f>INDEX(Control!$E$17:$L$21,MATCH(AF26,Control!$E$17:$E$21,0),MATCH(Y26,Control!$E$17:$L$17,0))</f>
        <v>0.5</v>
      </c>
      <c r="X26" s="138">
        <v>6</v>
      </c>
      <c r="Y26" s="138" t="s">
        <v>63</v>
      </c>
      <c r="Z26" s="139">
        <v>43430</v>
      </c>
      <c r="AA26" s="139">
        <f t="shared" si="41"/>
        <v>43434</v>
      </c>
      <c r="AB26" s="139">
        <f t="shared" si="42"/>
        <v>43448</v>
      </c>
      <c r="AC26" s="139">
        <f t="shared" si="42"/>
        <v>43452</v>
      </c>
      <c r="AD26" s="140">
        <f>INDEX(Vessel_Minimum_MT,MATCH(AF26,Control!$E$11:$E$15,0),MATCH(Y26,Control!$E$11:$L$11,0))</f>
        <v>50000</v>
      </c>
      <c r="AE26" s="140">
        <f t="shared" si="43"/>
        <v>68858.166881443307</v>
      </c>
      <c r="AF26" s="147" t="s">
        <v>22</v>
      </c>
      <c r="AG26" s="142" t="s">
        <v>94</v>
      </c>
      <c r="AH26" s="142" t="str">
        <f t="shared" si="44"/>
        <v>Panama WC/PAMPILLA</v>
      </c>
      <c r="AI26" s="141">
        <v>475000</v>
      </c>
      <c r="AJ26" s="141">
        <v>8200000</v>
      </c>
      <c r="AK26" s="151">
        <v>0</v>
      </c>
      <c r="AL26" s="149">
        <f t="shared" si="45"/>
        <v>17.263157894736842</v>
      </c>
      <c r="AM26" s="144">
        <v>2</v>
      </c>
      <c r="AN26" s="141">
        <f>INDEX('[1]Transit Time'!$A:$DC,MATCH(I26,'[1]Transit Time'!$A:$A,0),MATCH(N26,'[1]Transit Time'!$A$1:$DC$1,0))+INDEX('[1]Transit Time'!$A:$DC,MATCH(N26,'[1]Transit Time'!$A:$A,0),MATCH(Y26,'[1]Transit Time'!$A$1:$DC$1,0))+INDEX('[1]Transit Time'!$A:$DC,MATCH(Y26,'[1]Transit Time'!$A:$A,0),MATCH(AG26,'[1]Transit Time'!$A$1:$DC$1,0))-VLOOKUP($I26,Port_Info,4,FALSE)+VLOOKUP($AG26,Port_Info,4,FALSE)</f>
        <v>-1</v>
      </c>
      <c r="AO26" s="143">
        <f t="shared" si="46"/>
        <v>0.12631578947368421</v>
      </c>
      <c r="AP26" s="143">
        <f t="shared" si="47"/>
        <v>0</v>
      </c>
      <c r="AQ26" s="143">
        <f t="shared" si="48"/>
        <v>0</v>
      </c>
      <c r="AR26" s="143">
        <v>0</v>
      </c>
      <c r="AS26" s="143">
        <v>0</v>
      </c>
      <c r="AT26" s="143">
        <f t="shared" si="49"/>
        <v>0.01</v>
      </c>
      <c r="AU26" s="143">
        <f t="shared" si="50"/>
        <v>0.01</v>
      </c>
      <c r="AV26" s="143">
        <f>IF(INDEX(Control!$Q$3:$S$36,MATCH($AG26,Control!$Q$3:$Q$36,0),MATCH(AV$6,Control!$Q$3:$S$3,0))=1,$BL$12*$BM$12,0)</f>
        <v>0</v>
      </c>
      <c r="AW26" s="143" t="e">
        <f>IF(INDEX(Control!$Q$3:$S$36,MATCH($AG26,Control!$Q$3:$Q$36,0),MATCH(AW$6,Control!$Q$3:$S$3,0))=1,$BL$13/$AI26,0)</f>
        <v>#N/A</v>
      </c>
      <c r="AX26" s="143">
        <f t="shared" si="51"/>
        <v>0</v>
      </c>
      <c r="AY26" s="143">
        <f t="shared" si="52"/>
        <v>0.57999999999999996</v>
      </c>
      <c r="AZ26" s="149" t="e">
        <f t="shared" si="53"/>
        <v>#N/A</v>
      </c>
      <c r="BA26" s="149" t="e">
        <f t="shared" si="54"/>
        <v>#N/A</v>
      </c>
      <c r="BB26" s="149">
        <f t="shared" si="55"/>
        <v>-0.35</v>
      </c>
      <c r="BC26" s="145" t="e">
        <f t="shared" si="56"/>
        <v>#N/A</v>
      </c>
      <c r="BE26" s="153">
        <f>INDEX('[1]Transit Time'!$A:$DC,MATCH(I26,'[1]Transit Time'!$A:$A,0),MATCH(N26,'[1]Transit Time'!$A$1:$DC$1,0))+INDEX('[1]Transit Time'!$A:$DC,MATCH(N26,'[1]Transit Time'!$A:$A,0),MATCH(Y26,'[1]Transit Time'!$A$1:$DC$1,0))+INDEX('[1]Transit Time'!$A:$DC,MATCH(Y26,'[1]Transit Time'!$A:$A,0),MATCH(AG26,'[1]Transit Time'!$A$1:$DC$1,0))</f>
        <v>16</v>
      </c>
      <c r="BG26" s="163">
        <f t="shared" si="57"/>
        <v>43800</v>
      </c>
      <c r="BH26" s="163">
        <f t="shared" si="58"/>
        <v>43802</v>
      </c>
    </row>
    <row r="27" spans="2:72" hidden="1" x14ac:dyDescent="0.35">
      <c r="B27" s="163">
        <f t="shared" si="25"/>
        <v>43784</v>
      </c>
      <c r="C27" s="163">
        <f t="shared" si="26"/>
        <v>43786</v>
      </c>
      <c r="E27" s="8"/>
      <c r="F27" s="26">
        <v>16.18</v>
      </c>
      <c r="G27" s="26">
        <f>INDEX(Control!$E$17:$L$21,MATCH(P27,Control!$E$17:$E$21,0),MATCH(I27,Control!$E$17:$L$17,0))</f>
        <v>0.5</v>
      </c>
      <c r="H27" s="26">
        <v>18</v>
      </c>
      <c r="I27" s="26" t="str">
        <f t="shared" si="59"/>
        <v>La Paloma (Alpha Ligh. Zone)</v>
      </c>
      <c r="J27" s="27">
        <f t="shared" si="37"/>
        <v>43802</v>
      </c>
      <c r="K27" s="27">
        <f t="shared" si="37"/>
        <v>43804</v>
      </c>
      <c r="L27" s="28">
        <f>INDEX(Vessel_Minimum_MT,MATCH(P27,Control!$E$11:$E$15,0),MATCH(I27,Control!$E$11:$L$11,0))</f>
        <v>50000</v>
      </c>
      <c r="M27" s="28">
        <f t="shared" si="38"/>
        <v>68858.166881443307</v>
      </c>
      <c r="N27" s="142" t="s">
        <v>55</v>
      </c>
      <c r="O27" s="26" t="str">
        <f t="shared" si="39"/>
        <v>LATAM EAST/CARIBS</v>
      </c>
      <c r="P27" s="147" t="s">
        <v>22</v>
      </c>
      <c r="Q27" s="141">
        <v>475000</v>
      </c>
      <c r="R27" s="17">
        <v>0</v>
      </c>
      <c r="S27" s="18">
        <v>0</v>
      </c>
      <c r="T27" s="148">
        <f t="shared" si="40"/>
        <v>0</v>
      </c>
      <c r="U27" s="2"/>
      <c r="V27" s="138">
        <v>5.91</v>
      </c>
      <c r="W27" s="138">
        <f>INDEX(Control!$E$17:$L$21,MATCH(AF27,Control!$E$17:$E$21,0),MATCH(Y27,Control!$E$17:$L$17,0))</f>
        <v>0.5</v>
      </c>
      <c r="X27" s="138">
        <v>7</v>
      </c>
      <c r="Y27" s="138" t="s">
        <v>63</v>
      </c>
      <c r="Z27" s="139">
        <v>43430</v>
      </c>
      <c r="AA27" s="139">
        <f t="shared" si="41"/>
        <v>43434</v>
      </c>
      <c r="AB27" s="139">
        <f>+Z27+$H27</f>
        <v>43448</v>
      </c>
      <c r="AC27" s="139">
        <f>+AA27+$H27</f>
        <v>43452</v>
      </c>
      <c r="AD27" s="140">
        <f>INDEX(Vessel_Minimum_MT,MATCH(AF27,Control!$E$11:$E$15,0),MATCH(Y27,Control!$E$11:$L$11,0))</f>
        <v>50000</v>
      </c>
      <c r="AE27" s="140">
        <f t="shared" si="43"/>
        <v>52187.242268041242</v>
      </c>
      <c r="AF27" s="147" t="s">
        <v>22</v>
      </c>
      <c r="AG27" s="142" t="s">
        <v>199</v>
      </c>
      <c r="AH27" s="142" t="e">
        <f t="shared" si="44"/>
        <v>#N/A</v>
      </c>
      <c r="AI27" s="141">
        <v>360000</v>
      </c>
      <c r="AJ27" s="141">
        <v>7300000</v>
      </c>
      <c r="AK27" s="151">
        <v>0</v>
      </c>
      <c r="AL27" s="149">
        <f t="shared" si="45"/>
        <v>20.277777777777779</v>
      </c>
      <c r="AM27" s="144">
        <v>2</v>
      </c>
      <c r="AN27" s="141" t="e">
        <f>INDEX('[1]Transit Time'!$A:$DC,MATCH(I27,'[1]Transit Time'!$A:$A,0),MATCH(N27,'[1]Transit Time'!$A$1:$DC$1,0))+INDEX('[1]Transit Time'!$A:$DC,MATCH(N27,'[1]Transit Time'!$A:$A,0),MATCH(Y27,'[1]Transit Time'!$A$1:$DC$1,0))+INDEX('[1]Transit Time'!$A:$DC,MATCH(Y27,'[1]Transit Time'!$A:$A,0),MATCH(AG27,'[1]Transit Time'!$A$1:$DC$1,0))-VLOOKUP($I27,Port_Info,4,FALSE)+VLOOKUP($AG27,Port_Info,4,FALSE)</f>
        <v>#N/A</v>
      </c>
      <c r="AO27" s="143">
        <f t="shared" si="46"/>
        <v>0.16666666666666666</v>
      </c>
      <c r="AP27" s="143" t="e">
        <f t="shared" si="47"/>
        <v>#N/A</v>
      </c>
      <c r="AQ27" s="143">
        <f t="shared" si="48"/>
        <v>0</v>
      </c>
      <c r="AR27" s="143">
        <v>0</v>
      </c>
      <c r="AS27" s="143">
        <v>0</v>
      </c>
      <c r="AT27" s="143">
        <f t="shared" si="49"/>
        <v>0.01</v>
      </c>
      <c r="AU27" s="143">
        <f t="shared" si="50"/>
        <v>0.01</v>
      </c>
      <c r="AV27" s="143" t="e">
        <f>IF(INDEX(Control!$Q$3:$S$36,MATCH($AG27,Control!$Q$3:$Q$36,0),MATCH(AV$6,Control!$Q$3:$S$3,0))=1,$BL$12*$BM$12,0)</f>
        <v>#N/A</v>
      </c>
      <c r="AW27" s="143" t="e">
        <f>IF(INDEX(Control!$Q$3:$S$36,MATCH($AG27,Control!$Q$3:$Q$36,0),MATCH(AW$6,Control!$Q$3:$S$3,0))=1,$BL$13/$AI27,0)</f>
        <v>#N/A</v>
      </c>
      <c r="AX27" s="143">
        <f t="shared" si="51"/>
        <v>0</v>
      </c>
      <c r="AY27" s="143">
        <f t="shared" si="52"/>
        <v>0.57999999999999996</v>
      </c>
      <c r="AZ27" s="149" t="e">
        <f t="shared" si="53"/>
        <v>#N/A</v>
      </c>
      <c r="BA27" s="149" t="e">
        <f t="shared" si="54"/>
        <v>#N/A</v>
      </c>
      <c r="BB27" s="149">
        <f t="shared" si="55"/>
        <v>-0.35</v>
      </c>
      <c r="BC27" s="32" t="e">
        <f t="shared" si="56"/>
        <v>#N/A</v>
      </c>
      <c r="BE27" s="153" t="e">
        <f>INDEX('[1]Transit Time'!$A:$DC,MATCH(I27,'[1]Transit Time'!$A:$A,0),MATCH(N27,'[1]Transit Time'!$A$1:$DC$1,0))+INDEX('[1]Transit Time'!$A:$DC,MATCH(N27,'[1]Transit Time'!$A:$A,0),MATCH(Y27,'[1]Transit Time'!$A$1:$DC$1,0))+INDEX('[1]Transit Time'!$A:$DC,MATCH(Y27,'[1]Transit Time'!$A:$A,0),MATCH(AG27,'[1]Transit Time'!$A$1:$DC$1,0))</f>
        <v>#N/A</v>
      </c>
      <c r="BG27" s="163" t="e">
        <f t="shared" si="57"/>
        <v>#N/A</v>
      </c>
      <c r="BH27" s="163" t="str">
        <f t="shared" si="58"/>
        <v/>
      </c>
    </row>
    <row r="28" spans="2:72" hidden="1" x14ac:dyDescent="0.35">
      <c r="B28" s="163">
        <f t="shared" si="25"/>
        <v>43784</v>
      </c>
      <c r="C28" s="163">
        <f t="shared" si="26"/>
        <v>43786</v>
      </c>
      <c r="E28" s="8"/>
      <c r="F28" s="26">
        <v>16.18</v>
      </c>
      <c r="G28" s="26">
        <f>INDEX(Control!$E$17:$L$21,MATCH(P28,Control!$E$17:$E$21,0),MATCH(I28,Control!$E$17:$L$17,0))</f>
        <v>0.5</v>
      </c>
      <c r="H28" s="26">
        <v>18</v>
      </c>
      <c r="I28" s="26" t="str">
        <f t="shared" si="59"/>
        <v>La Paloma (Alpha Ligh. Zone)</v>
      </c>
      <c r="J28" s="27">
        <f>+B28+$H28</f>
        <v>43802</v>
      </c>
      <c r="K28" s="27">
        <f t="shared" si="37"/>
        <v>43804</v>
      </c>
      <c r="L28" s="28">
        <f>INDEX(Vessel_Minimum_MT,MATCH(P28,Control!$E$11:$E$15,0),MATCH(I28,Control!$E$11:$L$11,0))</f>
        <v>50000</v>
      </c>
      <c r="M28" s="28">
        <f t="shared" si="38"/>
        <v>68858.166881443307</v>
      </c>
      <c r="N28" s="142" t="s">
        <v>55</v>
      </c>
      <c r="O28" s="26" t="str">
        <f t="shared" si="39"/>
        <v>LATAM EAST/CARIBS</v>
      </c>
      <c r="P28" s="147" t="s">
        <v>22</v>
      </c>
      <c r="Q28" s="141">
        <v>475000</v>
      </c>
      <c r="R28" s="17">
        <v>0</v>
      </c>
      <c r="S28" s="18">
        <v>0</v>
      </c>
      <c r="T28" s="148">
        <f t="shared" si="40"/>
        <v>0</v>
      </c>
      <c r="U28" s="2"/>
      <c r="V28" s="138">
        <v>5.91</v>
      </c>
      <c r="W28" s="138">
        <f>INDEX(Control!$E$17:$L$21,MATCH(AF28,Control!$E$17:$E$21,0),MATCH(Y28,Control!$E$17:$L$17,0))</f>
        <v>0.5</v>
      </c>
      <c r="X28" s="138">
        <v>7</v>
      </c>
      <c r="Y28" s="138" t="s">
        <v>63</v>
      </c>
      <c r="Z28" s="139">
        <v>43430</v>
      </c>
      <c r="AA28" s="139">
        <f t="shared" si="41"/>
        <v>43434</v>
      </c>
      <c r="AB28" s="139">
        <f t="shared" ref="AB28:AC30" si="60">+Z28+$H28</f>
        <v>43448</v>
      </c>
      <c r="AC28" s="139">
        <f t="shared" si="60"/>
        <v>43452</v>
      </c>
      <c r="AD28" s="140">
        <f>INDEX(Vessel_Minimum_MT,MATCH(AF28,Control!$E$11:$E$15,0),MATCH(Y28,Control!$E$11:$L$11,0))</f>
        <v>50000</v>
      </c>
      <c r="AE28" s="140">
        <f t="shared" si="43"/>
        <v>52187.242268041242</v>
      </c>
      <c r="AF28" s="147" t="s">
        <v>22</v>
      </c>
      <c r="AG28" s="142" t="s">
        <v>199</v>
      </c>
      <c r="AH28" s="142" t="e">
        <f t="shared" si="44"/>
        <v>#N/A</v>
      </c>
      <c r="AI28" s="141">
        <v>360000</v>
      </c>
      <c r="AJ28" s="141">
        <v>7300000</v>
      </c>
      <c r="AK28" s="151">
        <v>0</v>
      </c>
      <c r="AL28" s="149">
        <f t="shared" si="45"/>
        <v>20.277777777777779</v>
      </c>
      <c r="AM28" s="144">
        <v>2</v>
      </c>
      <c r="AN28" s="141" t="e">
        <f>INDEX('[1]Transit Time'!$A:$DC,MATCH(I28,'[1]Transit Time'!$A:$A,0),MATCH(N28,'[1]Transit Time'!$A$1:$DC$1,0))+INDEX('[1]Transit Time'!$A:$DC,MATCH(N28,'[1]Transit Time'!$A:$A,0),MATCH(Y28,'[1]Transit Time'!$A$1:$DC$1,0))+INDEX('[1]Transit Time'!$A:$DC,MATCH(Y28,'[1]Transit Time'!$A:$A,0),MATCH(AG28,'[1]Transit Time'!$A$1:$DC$1,0))-VLOOKUP($I28,Port_Info,4,FALSE)+VLOOKUP($AG28,Port_Info,4,FALSE)</f>
        <v>#N/A</v>
      </c>
      <c r="AO28" s="143">
        <f t="shared" si="46"/>
        <v>0.16666666666666666</v>
      </c>
      <c r="AP28" s="143" t="e">
        <f t="shared" si="47"/>
        <v>#N/A</v>
      </c>
      <c r="AQ28" s="143">
        <f t="shared" si="48"/>
        <v>0</v>
      </c>
      <c r="AR28" s="143">
        <v>0</v>
      </c>
      <c r="AS28" s="143">
        <v>0</v>
      </c>
      <c r="AT28" s="143">
        <f t="shared" si="49"/>
        <v>0.01</v>
      </c>
      <c r="AU28" s="143">
        <f t="shared" si="50"/>
        <v>0.01</v>
      </c>
      <c r="AV28" s="143" t="e">
        <f>IF(INDEX(Control!$Q$3:$S$36,MATCH($AG28,Control!$Q$3:$Q$36,0),MATCH(AV$6,Control!$Q$3:$S$3,0))=1,$BL$12*$BM$12,0)</f>
        <v>#N/A</v>
      </c>
      <c r="AW28" s="143" t="e">
        <f>IF(INDEX(Control!$Q$3:$S$36,MATCH($AG28,Control!$Q$3:$Q$36,0),MATCH(AW$6,Control!$Q$3:$S$3,0))=1,$BL$13/$AI28,0)</f>
        <v>#N/A</v>
      </c>
      <c r="AX28" s="143">
        <f t="shared" si="51"/>
        <v>0</v>
      </c>
      <c r="AY28" s="143">
        <f t="shared" si="52"/>
        <v>0.57999999999999996</v>
      </c>
      <c r="AZ28" s="149" t="e">
        <f t="shared" ref="AZ28:AZ30" si="61">SUM(AO28:AY28)</f>
        <v>#N/A</v>
      </c>
      <c r="BA28" s="149" t="e">
        <f t="shared" si="54"/>
        <v>#N/A</v>
      </c>
      <c r="BB28" s="149">
        <f t="shared" si="55"/>
        <v>-0.35</v>
      </c>
      <c r="BC28" s="33" t="e">
        <f t="shared" si="56"/>
        <v>#N/A</v>
      </c>
      <c r="BE28" s="153" t="e">
        <f>INDEX('[1]Transit Time'!$A:$DC,MATCH(I28,'[1]Transit Time'!$A:$A,0),MATCH(N28,'[1]Transit Time'!$A$1:$DC$1,0))+INDEX('[1]Transit Time'!$A:$DC,MATCH(N28,'[1]Transit Time'!$A:$A,0),MATCH(Y28,'[1]Transit Time'!$A$1:$DC$1,0))+INDEX('[1]Transit Time'!$A:$DC,MATCH(Y28,'[1]Transit Time'!$A:$A,0),MATCH(AG28,'[1]Transit Time'!$A$1:$DC$1,0))</f>
        <v>#N/A</v>
      </c>
      <c r="BG28" s="163" t="e">
        <f t="shared" si="57"/>
        <v>#N/A</v>
      </c>
      <c r="BH28" s="163" t="str">
        <f t="shared" si="58"/>
        <v/>
      </c>
    </row>
    <row r="29" spans="2:72" hidden="1" x14ac:dyDescent="0.35">
      <c r="B29" s="163">
        <f t="shared" si="25"/>
        <v>43784</v>
      </c>
      <c r="C29" s="163">
        <f t="shared" si="26"/>
        <v>43786</v>
      </c>
      <c r="E29" s="8"/>
      <c r="F29" s="26">
        <v>16.18</v>
      </c>
      <c r="G29" s="26">
        <f>INDEX(Control!$E$17:$L$21,MATCH(P29,Control!$E$17:$E$21,0),MATCH(I29,Control!$E$17:$L$17,0))</f>
        <v>0.5</v>
      </c>
      <c r="H29" s="26">
        <v>18</v>
      </c>
      <c r="I29" s="26" t="str">
        <f t="shared" si="59"/>
        <v>La Paloma (Alpha Ligh. Zone)</v>
      </c>
      <c r="J29" s="27">
        <f>+B29+$H29</f>
        <v>43802</v>
      </c>
      <c r="K29" s="27">
        <f t="shared" si="37"/>
        <v>43804</v>
      </c>
      <c r="L29" s="28">
        <f>INDEX(Vessel_Minimum_MT,MATCH(P29,Control!$E$11:$E$15,0),MATCH(I29,Control!$E$11:$L$11,0))</f>
        <v>50000</v>
      </c>
      <c r="M29" s="28">
        <f t="shared" si="38"/>
        <v>68858.166881443307</v>
      </c>
      <c r="N29" s="142" t="s">
        <v>55</v>
      </c>
      <c r="O29" s="26" t="str">
        <f t="shared" si="39"/>
        <v>LATAM EAST/CARIBS</v>
      </c>
      <c r="P29" s="147" t="s">
        <v>22</v>
      </c>
      <c r="Q29" s="141">
        <v>475000</v>
      </c>
      <c r="R29" s="17">
        <v>0</v>
      </c>
      <c r="S29" s="18">
        <v>0</v>
      </c>
      <c r="T29" s="148">
        <f t="shared" si="40"/>
        <v>0</v>
      </c>
      <c r="U29" s="2"/>
      <c r="V29" s="138">
        <v>7.1</v>
      </c>
      <c r="W29" s="138">
        <f>INDEX(Control!$E$17:$L$21,MATCH(AF29,Control!$E$17:$E$21,0),MATCH(Y29,Control!$E$17:$L$17,0))</f>
        <v>0.5</v>
      </c>
      <c r="X29" s="138">
        <v>8.5</v>
      </c>
      <c r="Y29" s="138" t="s">
        <v>63</v>
      </c>
      <c r="Z29" s="139">
        <v>43430</v>
      </c>
      <c r="AA29" s="139">
        <f t="shared" si="41"/>
        <v>43434</v>
      </c>
      <c r="AB29" s="139">
        <f t="shared" si="60"/>
        <v>43448</v>
      </c>
      <c r="AC29" s="139">
        <f t="shared" si="60"/>
        <v>43452</v>
      </c>
      <c r="AD29" s="140">
        <f>INDEX(Vessel_Minimum_MT,MATCH(AF29,Control!$E$11:$E$15,0),MATCH(Y29,Control!$E$11:$L$11,0))</f>
        <v>50000</v>
      </c>
      <c r="AE29" s="140">
        <f t="shared" si="43"/>
        <v>52187.242268041242</v>
      </c>
      <c r="AF29" s="147" t="s">
        <v>22</v>
      </c>
      <c r="AG29" s="142" t="s">
        <v>59</v>
      </c>
      <c r="AH29" s="142" t="str">
        <f t="shared" si="44"/>
        <v>Panama WC/CONCHAN+T</v>
      </c>
      <c r="AI29" s="141">
        <v>360000</v>
      </c>
      <c r="AJ29" s="141">
        <v>8200000</v>
      </c>
      <c r="AK29" s="151">
        <v>0</v>
      </c>
      <c r="AL29" s="149">
        <f t="shared" si="45"/>
        <v>22.777777777777779</v>
      </c>
      <c r="AM29" s="144">
        <v>2</v>
      </c>
      <c r="AN29" s="141">
        <f>INDEX('[1]Transit Time'!$A:$DC,MATCH(I29,'[1]Transit Time'!$A:$A,0),MATCH(N29,'[1]Transit Time'!$A$1:$DC$1,0))+INDEX('[1]Transit Time'!$A:$DC,MATCH(N29,'[1]Transit Time'!$A:$A,0),MATCH(Y29,'[1]Transit Time'!$A$1:$DC$1,0))+INDEX('[1]Transit Time'!$A:$DC,MATCH(Y29,'[1]Transit Time'!$A:$A,0),MATCH(AG29,'[1]Transit Time'!$A$1:$DC$1,0))-VLOOKUP($I29,Port_Info,4,FALSE)+VLOOKUP($AG29,Port_Info,4,FALSE)</f>
        <v>5.5</v>
      </c>
      <c r="AO29" s="143">
        <f t="shared" si="46"/>
        <v>0.16666666666666666</v>
      </c>
      <c r="AP29" s="143">
        <f t="shared" si="47"/>
        <v>2.75E-2</v>
      </c>
      <c r="AQ29" s="143">
        <f t="shared" si="48"/>
        <v>0</v>
      </c>
      <c r="AR29" s="143">
        <v>0</v>
      </c>
      <c r="AS29" s="143">
        <v>0</v>
      </c>
      <c r="AT29" s="143">
        <f t="shared" si="49"/>
        <v>0.01</v>
      </c>
      <c r="AU29" s="143">
        <f t="shared" si="50"/>
        <v>0.01</v>
      </c>
      <c r="AV29" s="143">
        <f>IF(INDEX(Control!$Q$3:$S$36,MATCH($AG29,Control!$Q$3:$Q$36,0),MATCH(AV$6,Control!$Q$3:$S$3,0))=1,$BL$12*$BM$12,0)</f>
        <v>0</v>
      </c>
      <c r="AW29" s="143" t="e">
        <f>IF(INDEX(Control!$Q$3:$S$36,MATCH($AG29,Control!$Q$3:$Q$36,0),MATCH(AW$6,Control!$Q$3:$S$3,0))=1,$BL$13/$AI29,0)</f>
        <v>#N/A</v>
      </c>
      <c r="AX29" s="143">
        <f t="shared" si="51"/>
        <v>0</v>
      </c>
      <c r="AY29" s="143">
        <f t="shared" si="52"/>
        <v>0.57999999999999996</v>
      </c>
      <c r="AZ29" s="149" t="e">
        <f t="shared" si="61"/>
        <v>#N/A</v>
      </c>
      <c r="BA29" s="149" t="e">
        <f t="shared" si="54"/>
        <v>#N/A</v>
      </c>
      <c r="BB29" s="149">
        <f t="shared" si="55"/>
        <v>-0.35</v>
      </c>
      <c r="BC29" s="32" t="e">
        <f t="shared" si="56"/>
        <v>#N/A</v>
      </c>
      <c r="BE29" s="153">
        <f>INDEX('[1]Transit Time'!$A:$DC,MATCH(I29,'[1]Transit Time'!$A:$A,0),MATCH(N29,'[1]Transit Time'!$A$1:$DC$1,0))+INDEX('[1]Transit Time'!$A:$DC,MATCH(N29,'[1]Transit Time'!$A:$A,0),MATCH(Y29,'[1]Transit Time'!$A$1:$DC$1,0))+INDEX('[1]Transit Time'!$A:$DC,MATCH(Y29,'[1]Transit Time'!$A:$A,0),MATCH(AG29,'[1]Transit Time'!$A$1:$DC$1,0))</f>
        <v>18.5</v>
      </c>
      <c r="BG29" s="163">
        <f t="shared" si="57"/>
        <v>43802.5</v>
      </c>
      <c r="BH29" s="163">
        <f t="shared" si="58"/>
        <v>43804.5</v>
      </c>
      <c r="BJ29" s="133"/>
      <c r="BK29" s="45"/>
      <c r="BM29" s="44"/>
    </row>
    <row r="30" spans="2:72" ht="16" hidden="1" thickBot="1" x14ac:dyDescent="0.4">
      <c r="B30" s="163">
        <f t="shared" si="25"/>
        <v>43784</v>
      </c>
      <c r="C30" s="163">
        <f t="shared" si="26"/>
        <v>43786</v>
      </c>
      <c r="E30" s="8"/>
      <c r="F30" s="26">
        <v>16.18</v>
      </c>
      <c r="G30" s="26">
        <f>INDEX(Control!$E$17:$L$21,MATCH(P30,Control!$E$17:$E$21,0),MATCH(I30,Control!$E$17:$L$17,0))</f>
        <v>0.5</v>
      </c>
      <c r="H30" s="26">
        <v>18</v>
      </c>
      <c r="I30" s="26" t="str">
        <f t="shared" si="59"/>
        <v>La Paloma (Alpha Ligh. Zone)</v>
      </c>
      <c r="J30" s="27">
        <f>+B30+$H30</f>
        <v>43802</v>
      </c>
      <c r="K30" s="27">
        <f t="shared" si="37"/>
        <v>43804</v>
      </c>
      <c r="L30" s="28">
        <f>INDEX(Vessel_Minimum_MT,MATCH(P30,Control!$E$11:$E$15,0),MATCH(I30,Control!$E$11:$L$11,0))</f>
        <v>50000</v>
      </c>
      <c r="M30" s="28">
        <f t="shared" si="38"/>
        <v>68858.166881443307</v>
      </c>
      <c r="N30" s="142" t="s">
        <v>55</v>
      </c>
      <c r="O30" s="26" t="str">
        <f t="shared" si="39"/>
        <v>LATAM EAST/CARIBS</v>
      </c>
      <c r="P30" s="147" t="s">
        <v>22</v>
      </c>
      <c r="Q30" s="141">
        <v>475000</v>
      </c>
      <c r="R30" s="17">
        <v>0</v>
      </c>
      <c r="S30" s="18">
        <v>0</v>
      </c>
      <c r="T30" s="148">
        <f t="shared" si="40"/>
        <v>0</v>
      </c>
      <c r="U30" s="2"/>
      <c r="V30" s="138">
        <v>7.1</v>
      </c>
      <c r="W30" s="138">
        <f>INDEX(Control!$E$17:$L$21,MATCH(AF30,Control!$E$17:$E$21,0),MATCH(Y30,Control!$E$17:$L$17,0))</f>
        <v>0.5</v>
      </c>
      <c r="X30" s="138">
        <v>8.5</v>
      </c>
      <c r="Y30" s="138" t="s">
        <v>63</v>
      </c>
      <c r="Z30" s="139">
        <v>43430</v>
      </c>
      <c r="AA30" s="139">
        <f t="shared" si="41"/>
        <v>43434</v>
      </c>
      <c r="AB30" s="139">
        <f t="shared" si="60"/>
        <v>43448</v>
      </c>
      <c r="AC30" s="139">
        <f t="shared" si="60"/>
        <v>43452</v>
      </c>
      <c r="AD30" s="140">
        <f>INDEX(Vessel_Minimum_MT,MATCH(AF30,Control!$E$11:$E$15,0),MATCH(Y30,Control!$E$11:$L$11,0))</f>
        <v>50000</v>
      </c>
      <c r="AE30" s="140">
        <f t="shared" si="43"/>
        <v>52187.242268041242</v>
      </c>
      <c r="AF30" s="147" t="s">
        <v>22</v>
      </c>
      <c r="AG30" s="142" t="s">
        <v>59</v>
      </c>
      <c r="AH30" s="142" t="str">
        <f t="shared" si="44"/>
        <v>Panama WC/CONCHAN+T</v>
      </c>
      <c r="AI30" s="141">
        <v>360000</v>
      </c>
      <c r="AJ30" s="141">
        <v>8200000</v>
      </c>
      <c r="AK30" s="151">
        <v>0</v>
      </c>
      <c r="AL30" s="149">
        <f t="shared" si="45"/>
        <v>22.777777777777779</v>
      </c>
      <c r="AM30" s="144">
        <v>2</v>
      </c>
      <c r="AN30" s="141">
        <f>INDEX('[1]Transit Time'!$A:$DC,MATCH(I30,'[1]Transit Time'!$A:$A,0),MATCH(N30,'[1]Transit Time'!$A$1:$DC$1,0))+INDEX('[1]Transit Time'!$A:$DC,MATCH(N30,'[1]Transit Time'!$A:$A,0),MATCH(Y30,'[1]Transit Time'!$A$1:$DC$1,0))+INDEX('[1]Transit Time'!$A:$DC,MATCH(Y30,'[1]Transit Time'!$A:$A,0),MATCH(AG30,'[1]Transit Time'!$A$1:$DC$1,0))-VLOOKUP($I30,Port_Info,4,FALSE)+VLOOKUP($AG30,Port_Info,4,FALSE)</f>
        <v>5.5</v>
      </c>
      <c r="AO30" s="143">
        <f t="shared" si="46"/>
        <v>0.16666666666666666</v>
      </c>
      <c r="AP30" s="143">
        <f t="shared" si="47"/>
        <v>2.75E-2</v>
      </c>
      <c r="AQ30" s="143">
        <f t="shared" si="48"/>
        <v>0</v>
      </c>
      <c r="AR30" s="143">
        <v>0</v>
      </c>
      <c r="AS30" s="143">
        <v>0</v>
      </c>
      <c r="AT30" s="143">
        <f t="shared" si="49"/>
        <v>0.01</v>
      </c>
      <c r="AU30" s="143">
        <f t="shared" si="50"/>
        <v>0.01</v>
      </c>
      <c r="AV30" s="143">
        <f>IF(INDEX(Control!$Q$3:$S$36,MATCH($AG30,Control!$Q$3:$Q$36,0),MATCH(AV$6,Control!$Q$3:$S$3,0))=1,$BL$12*$BM$12,0)</f>
        <v>0</v>
      </c>
      <c r="AW30" s="143" t="e">
        <f>IF(INDEX(Control!$Q$3:$S$36,MATCH($AG30,Control!$Q$3:$Q$36,0),MATCH(AW$6,Control!$Q$3:$S$3,0))=1,$BL$13/$AI30,0)</f>
        <v>#N/A</v>
      </c>
      <c r="AX30" s="143">
        <f t="shared" si="51"/>
        <v>0</v>
      </c>
      <c r="AY30" s="143">
        <f t="shared" si="52"/>
        <v>0.57999999999999996</v>
      </c>
      <c r="AZ30" s="149" t="e">
        <f t="shared" si="61"/>
        <v>#N/A</v>
      </c>
      <c r="BA30" s="149" t="e">
        <f t="shared" si="54"/>
        <v>#N/A</v>
      </c>
      <c r="BB30" s="149">
        <f t="shared" si="55"/>
        <v>-0.35</v>
      </c>
      <c r="BC30" s="33" t="e">
        <f t="shared" si="56"/>
        <v>#N/A</v>
      </c>
      <c r="BE30" s="153">
        <f>INDEX('[1]Transit Time'!$A:$DC,MATCH(I30,'[1]Transit Time'!$A:$A,0),MATCH(N30,'[1]Transit Time'!$A$1:$DC$1,0))+INDEX('[1]Transit Time'!$A:$DC,MATCH(N30,'[1]Transit Time'!$A:$A,0),MATCH(Y30,'[1]Transit Time'!$A$1:$DC$1,0))+INDEX('[1]Transit Time'!$A:$DC,MATCH(Y30,'[1]Transit Time'!$A:$A,0),MATCH(AG30,'[1]Transit Time'!$A$1:$DC$1,0))</f>
        <v>18.5</v>
      </c>
      <c r="BG30" s="163">
        <f t="shared" si="57"/>
        <v>43802.5</v>
      </c>
      <c r="BH30" s="163">
        <f t="shared" si="58"/>
        <v>43804.5</v>
      </c>
      <c r="BL30" s="132"/>
      <c r="BM30" s="132"/>
      <c r="BT30" s="3"/>
    </row>
    <row r="31" spans="2:72" ht="19.5" hidden="1" customHeight="1" thickBot="1" x14ac:dyDescent="0.5">
      <c r="B31"/>
      <c r="C31"/>
      <c r="E31" s="57"/>
      <c r="F31" s="58"/>
      <c r="G31" s="74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2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49" t="s">
        <v>314</v>
      </c>
      <c r="AG31" s="1050"/>
      <c r="AH31" s="1050"/>
      <c r="AI31" s="1050"/>
      <c r="AJ31" s="1050"/>
      <c r="AK31" s="1050"/>
      <c r="AL31" s="1050"/>
      <c r="AM31" s="1050"/>
      <c r="AN31" s="1050"/>
      <c r="AO31" s="1050"/>
      <c r="AP31" s="1050"/>
      <c r="AQ31" s="1050"/>
      <c r="AR31" s="1050"/>
      <c r="AS31" s="1050"/>
      <c r="AT31" s="1050"/>
      <c r="AU31" s="1050"/>
      <c r="AV31" s="1050"/>
      <c r="AW31" s="1050"/>
      <c r="AX31" s="1050"/>
      <c r="AY31" s="1050"/>
      <c r="AZ31" s="1050"/>
      <c r="BA31" s="1050"/>
      <c r="BB31" s="1050"/>
      <c r="BC31" s="1051"/>
      <c r="BE31"/>
      <c r="BG31"/>
      <c r="BH31"/>
    </row>
    <row r="32" spans="2:72" ht="31" hidden="1" x14ac:dyDescent="0.35">
      <c r="B32" s="1011" t="s">
        <v>167</v>
      </c>
      <c r="C32" s="1011"/>
      <c r="E32" s="120" t="s">
        <v>276</v>
      </c>
      <c r="F32" s="152" t="s">
        <v>172</v>
      </c>
      <c r="G32" s="152" t="s">
        <v>2</v>
      </c>
      <c r="H32" s="152" t="s">
        <v>195</v>
      </c>
      <c r="I32" s="152" t="s">
        <v>173</v>
      </c>
      <c r="J32" s="152" t="s">
        <v>308</v>
      </c>
      <c r="K32" s="152"/>
      <c r="L32" s="152" t="s">
        <v>174</v>
      </c>
      <c r="M32" s="152" t="s">
        <v>175</v>
      </c>
      <c r="N32" s="152" t="s">
        <v>177</v>
      </c>
      <c r="O32" s="152" t="s">
        <v>178</v>
      </c>
      <c r="P32" s="122" t="s">
        <v>176</v>
      </c>
      <c r="Q32" s="120" t="s">
        <v>200</v>
      </c>
      <c r="R32" s="120" t="s">
        <v>277</v>
      </c>
      <c r="S32" s="121" t="s">
        <v>202</v>
      </c>
      <c r="T32" s="123" t="s">
        <v>309</v>
      </c>
      <c r="U32" s="2"/>
      <c r="V32" s="120" t="s">
        <v>172</v>
      </c>
      <c r="W32" s="120" t="e">
        <f>INDEX(Control!$E$17:$L$21,MATCH(AF32,Control!$E$17:$E$21,0),MATCH(Y32,Control!$E$17:$L$17,0))</f>
        <v>#N/A</v>
      </c>
      <c r="X32" s="120" t="s">
        <v>195</v>
      </c>
      <c r="Y32" s="120" t="s">
        <v>173</v>
      </c>
      <c r="Z32" s="120" t="s">
        <v>167</v>
      </c>
      <c r="AA32" s="120"/>
      <c r="AB32" s="120" t="s">
        <v>308</v>
      </c>
      <c r="AC32" s="120"/>
      <c r="AD32" s="120" t="s">
        <v>174</v>
      </c>
      <c r="AE32" s="120" t="s">
        <v>175</v>
      </c>
      <c r="AF32" s="120" t="s">
        <v>176</v>
      </c>
      <c r="AG32" s="120" t="s">
        <v>177</v>
      </c>
      <c r="AH32" s="120" t="s">
        <v>178</v>
      </c>
      <c r="AI32" s="120" t="s">
        <v>200</v>
      </c>
      <c r="AJ32" s="146" t="s">
        <v>201</v>
      </c>
      <c r="AK32" s="25" t="s">
        <v>202</v>
      </c>
      <c r="AL32" s="150" t="s">
        <v>182</v>
      </c>
      <c r="AM32" s="136" t="s">
        <v>137</v>
      </c>
      <c r="AN32" s="146" t="s">
        <v>281</v>
      </c>
      <c r="AO32" s="136" t="s">
        <v>137</v>
      </c>
      <c r="AP32" s="136" t="s">
        <v>140</v>
      </c>
      <c r="AQ32" s="136" t="s">
        <v>310</v>
      </c>
      <c r="AR32" s="136" t="s">
        <v>311</v>
      </c>
      <c r="AS32" s="136" t="s">
        <v>187</v>
      </c>
      <c r="AT32" s="136" t="s">
        <v>141</v>
      </c>
      <c r="AU32" s="136" t="s">
        <v>188</v>
      </c>
      <c r="AV32" s="136" t="s">
        <v>17</v>
      </c>
      <c r="AW32" s="136" t="s">
        <v>207</v>
      </c>
      <c r="AX32" s="136" t="s">
        <v>189</v>
      </c>
      <c r="AY32" s="136" t="s">
        <v>152</v>
      </c>
      <c r="AZ32" s="150" t="s">
        <v>208</v>
      </c>
      <c r="BA32" s="150" t="s">
        <v>209</v>
      </c>
      <c r="BB32" s="150" t="s">
        <v>210</v>
      </c>
      <c r="BC32" s="137" t="s">
        <v>211</v>
      </c>
      <c r="BE32" s="137" t="s">
        <v>195</v>
      </c>
      <c r="BG32" s="1011" t="s">
        <v>196</v>
      </c>
      <c r="BH32" s="1011"/>
    </row>
    <row r="33" spans="1:65" hidden="1" x14ac:dyDescent="0.35">
      <c r="B33" s="163">
        <f t="shared" ref="B33:B43" si="62">+$B$7</f>
        <v>43784</v>
      </c>
      <c r="C33" s="163">
        <f t="shared" ref="C33:C43" si="63">IF(ISBLANK(B33),"",B33+2)</f>
        <v>43786</v>
      </c>
      <c r="E33" s="8"/>
      <c r="F33" s="65">
        <v>0</v>
      </c>
      <c r="G33" s="65">
        <f>INDEX(Control!$E$17:$L$21,MATCH(P33,Control!$E$17:$E$21,0),MATCH(I33,Control!$E$17:$L$17,0))</f>
        <v>0</v>
      </c>
      <c r="H33" s="65" t="e">
        <v>#N/A</v>
      </c>
      <c r="I33" s="65" t="str">
        <f t="shared" ref="I33:I35" si="64">$I$7</f>
        <v>La Paloma (Alpha Ligh. Zone)</v>
      </c>
      <c r="J33" s="66" t="e">
        <f t="shared" ref="J33:K35" si="65">+B33+$H33</f>
        <v>#N/A</v>
      </c>
      <c r="K33" s="66" t="e">
        <f t="shared" si="65"/>
        <v>#N/A</v>
      </c>
      <c r="L33" s="67">
        <f>INDEX(Vessel_Minimum_MT,MATCH(P33,Control!$E$11:$E$15,0),MATCH(I33,Control!$E$11:$L$11,0))</f>
        <v>70000</v>
      </c>
      <c r="M33" s="67">
        <f>Q33/$BL$15</f>
        <v>52187.242268041242</v>
      </c>
      <c r="N33" s="65" t="s">
        <v>65</v>
      </c>
      <c r="O33" s="65" t="str">
        <f>IF(N33=I33,"",CONCATENATE(CONCATENATE(VLOOKUP(I33,Zones,2,FALSE),"/",VLOOKUP(N33,Zones,2,FALSE))))</f>
        <v/>
      </c>
      <c r="P33" s="156" t="s">
        <v>315</v>
      </c>
      <c r="Q33" s="68">
        <v>360000</v>
      </c>
      <c r="R33" s="69">
        <v>0</v>
      </c>
      <c r="S33" s="70">
        <v>0</v>
      </c>
      <c r="T33" s="71">
        <f t="shared" ref="T33:T35" si="66">IF($I33="Esmeraldas",IF(R33&gt;1000,IF(S33=0,R33,S33)/Q33*1.1,((L33*F33*(IF(S33=0,R33,S33)/100))+IF(M33&lt;L33,0,(M33-L33)*F33*IF(S33=0,R33,S33)/100*G33))/Q33*1.1),IF(R33&gt;1000,IF(S33=0,R33,S33)/Q33,((L33*F33*(IF(S33=0,R33,S33)/100))+IF(M33&lt;L33,0,(M33-L33)*F33*IF(S33=0,R33,S33)/100*G33)))/Q33)</f>
        <v>0</v>
      </c>
      <c r="U33" s="2"/>
      <c r="V33" s="138">
        <v>11.66</v>
      </c>
      <c r="W33" s="138">
        <f>INDEX(Control!$E$17:$L$21,MATCH(AF33,Control!$E$17:$E$21,0),MATCH(Y33,Control!$E$17:$L$17,0))</f>
        <v>0.5</v>
      </c>
      <c r="X33" s="138">
        <v>0</v>
      </c>
      <c r="Y33" s="138" t="s">
        <v>65</v>
      </c>
      <c r="Z33" s="139">
        <v>43430</v>
      </c>
      <c r="AA33" s="139">
        <f t="shared" ref="AA33:AA35" si="67">+Z33+4</f>
        <v>43434</v>
      </c>
      <c r="AB33" s="139" t="e">
        <f t="shared" ref="AB33:AC34" si="68">+Z33+$H33</f>
        <v>#N/A</v>
      </c>
      <c r="AC33" s="139" t="e">
        <f t="shared" si="68"/>
        <v>#N/A</v>
      </c>
      <c r="AD33" s="140">
        <f>INDEX(Vessel_Minimum_MT,MATCH(AF33,Control!$E$11:$E$15,0),MATCH(Y33,Control!$E$11:$L$11,0))</f>
        <v>145000</v>
      </c>
      <c r="AE33" s="140">
        <f>AI33/$BL$15</f>
        <v>137716.33376288661</v>
      </c>
      <c r="AF33" s="147" t="s">
        <v>24</v>
      </c>
      <c r="AG33" s="142" t="s">
        <v>110</v>
      </c>
      <c r="AH33" s="142" t="str">
        <f>IF(AG33=Y33,"",CONCATENATE(CONCATENATE(VLOOKUP(Y33,Zones,2,FALSE),"/",VLOOKUP(AG33,Zones,2,FALSE))))</f>
        <v>LATAM EAST/LATAM WEST</v>
      </c>
      <c r="AI33" s="141">
        <v>950000</v>
      </c>
      <c r="AJ33" s="141">
        <v>1</v>
      </c>
      <c r="AK33" s="151">
        <v>75</v>
      </c>
      <c r="AL33" s="149">
        <f t="shared" ref="AL33:AL35" si="69">IF($Y33="Esmeraldas",IF(AJ33&gt;1000,IF(AK33=0,AJ33,AK33)/AI33*1.1,((AD33*V33*(IF(AK33=0,AJ33,AK33)/100))+IF(AE33&lt;AD33,0,(AE33-AD33)*V33*IF(AK33=0,AJ33,AK33)/100*W33))/AI33*1.1),IF(AJ33&gt;1000,IF(AK33=0,AJ33,AK33)/AI33,((AD33*V33*(IF(AK33=0,AJ33,AK33)/100))+IF(AE33&lt;AD33,0,(AE33-AD33)*V33*IF(AK33=0,AJ33,AK33)/100*W33))/AI33))</f>
        <v>1.3347631578947368</v>
      </c>
      <c r="AM33" s="144">
        <v>0</v>
      </c>
      <c r="AN33" s="141">
        <f>INDEX('[1]Transit Time'!$A:$DC,MATCH(I33,'[1]Transit Time'!$A:$A,0),MATCH(N33,'[1]Transit Time'!$A$1:$DC$1,0))+INDEX('[1]Transit Time'!$A:$DC,MATCH(N33,'[1]Transit Time'!$A:$A,0),MATCH(Y33,'[1]Transit Time'!$A$1:$DC$1,0))+INDEX('[1]Transit Time'!$A:$DC,MATCH(Y33,'[1]Transit Time'!$A:$A,0),MATCH(AG33,'[1]Transit Time'!$A$1:$DC$1,0))-VLOOKUP($I33,Port_Info,4,FALSE)+VLOOKUP($AG33,Port_Info,4,FALSE)</f>
        <v>0</v>
      </c>
      <c r="AO33" s="143">
        <f>AM33*VLOOKUP($AF33,$BJ$17:$BM$21,3,FALSE)/$AI33</f>
        <v>0</v>
      </c>
      <c r="AP33" s="143">
        <f>IF(AN33&lt;0,0,$AN33*$BL$9)</f>
        <v>0</v>
      </c>
      <c r="AQ33" s="143">
        <f>IF($I33="Esmeraldas",$BL$8,0)</f>
        <v>0</v>
      </c>
      <c r="AR33" s="143">
        <v>0</v>
      </c>
      <c r="AS33" s="143">
        <v>0</v>
      </c>
      <c r="AT33" s="143">
        <f>$BL$10</f>
        <v>0.01</v>
      </c>
      <c r="AU33" s="143">
        <f>$BL$11</f>
        <v>0.01</v>
      </c>
      <c r="AV33" s="143">
        <f>IF(INDEX(Control!$Q$3:$S$36,MATCH($AG33,Control!$Q$3:$Q$36,0),MATCH(AV$6,Control!$Q$3:$S$3,0))=1,$BL$12*$BM$12,0)</f>
        <v>0</v>
      </c>
      <c r="AW33" s="143" t="e">
        <f>IF(INDEX(Control!$Q$3:$S$36,MATCH($AG33,Control!$Q$3:$Q$36,0),MATCH(AW$6,Control!$Q$3:$S$3,0))=1,$BL$13/$AI33,0)</f>
        <v>#N/A</v>
      </c>
      <c r="AX33" s="143">
        <f>$BL$14</f>
        <v>0</v>
      </c>
      <c r="AY33" s="143">
        <f t="shared" ref="AY33:AY35" si="70">IF(AND(N33="Chiriqui Grande",Y33="Puerto Armuelles"),$T$3,0)</f>
        <v>0</v>
      </c>
      <c r="AZ33" s="149" t="e">
        <f t="shared" ref="AZ33:AZ35" si="71">SUM(AO33:AY33)</f>
        <v>#N/A</v>
      </c>
      <c r="BA33" s="149" t="e">
        <f>+T33+AL33+AZ33</f>
        <v>#N/A</v>
      </c>
      <c r="BB33" s="149">
        <f t="shared" ref="BB33:BB35" si="72">$BB$3</f>
        <v>-0.35</v>
      </c>
      <c r="BC33" s="30" t="e">
        <f t="shared" ref="BC33:BC35" si="73">$P$3+BA33+BB33+$AH$3</f>
        <v>#N/A</v>
      </c>
      <c r="BE33" s="153">
        <f>INDEX('[1]Transit Time'!$A:$DC,MATCH(I33,'[1]Transit Time'!$A:$A,0),MATCH(N33,'[1]Transit Time'!$A$1:$DC$1,0))+INDEX('[1]Transit Time'!$A:$DC,MATCH(N33,'[1]Transit Time'!$A:$A,0),MATCH(Y33,'[1]Transit Time'!$A$1:$DC$1,0))+INDEX('[1]Transit Time'!$A:$DC,MATCH(Y33,'[1]Transit Time'!$A:$A,0),MATCH(AG33,'[1]Transit Time'!$A$1:$DC$1,0))</f>
        <v>0</v>
      </c>
      <c r="BG33" s="163">
        <f>IF(ISBLANK(B33),"",B33+$BE33)</f>
        <v>43784</v>
      </c>
      <c r="BH33" s="163">
        <f t="shared" ref="BH33:BH35" si="74">IFERROR(IF(ISBLANK(C33),"",C33+$BE33),"")</f>
        <v>43786</v>
      </c>
      <c r="BJ33" s="2" t="s">
        <v>316</v>
      </c>
    </row>
    <row r="34" spans="1:65" hidden="1" x14ac:dyDescent="0.35">
      <c r="B34" s="163">
        <f t="shared" si="62"/>
        <v>43784</v>
      </c>
      <c r="C34" s="163">
        <f t="shared" si="63"/>
        <v>43786</v>
      </c>
      <c r="E34" s="8"/>
      <c r="F34" s="65">
        <v>0</v>
      </c>
      <c r="G34" s="65">
        <f>INDEX(Control!$E$17:$L$21,MATCH(P34,Control!$E$17:$E$21,0),MATCH(I34,Control!$E$17:$L$17,0))</f>
        <v>0.5</v>
      </c>
      <c r="H34" s="65" t="e">
        <v>#N/A</v>
      </c>
      <c r="I34" s="65" t="str">
        <f t="shared" si="64"/>
        <v>La Paloma (Alpha Ligh. Zone)</v>
      </c>
      <c r="J34" s="66" t="e">
        <f t="shared" si="65"/>
        <v>#N/A</v>
      </c>
      <c r="K34" s="66" t="e">
        <f t="shared" si="65"/>
        <v>#N/A</v>
      </c>
      <c r="L34" s="67">
        <f>INDEX(Vessel_Minimum_MT,MATCH(P34,Control!$E$11:$E$15,0),MATCH(I34,Control!$E$11:$L$11,0))</f>
        <v>50000</v>
      </c>
      <c r="M34" s="67">
        <f>Q34/$BL$15</f>
        <v>65234.052835051552</v>
      </c>
      <c r="N34" s="65" t="s">
        <v>65</v>
      </c>
      <c r="O34" s="65" t="str">
        <f>IF(N34=I34,"",CONCATENATE(CONCATENATE(VLOOKUP(I34,Zones,2,FALSE),"/",VLOOKUP(N34,Zones,2,FALSE))))</f>
        <v/>
      </c>
      <c r="P34" s="156" t="s">
        <v>22</v>
      </c>
      <c r="Q34" s="68">
        <v>450000</v>
      </c>
      <c r="R34" s="69">
        <v>0</v>
      </c>
      <c r="S34" s="70">
        <v>0</v>
      </c>
      <c r="T34" s="71">
        <f t="shared" si="66"/>
        <v>0</v>
      </c>
      <c r="U34" s="2"/>
      <c r="V34" s="138">
        <v>13.58</v>
      </c>
      <c r="W34" s="138">
        <f>INDEX(Control!$E$17:$L$21,MATCH(AF34,Control!$E$17:$E$21,0),MATCH(Y34,Control!$E$17:$L$17,0))</f>
        <v>0.5</v>
      </c>
      <c r="X34" s="138">
        <v>0</v>
      </c>
      <c r="Y34" s="138" t="s">
        <v>65</v>
      </c>
      <c r="Z34" s="139">
        <v>43430</v>
      </c>
      <c r="AA34" s="139">
        <f t="shared" si="67"/>
        <v>43434</v>
      </c>
      <c r="AB34" s="139" t="e">
        <f t="shared" si="68"/>
        <v>#N/A</v>
      </c>
      <c r="AC34" s="139" t="e">
        <f t="shared" si="68"/>
        <v>#N/A</v>
      </c>
      <c r="AD34" s="140">
        <f>INDEX(Vessel_Minimum_MT,MATCH(AF34,Control!$E$11:$E$15,0),MATCH(Y34,Control!$E$11:$L$11,0))</f>
        <v>145000</v>
      </c>
      <c r="AE34" s="140">
        <f>AI34/$BL$15</f>
        <v>137716.33376288661</v>
      </c>
      <c r="AF34" s="147" t="s">
        <v>24</v>
      </c>
      <c r="AG34" s="142" t="s">
        <v>94</v>
      </c>
      <c r="AH34" s="142" t="str">
        <f>IF(AG34=Y34,"",CONCATENATE(CONCATENATE(VLOOKUP(Y34,Zones,2,FALSE),"/",VLOOKUP(AG34,Zones,2,FALSE))))</f>
        <v>LATAM EAST/PAMPILLA</v>
      </c>
      <c r="AI34" s="141">
        <v>950000</v>
      </c>
      <c r="AJ34" s="141">
        <v>1</v>
      </c>
      <c r="AK34" s="151">
        <f>AK17</f>
        <v>42.5</v>
      </c>
      <c r="AL34" s="149">
        <f t="shared" si="69"/>
        <v>0.88091315789473679</v>
      </c>
      <c r="AM34" s="144">
        <v>2</v>
      </c>
      <c r="AN34" s="141">
        <f>INDEX('[1]Transit Time'!$A:$DC,MATCH(I34,'[1]Transit Time'!$A:$A,0),MATCH(N34,'[1]Transit Time'!$A$1:$DC$1,0))+INDEX('[1]Transit Time'!$A:$DC,MATCH(N34,'[1]Transit Time'!$A:$A,0),MATCH(Y34,'[1]Transit Time'!$A$1:$DC$1,0))+INDEX('[1]Transit Time'!$A:$DC,MATCH(Y34,'[1]Transit Time'!$A:$A,0),MATCH(AG34,'[1]Transit Time'!$A$1:$DC$1,0))-VLOOKUP($I34,Port_Info,4,FALSE)+VLOOKUP($AG34,Port_Info,4,FALSE)</f>
        <v>-17</v>
      </c>
      <c r="AO34" s="143">
        <f>AM34*VLOOKUP($AF34,$BJ$17:$BM$21,3,FALSE)/$AI34</f>
        <v>9.4736842105263161E-2</v>
      </c>
      <c r="AP34" s="143">
        <f>IF(AN34&lt;0,0,$AN34*$BL$9)</f>
        <v>0</v>
      </c>
      <c r="AQ34" s="143">
        <f>IF($I34="Esmeraldas",$BL$8,0)</f>
        <v>0</v>
      </c>
      <c r="AR34" s="143">
        <v>0</v>
      </c>
      <c r="AS34" s="143">
        <v>0</v>
      </c>
      <c r="AT34" s="143">
        <f>$BL$10</f>
        <v>0.01</v>
      </c>
      <c r="AU34" s="143">
        <f>$BL$11</f>
        <v>0.01</v>
      </c>
      <c r="AV34" s="143">
        <f>IF(INDEX(Control!$Q$3:$S$36,MATCH($AG34,Control!$Q$3:$Q$36,0),MATCH(AV$6,Control!$Q$3:$S$3,0))=1,$BL$12*$BM$12,0)</f>
        <v>0</v>
      </c>
      <c r="AW34" s="143" t="e">
        <f>IF(INDEX(Control!$Q$3:$S$36,MATCH($AG34,Control!$Q$3:$Q$36,0),MATCH(AW$6,Control!$Q$3:$S$3,0))=1,$BL$13/$AI34,0)</f>
        <v>#N/A</v>
      </c>
      <c r="AX34" s="143">
        <f>$BL$14</f>
        <v>0</v>
      </c>
      <c r="AY34" s="143">
        <f t="shared" si="70"/>
        <v>0</v>
      </c>
      <c r="AZ34" s="149" t="e">
        <f t="shared" si="71"/>
        <v>#N/A</v>
      </c>
      <c r="BA34" s="149" t="e">
        <f>+T34+AL34+AZ34</f>
        <v>#N/A</v>
      </c>
      <c r="BB34" s="149">
        <f t="shared" si="72"/>
        <v>-0.35</v>
      </c>
      <c r="BC34" s="80" t="e">
        <f t="shared" si="73"/>
        <v>#N/A</v>
      </c>
      <c r="BE34" s="153">
        <f>INDEX('[1]Transit Time'!$A:$DC,MATCH(I34,'[1]Transit Time'!$A:$A,0),MATCH(N34,'[1]Transit Time'!$A$1:$DC$1,0))+INDEX('[1]Transit Time'!$A:$DC,MATCH(N34,'[1]Transit Time'!$A:$A,0),MATCH(Y34,'[1]Transit Time'!$A$1:$DC$1,0))+INDEX('[1]Transit Time'!$A:$DC,MATCH(Y34,'[1]Transit Time'!$A:$A,0),MATCH(AG34,'[1]Transit Time'!$A$1:$DC$1,0))</f>
        <v>0</v>
      </c>
      <c r="BG34" s="163">
        <f>IF(ISBLANK(B34),"",B34+$BE34)</f>
        <v>43784</v>
      </c>
      <c r="BH34" s="163">
        <f t="shared" si="74"/>
        <v>43786</v>
      </c>
      <c r="BJ34" s="2" t="s">
        <v>316</v>
      </c>
    </row>
    <row r="35" spans="1:65" s="152" customFormat="1" ht="17.149999999999999" hidden="1" customHeight="1" thickBot="1" x14ac:dyDescent="0.4">
      <c r="A35" s="35"/>
      <c r="B35" s="163">
        <f t="shared" si="62"/>
        <v>43784</v>
      </c>
      <c r="C35" s="163">
        <f t="shared" si="63"/>
        <v>43786</v>
      </c>
      <c r="D35"/>
      <c r="E35" s="8"/>
      <c r="F35" s="65">
        <v>0</v>
      </c>
      <c r="G35" s="65">
        <f>INDEX(Control!$E$17:$L$21,MATCH(P35,Control!$E$17:$E$21,0),MATCH(I35,Control!$E$17:$L$17,0))</f>
        <v>0.5</v>
      </c>
      <c r="H35" s="65" t="e">
        <v>#N/A</v>
      </c>
      <c r="I35" s="65" t="str">
        <f t="shared" si="64"/>
        <v>La Paloma (Alpha Ligh. Zone)</v>
      </c>
      <c r="J35" s="66" t="e">
        <f t="shared" si="65"/>
        <v>#N/A</v>
      </c>
      <c r="K35" s="66" t="e">
        <f t="shared" si="65"/>
        <v>#N/A</v>
      </c>
      <c r="L35" s="67">
        <f>INDEX(Vessel_Minimum_MT,MATCH(P35,Control!$E$11:$E$15,0),MATCH(I35,Control!$E$11:$L$11,0))</f>
        <v>50000</v>
      </c>
      <c r="M35" s="67">
        <f>Q35/$BL$15</f>
        <v>52187.242268041242</v>
      </c>
      <c r="N35" s="65" t="s">
        <v>65</v>
      </c>
      <c r="O35" s="65" t="str">
        <f>IF(N35=I35,"",CONCATENATE(CONCATENATE(VLOOKUP(I35,Zones,2,FALSE),"/",VLOOKUP(N35,Zones,2,FALSE))))</f>
        <v/>
      </c>
      <c r="P35" s="156" t="s">
        <v>22</v>
      </c>
      <c r="Q35" s="68">
        <v>360000</v>
      </c>
      <c r="R35" s="69">
        <v>0</v>
      </c>
      <c r="S35" s="70">
        <v>0</v>
      </c>
      <c r="T35" s="71">
        <f t="shared" si="66"/>
        <v>0</v>
      </c>
      <c r="U35" s="2"/>
      <c r="V35" s="138">
        <v>13.58</v>
      </c>
      <c r="W35" s="138">
        <f>INDEX(Control!$E$17:$L$21,MATCH(AF35,Control!$E$17:$E$21,0),MATCH(Y35,Control!$E$17:$L$17,0))</f>
        <v>0</v>
      </c>
      <c r="X35" s="138">
        <v>0</v>
      </c>
      <c r="Y35" s="138" t="s">
        <v>65</v>
      </c>
      <c r="Z35" s="139">
        <v>43430</v>
      </c>
      <c r="AA35" s="139">
        <f t="shared" si="67"/>
        <v>43434</v>
      </c>
      <c r="AB35" s="139" t="e">
        <f>+Z35+$H35</f>
        <v>#N/A</v>
      </c>
      <c r="AC35" s="139" t="e">
        <f>+AA35+$H35</f>
        <v>#N/A</v>
      </c>
      <c r="AD35" s="140">
        <f>INDEX(Vessel_Minimum_MT,MATCH(AF35,Control!$E$11:$E$15,0),MATCH(Y35,Control!$E$11:$L$11,0))</f>
        <v>70000</v>
      </c>
      <c r="AE35" s="140">
        <f>AI35/$BL$15</f>
        <v>76106.394974226816</v>
      </c>
      <c r="AF35" s="147" t="s">
        <v>23</v>
      </c>
      <c r="AG35" s="142" t="s">
        <v>94</v>
      </c>
      <c r="AH35" s="142" t="str">
        <f>IF(AG35=Y35,"",CONCATENATE(CONCATENATE(VLOOKUP(Y35,Zones,2,FALSE),"/",VLOOKUP(AG35,Zones,2,FALSE))))</f>
        <v>LATAM EAST/PAMPILLA</v>
      </c>
      <c r="AI35" s="141">
        <v>525000</v>
      </c>
      <c r="AJ35" s="141" t="e">
        <v>#N/A</v>
      </c>
      <c r="AK35" s="151">
        <v>0</v>
      </c>
      <c r="AL35" s="149" t="e">
        <f t="shared" si="69"/>
        <v>#N/A</v>
      </c>
      <c r="AM35" s="144">
        <v>2</v>
      </c>
      <c r="AN35" s="141">
        <f>INDEX('[1]Transit Time'!$A:$DC,MATCH(I35,'[1]Transit Time'!$A:$A,0),MATCH(N35,'[1]Transit Time'!$A$1:$DC$1,0))+INDEX('[1]Transit Time'!$A:$DC,MATCH(N35,'[1]Transit Time'!$A:$A,0),MATCH(Y35,'[1]Transit Time'!$A$1:$DC$1,0))+INDEX('[1]Transit Time'!$A:$DC,MATCH(Y35,'[1]Transit Time'!$A:$A,0),MATCH(AG35,'[1]Transit Time'!$A$1:$DC$1,0))-VLOOKUP($I35,Port_Info,4,FALSE)+VLOOKUP($AG35,Port_Info,4,FALSE)</f>
        <v>-17</v>
      </c>
      <c r="AO35" s="143">
        <f>AM35*VLOOKUP($AF35,$BJ$17:$BM$21,3,FALSE)/$AI35</f>
        <v>0.13333333333333333</v>
      </c>
      <c r="AP35" s="143">
        <f>IF(AN35&lt;0,0,$AN35*$BL$9)</f>
        <v>0</v>
      </c>
      <c r="AQ35" s="143">
        <f>IF($I35="Esmeraldas",$BL$8,0)</f>
        <v>0</v>
      </c>
      <c r="AR35" s="143">
        <v>0</v>
      </c>
      <c r="AS35" s="143" t="e">
        <v>#N/A</v>
      </c>
      <c r="AT35" s="143">
        <f>$BL$10</f>
        <v>0.01</v>
      </c>
      <c r="AU35" s="143">
        <f>$BL$11</f>
        <v>0.01</v>
      </c>
      <c r="AV35" s="143">
        <f>IF(INDEX(Control!$Q$3:$S$36,MATCH($AG35,Control!$Q$3:$Q$36,0),MATCH(AV$6,Control!$Q$3:$S$3,0))=1,$BL$12*$BM$12,0)</f>
        <v>0</v>
      </c>
      <c r="AW35" s="143" t="e">
        <f>IF(INDEX(Control!$Q$3:$S$36,MATCH($AG35,Control!$Q$3:$Q$36,0),MATCH(AW$6,Control!$Q$3:$S$3,0))=1,$BL$13/$AI35,0)</f>
        <v>#N/A</v>
      </c>
      <c r="AX35" s="143">
        <f>$BL$14</f>
        <v>0</v>
      </c>
      <c r="AY35" s="143">
        <f t="shared" si="70"/>
        <v>0</v>
      </c>
      <c r="AZ35" s="149" t="e">
        <f t="shared" si="71"/>
        <v>#N/A</v>
      </c>
      <c r="BA35" s="149" t="e">
        <f>+T35+AL35+AZ35</f>
        <v>#N/A</v>
      </c>
      <c r="BB35" s="149">
        <f t="shared" si="72"/>
        <v>-0.35</v>
      </c>
      <c r="BC35" s="31" t="e">
        <f t="shared" si="73"/>
        <v>#N/A</v>
      </c>
      <c r="BD35" s="2"/>
      <c r="BE35" s="153">
        <f>INDEX('[1]Transit Time'!$A:$DC,MATCH(I35,'[1]Transit Time'!$A:$A,0),MATCH(N35,'[1]Transit Time'!$A$1:$DC$1,0))+INDEX('[1]Transit Time'!$A:$DC,MATCH(N35,'[1]Transit Time'!$A:$A,0),MATCH(Y35,'[1]Transit Time'!$A$1:$DC$1,0))+INDEX('[1]Transit Time'!$A:$DC,MATCH(Y35,'[1]Transit Time'!$A:$A,0),MATCH(AG35,'[1]Transit Time'!$A$1:$DC$1,0))</f>
        <v>0</v>
      </c>
      <c r="BF35" s="2"/>
      <c r="BG35" s="163">
        <f>IF(ISBLANK(B35),"",B35+$BE35)</f>
        <v>43784</v>
      </c>
      <c r="BH35" s="163">
        <f t="shared" si="74"/>
        <v>43786</v>
      </c>
      <c r="BI35"/>
      <c r="BJ35" s="2"/>
      <c r="BK35" s="2"/>
      <c r="BL35" s="35"/>
      <c r="BM35" s="35"/>
    </row>
    <row r="36" spans="1:65" ht="19.5" hidden="1" customHeight="1" thickBot="1" x14ac:dyDescent="0.5">
      <c r="A36" s="35"/>
      <c r="B36" s="163"/>
      <c r="C36" s="163"/>
      <c r="E36" s="1049" t="s">
        <v>306</v>
      </c>
      <c r="F36" s="1050"/>
      <c r="G36" s="1050"/>
      <c r="H36" s="1050"/>
      <c r="I36" s="1050"/>
      <c r="J36" s="1050"/>
      <c r="K36" s="1050"/>
      <c r="L36" s="1050"/>
      <c r="M36" s="1050"/>
      <c r="N36" s="1050"/>
      <c r="O36" s="1050"/>
      <c r="P36" s="1050"/>
      <c r="Q36" s="1050"/>
      <c r="R36" s="1050"/>
      <c r="S36" s="1050"/>
      <c r="T36" s="1050"/>
      <c r="U36" s="2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49" t="s">
        <v>280</v>
      </c>
      <c r="AG36" s="1050"/>
      <c r="AH36" s="1050"/>
      <c r="AI36" s="1050"/>
      <c r="AJ36" s="1050"/>
      <c r="AK36" s="1050"/>
      <c r="AL36" s="1050"/>
      <c r="AM36" s="1050"/>
      <c r="AN36" s="1050"/>
      <c r="AO36" s="1050"/>
      <c r="AP36" s="1050"/>
      <c r="AQ36" s="1050"/>
      <c r="AR36" s="1050"/>
      <c r="AS36" s="1050"/>
      <c r="AT36" s="1050"/>
      <c r="AU36" s="1050"/>
      <c r="AV36" s="1050"/>
      <c r="AW36" s="1050"/>
      <c r="AX36" s="1050"/>
      <c r="AY36" s="1050"/>
      <c r="AZ36" s="1050"/>
      <c r="BA36" s="1050"/>
      <c r="BB36" s="1050"/>
      <c r="BC36" s="1051"/>
      <c r="BE36"/>
      <c r="BG36"/>
      <c r="BH36"/>
      <c r="BJ36" s="152"/>
      <c r="BK36" s="152"/>
      <c r="BL36" s="152"/>
      <c r="BM36" s="152"/>
    </row>
    <row r="37" spans="1:65" ht="31" hidden="1" x14ac:dyDescent="0.35">
      <c r="B37" s="1011" t="s">
        <v>167</v>
      </c>
      <c r="C37" s="1011"/>
      <c r="E37" s="120" t="s">
        <v>276</v>
      </c>
      <c r="F37" s="152" t="s">
        <v>172</v>
      </c>
      <c r="G37" s="152" t="s">
        <v>2</v>
      </c>
      <c r="H37" s="152" t="s">
        <v>195</v>
      </c>
      <c r="I37" s="152" t="s">
        <v>173</v>
      </c>
      <c r="J37" s="152" t="s">
        <v>308</v>
      </c>
      <c r="K37" s="152"/>
      <c r="L37" s="152" t="s">
        <v>174</v>
      </c>
      <c r="M37" s="152" t="s">
        <v>175</v>
      </c>
      <c r="N37" s="152" t="s">
        <v>177</v>
      </c>
      <c r="O37" s="152" t="s">
        <v>178</v>
      </c>
      <c r="P37" s="122" t="s">
        <v>176</v>
      </c>
      <c r="Q37" s="120" t="s">
        <v>200</v>
      </c>
      <c r="R37" s="120" t="str">
        <f>$R$6</f>
        <v>WS Rate</v>
      </c>
      <c r="S37" s="121" t="s">
        <v>202</v>
      </c>
      <c r="T37" s="123" t="s">
        <v>309</v>
      </c>
      <c r="U37" s="2"/>
      <c r="V37" s="120" t="s">
        <v>172</v>
      </c>
      <c r="W37" s="120" t="e">
        <f>INDEX(Control!$E$17:$L$21,MATCH(AF37,Control!$E$17:$E$21,0),MATCH(Y37,Control!$E$17:$L$17,0))</f>
        <v>#N/A</v>
      </c>
      <c r="X37" s="120" t="s">
        <v>195</v>
      </c>
      <c r="Y37" s="120" t="s">
        <v>173</v>
      </c>
      <c r="Z37" s="120" t="s">
        <v>167</v>
      </c>
      <c r="AA37" s="120"/>
      <c r="AB37" s="120" t="s">
        <v>308</v>
      </c>
      <c r="AC37" s="120"/>
      <c r="AD37" s="120" t="s">
        <v>174</v>
      </c>
      <c r="AE37" s="120" t="s">
        <v>175</v>
      </c>
      <c r="AF37" s="120" t="s">
        <v>176</v>
      </c>
      <c r="AG37" s="120" t="s">
        <v>177</v>
      </c>
      <c r="AH37" s="120" t="s">
        <v>178</v>
      </c>
      <c r="AI37" s="120" t="s">
        <v>200</v>
      </c>
      <c r="AJ37" s="146" t="str">
        <f>$AJ$6</f>
        <v xml:space="preserve">Current WS Rate </v>
      </c>
      <c r="AK37" s="25" t="s">
        <v>202</v>
      </c>
      <c r="AL37" s="150" t="s">
        <v>182</v>
      </c>
      <c r="AM37" s="136" t="str">
        <f>AM6</f>
        <v xml:space="preserve">Demurrage </v>
      </c>
      <c r="AN37" s="146" t="str">
        <f>AN6</f>
        <v xml:space="preserve">TVOM Days </v>
      </c>
      <c r="AO37" s="136" t="str">
        <f>AO6</f>
        <v>Demurrage</v>
      </c>
      <c r="AP37" s="136" t="s">
        <v>140</v>
      </c>
      <c r="AQ37" s="136" t="s">
        <v>310</v>
      </c>
      <c r="AR37" s="136" t="s">
        <v>311</v>
      </c>
      <c r="AS37" s="136" t="s">
        <v>187</v>
      </c>
      <c r="AT37" s="136" t="s">
        <v>141</v>
      </c>
      <c r="AU37" s="136" t="s">
        <v>188</v>
      </c>
      <c r="AV37" s="136" t="s">
        <v>17</v>
      </c>
      <c r="AW37" s="136" t="s">
        <v>207</v>
      </c>
      <c r="AX37" s="136" t="s">
        <v>189</v>
      </c>
      <c r="AY37" s="136" t="s">
        <v>152</v>
      </c>
      <c r="AZ37" s="150" t="s">
        <v>208</v>
      </c>
      <c r="BA37" s="150" t="s">
        <v>209</v>
      </c>
      <c r="BB37" s="150" t="s">
        <v>210</v>
      </c>
      <c r="BC37" s="137" t="s">
        <v>211</v>
      </c>
      <c r="BE37" s="137" t="s">
        <v>195</v>
      </c>
      <c r="BG37" s="1011" t="s">
        <v>196</v>
      </c>
      <c r="BH37" s="1011"/>
    </row>
    <row r="38" spans="1:65" hidden="1" x14ac:dyDescent="0.35">
      <c r="B38" s="163">
        <f t="shared" si="62"/>
        <v>43784</v>
      </c>
      <c r="C38" s="163">
        <f t="shared" si="63"/>
        <v>43786</v>
      </c>
      <c r="E38" s="16"/>
      <c r="F38" s="138">
        <v>16.18</v>
      </c>
      <c r="G38" s="138">
        <f>INDEX(Control!$E$17:$L$21,MATCH(P38,Control!$E$17:$E$21,0),MATCH(I38,Control!$E$17:$L$17,0))</f>
        <v>0.5</v>
      </c>
      <c r="H38" s="138">
        <v>18</v>
      </c>
      <c r="I38" s="138" t="str">
        <f t="shared" ref="I38:I43" si="75">$I$7</f>
        <v>La Paloma (Alpha Ligh. Zone)</v>
      </c>
      <c r="J38" s="139">
        <f t="shared" ref="J38:K43" si="76">+B38+$H38</f>
        <v>43802</v>
      </c>
      <c r="K38" s="139">
        <f t="shared" si="76"/>
        <v>43804</v>
      </c>
      <c r="L38" s="140">
        <f>INDEX(Vessel_Minimum_MT,MATCH(P38,Control!$E$11:$E$15,0),MATCH(I38,Control!$E$11:$L$11,0))</f>
        <v>145000</v>
      </c>
      <c r="M38" s="140">
        <f t="shared" ref="M38:M43" si="77">Q38/$BL$15</f>
        <v>144964.56185567012</v>
      </c>
      <c r="N38" s="138" t="s">
        <v>55</v>
      </c>
      <c r="O38" s="138" t="str">
        <f t="shared" ref="O38:O43" si="78">IF(N38=I38,"",CONCATENATE(CONCATENATE(VLOOKUP(I38,Zones,2,FALSE),"/",VLOOKUP(N38,Zones,2,FALSE))))</f>
        <v>LATAM EAST/CARIBS</v>
      </c>
      <c r="P38" s="147" t="s">
        <v>24</v>
      </c>
      <c r="Q38" s="141">
        <v>1000000</v>
      </c>
      <c r="R38" s="17">
        <v>0</v>
      </c>
      <c r="S38" s="18">
        <v>80</v>
      </c>
      <c r="T38" s="148">
        <f t="shared" ref="T38:T43" si="79">IF($I38="Esmeraldas",IF(R38&gt;1000,IF(S38=0,R38,S38)/Q38*1.1,((L38*F38*(IF(S38=0,R38,S38)/100))+IF(M38&lt;L38,0,(M38-L38)*F38*IF(S38=0,R38,S38)/100*G38))/Q38*1.1),IF(R38&gt;1000,IF(S38=0,R38,S38)/Q38,((L38*F38*(IF(S38=0,R38,S38)/100))+IF(M38&lt;L38,0,(M38-L38)*F38*IF(S38=0,R38,S38)/100*G38)))/Q38)</f>
        <v>1.8768800000000001</v>
      </c>
      <c r="U38" s="2"/>
      <c r="V38" s="138">
        <v>23.41</v>
      </c>
      <c r="W38" s="138">
        <f>INDEX(Control!$E$17:$L$21,MATCH(AF38,Control!$E$17:$E$21,0),MATCH(Y38,Control!$E$17:$L$17,0))</f>
        <v>0.5</v>
      </c>
      <c r="X38" s="138">
        <v>28</v>
      </c>
      <c r="Y38" s="138" t="s">
        <v>63</v>
      </c>
      <c r="Z38" s="139">
        <v>43430</v>
      </c>
      <c r="AA38" s="139">
        <f t="shared" ref="AA38:AA43" si="80">+Z38+4</f>
        <v>43434</v>
      </c>
      <c r="AB38" s="139">
        <f t="shared" ref="AB38:AC43" si="81">+Z38+$H38</f>
        <v>43448</v>
      </c>
      <c r="AC38" s="139">
        <f t="shared" si="81"/>
        <v>43452</v>
      </c>
      <c r="AD38" s="140">
        <f>INDEX(Vessel_Minimum_MT,MATCH(AF38,Control!$E$11:$E$15,0),MATCH(Y38,Control!$E$11:$L$11,0))</f>
        <v>145000</v>
      </c>
      <c r="AE38" s="140">
        <f t="shared" ref="AE38:AE43" si="82">AI38/$BL$15</f>
        <v>144964.56185567012</v>
      </c>
      <c r="AF38" s="147" t="s">
        <v>24</v>
      </c>
      <c r="AG38" s="142" t="s">
        <v>51</v>
      </c>
      <c r="AH38" s="142" t="str">
        <f t="shared" ref="AH38:AH43" si="83">IF(AG38=Y38,"",CONCATENATE(CONCATENATE(VLOOKUP(Y38,Zones,2,FALSE),"/",VLOOKUP(AG38,Zones,2,FALSE))))</f>
        <v>Panama WC/JAPAN</v>
      </c>
      <c r="AI38" s="141">
        <v>1000000</v>
      </c>
      <c r="AJ38" s="141">
        <v>3850000</v>
      </c>
      <c r="AK38" s="151">
        <v>0</v>
      </c>
      <c r="AL38" s="149">
        <f t="shared" ref="AL38:AL43" si="84">IF($Y38="Esmeraldas",IF(AJ38&gt;1000,IF(AK38=0,AJ38,AK38)/AI38*1.1,((AD38*V38*(IF(AK38=0,AJ38,AK38)/100))+IF(AE38&lt;AD38,0,(AE38-AD38)*V38*IF(AK38=0,AJ38,AK38)/100*W38))/AI38*1.1),IF(AJ38&gt;1000,IF(AK38=0,AJ38,AK38)/AI38,((AD38*V38*(IF(AK38=0,AJ38,AK38)/100))+IF(AE38&lt;AD38,0,(AE38-AD38)*V38*IF(AK38=0,AJ38,AK38)/100*W38))/AI38))</f>
        <v>3.85</v>
      </c>
      <c r="AM38" s="134">
        <v>2</v>
      </c>
      <c r="AN38" s="155">
        <f>INDEX('[1]Transit Time'!$A:$DC,MATCH(I38,'[1]Transit Time'!$A:$A,0),MATCH(N38,'[1]Transit Time'!$A$1:$DC$1,0))+INDEX('[1]Transit Time'!$A:$DC,MATCH(N38,'[1]Transit Time'!$A:$A,0),MATCH(Y38,'[1]Transit Time'!$A$1:$DC$1,0))+INDEX('[1]Transit Time'!$A:$DC,MATCH(Y38,'[1]Transit Time'!$A:$A,0),MATCH(AG38,'[1]Transit Time'!$A$1:$DC$1,0))-VLOOKUP($I38,Port_Info,4,FALSE)+VLOOKUP($AG38,Port_Info,4,FALSE)</f>
        <v>18</v>
      </c>
      <c r="AO38" s="143">
        <f t="shared" ref="AO38:AO43" si="85">AM38*VLOOKUP($AF38,$BJ$17:$BM$21,3,FALSE)/$AI38</f>
        <v>0.09</v>
      </c>
      <c r="AP38" s="143">
        <f t="shared" ref="AP38:AP43" si="86">IF(AN38&lt;0,0,$AN38*$BL$9)</f>
        <v>0.09</v>
      </c>
      <c r="AQ38" s="143">
        <f t="shared" ref="AQ38:AQ43" si="87">IF($I38="Esmeraldas",$BL$8,0)</f>
        <v>0</v>
      </c>
      <c r="AR38" s="143">
        <v>0</v>
      </c>
      <c r="AS38" s="143">
        <v>0</v>
      </c>
      <c r="AT38" s="143">
        <f t="shared" ref="AT38:AT43" si="88">$BL$10</f>
        <v>0.01</v>
      </c>
      <c r="AU38" s="143">
        <f t="shared" ref="AU38:AU43" si="89">$BL$11</f>
        <v>0.01</v>
      </c>
      <c r="AV38" s="143" t="e">
        <f>IF(INDEX(Control!$Q$3:$S$36,MATCH($AG38,Control!$Q$3:$Q$36,0),MATCH(AV$6,Control!$Q$3:$S$3,0))=1,$BL$12*$BM$12,0)</f>
        <v>#N/A</v>
      </c>
      <c r="AW38" s="143" t="e">
        <f>IF(INDEX(Control!$Q$3:$S$36,MATCH($AG38,Control!$Q$3:$Q$36,0),MATCH(AW$6,Control!$Q$3:$S$3,0))=1,$BL$13/$AI38,0)</f>
        <v>#N/A</v>
      </c>
      <c r="AX38" s="143">
        <f t="shared" ref="AX38:AX43" si="90">$BL$14</f>
        <v>0</v>
      </c>
      <c r="AY38" s="143">
        <f t="shared" ref="AY38:AY43" si="91">IF(AND(N38="Chiriqui Grande",Y38="Puerto Armuelles"),$T$3,0)</f>
        <v>0.57999999999999996</v>
      </c>
      <c r="AZ38" s="149" t="e">
        <f t="shared" ref="AZ38:AZ43" si="92">SUM(AO38:AY38)</f>
        <v>#N/A</v>
      </c>
      <c r="BA38" s="149" t="e">
        <f t="shared" ref="BA38:BA43" si="93">+T38+AL38+AZ38</f>
        <v>#N/A</v>
      </c>
      <c r="BB38" s="149">
        <f t="shared" ref="BB38:BB43" si="94">$BB$3</f>
        <v>-0.35</v>
      </c>
      <c r="BC38" s="145" t="e">
        <f t="shared" ref="BC38:BC43" si="95">$P$3+BA38+BB38+$AH$3</f>
        <v>#N/A</v>
      </c>
      <c r="BE38" s="153">
        <f>INDEX('[1]Transit Time'!$A:$DC,MATCH(I38,'[1]Transit Time'!$A:$A,0),MATCH(N38,'[1]Transit Time'!$A$1:$DC$1,0))+INDEX('[1]Transit Time'!$A:$DC,MATCH(N38,'[1]Transit Time'!$A:$A,0),MATCH(Y38,'[1]Transit Time'!$A$1:$DC$1,0))+INDEX('[1]Transit Time'!$A:$DC,MATCH(Y38,'[1]Transit Time'!$A:$A,0),MATCH(AG38,'[1]Transit Time'!$A$1:$DC$1,0))</f>
        <v>38</v>
      </c>
      <c r="BG38" s="163">
        <f t="shared" ref="BG38:BG43" si="96">IF(ISBLANK(B38),"",B38+$BE38)</f>
        <v>43822</v>
      </c>
      <c r="BH38" s="163">
        <f t="shared" ref="BH38:BH43" si="97">IFERROR(IF(ISBLANK(C38),"",C38+$BE38),"")</f>
        <v>43824</v>
      </c>
    </row>
    <row r="39" spans="1:65" hidden="1" x14ac:dyDescent="0.35">
      <c r="B39" s="163">
        <f t="shared" si="62"/>
        <v>43784</v>
      </c>
      <c r="C39" s="163">
        <f t="shared" si="63"/>
        <v>43786</v>
      </c>
      <c r="E39" s="8"/>
      <c r="F39" s="142">
        <v>16.18</v>
      </c>
      <c r="G39" s="142">
        <f>INDEX(Control!$E$17:$L$21,MATCH(P39,Control!$E$17:$E$21,0),MATCH(I39,Control!$E$17:$L$17,0))</f>
        <v>0.5</v>
      </c>
      <c r="H39" s="142">
        <v>18</v>
      </c>
      <c r="I39" s="142" t="str">
        <f t="shared" si="75"/>
        <v>La Paloma (Alpha Ligh. Zone)</v>
      </c>
      <c r="J39" s="19">
        <f t="shared" si="76"/>
        <v>43802</v>
      </c>
      <c r="K39" s="19">
        <f t="shared" si="76"/>
        <v>43804</v>
      </c>
      <c r="L39" s="144">
        <f>INDEX(Vessel_Minimum_MT,MATCH(P39,Control!$E$11:$E$15,0),MATCH(I39,Control!$E$11:$L$11,0))</f>
        <v>145000</v>
      </c>
      <c r="M39" s="144">
        <f t="shared" si="77"/>
        <v>144964.56185567012</v>
      </c>
      <c r="N39" s="142" t="s">
        <v>55</v>
      </c>
      <c r="O39" s="142" t="str">
        <f t="shared" si="78"/>
        <v>LATAM EAST/CARIBS</v>
      </c>
      <c r="P39" s="147" t="s">
        <v>24</v>
      </c>
      <c r="Q39" s="141">
        <v>1000000</v>
      </c>
      <c r="R39" s="13">
        <v>0</v>
      </c>
      <c r="S39" s="14">
        <v>80</v>
      </c>
      <c r="T39" s="148">
        <f t="shared" si="79"/>
        <v>1.8768800000000001</v>
      </c>
      <c r="U39" s="2"/>
      <c r="V39" s="138">
        <v>23.41</v>
      </c>
      <c r="W39" s="138">
        <f>INDEX(Control!$E$17:$L$21,MATCH(AF39,Control!$E$17:$E$21,0),MATCH(Y39,Control!$E$17:$L$17,0))</f>
        <v>0.5</v>
      </c>
      <c r="X39" s="138">
        <v>28</v>
      </c>
      <c r="Y39" s="138" t="s">
        <v>63</v>
      </c>
      <c r="Z39" s="139">
        <v>43430</v>
      </c>
      <c r="AA39" s="139">
        <f t="shared" si="80"/>
        <v>43434</v>
      </c>
      <c r="AB39" s="139">
        <f t="shared" si="81"/>
        <v>43448</v>
      </c>
      <c r="AC39" s="139">
        <f t="shared" si="81"/>
        <v>43452</v>
      </c>
      <c r="AD39" s="140">
        <f>INDEX(Vessel_Minimum_MT,MATCH(AF39,Control!$E$11:$E$15,0),MATCH(Y39,Control!$E$11:$L$11,0))</f>
        <v>270000</v>
      </c>
      <c r="AE39" s="140">
        <f t="shared" si="82"/>
        <v>289929.12371134025</v>
      </c>
      <c r="AF39" s="147" t="s">
        <v>25</v>
      </c>
      <c r="AG39" s="142" t="s">
        <v>51</v>
      </c>
      <c r="AH39" s="142" t="str">
        <f t="shared" si="83"/>
        <v>Panama WC/JAPAN</v>
      </c>
      <c r="AI39" s="141">
        <v>2000000</v>
      </c>
      <c r="AJ39" s="141">
        <v>4150000</v>
      </c>
      <c r="AK39" s="151">
        <v>0</v>
      </c>
      <c r="AL39" s="149">
        <f t="shared" si="84"/>
        <v>2.0750000000000002</v>
      </c>
      <c r="AM39" s="134">
        <v>2</v>
      </c>
      <c r="AN39" s="155">
        <f>INDEX('[1]Transit Time'!$A:$DC,MATCH(I39,'[1]Transit Time'!$A:$A,0),MATCH(N39,'[1]Transit Time'!$A$1:$DC$1,0))+INDEX('[1]Transit Time'!$A:$DC,MATCH(N39,'[1]Transit Time'!$A:$A,0),MATCH(Y39,'[1]Transit Time'!$A$1:$DC$1,0))+INDEX('[1]Transit Time'!$A:$DC,MATCH(Y39,'[1]Transit Time'!$A:$A,0),MATCH(AG39,'[1]Transit Time'!$A$1:$DC$1,0))-VLOOKUP($I39,Port_Info,4,FALSE)+VLOOKUP($AG39,Port_Info,4,FALSE)</f>
        <v>18</v>
      </c>
      <c r="AO39" s="143">
        <f t="shared" si="85"/>
        <v>5.5E-2</v>
      </c>
      <c r="AP39" s="143">
        <f t="shared" si="86"/>
        <v>0.09</v>
      </c>
      <c r="AQ39" s="143">
        <f t="shared" si="87"/>
        <v>0</v>
      </c>
      <c r="AR39" s="143">
        <v>0</v>
      </c>
      <c r="AS39" s="143">
        <v>0</v>
      </c>
      <c r="AT39" s="143">
        <f t="shared" si="88"/>
        <v>0.01</v>
      </c>
      <c r="AU39" s="143">
        <f t="shared" si="89"/>
        <v>0.01</v>
      </c>
      <c r="AV39" s="143" t="e">
        <f>IF(INDEX(Control!$Q$3:$S$36,MATCH($AG39,Control!$Q$3:$Q$36,0),MATCH(AV$6,Control!$Q$3:$S$3,0))=1,$BL$12*$BM$12,0)</f>
        <v>#N/A</v>
      </c>
      <c r="AW39" s="143" t="e">
        <f>IF(INDEX(Control!$Q$3:$S$36,MATCH($AG39,Control!$Q$3:$Q$36,0),MATCH(AW$6,Control!$Q$3:$S$3,0))=1,$BL$13/$AI39,0)</f>
        <v>#N/A</v>
      </c>
      <c r="AX39" s="143">
        <f t="shared" si="90"/>
        <v>0</v>
      </c>
      <c r="AY39" s="143">
        <f t="shared" si="91"/>
        <v>0.57999999999999996</v>
      </c>
      <c r="AZ39" s="149" t="e">
        <f t="shared" si="92"/>
        <v>#N/A</v>
      </c>
      <c r="BA39" s="149" t="e">
        <f t="shared" si="93"/>
        <v>#N/A</v>
      </c>
      <c r="BB39" s="149">
        <f t="shared" si="94"/>
        <v>-0.35</v>
      </c>
      <c r="BC39" s="145" t="e">
        <f t="shared" si="95"/>
        <v>#N/A</v>
      </c>
      <c r="BD39" s="152"/>
      <c r="BE39" s="153">
        <f>INDEX('[1]Transit Time'!$A:$DC,MATCH(I39,'[1]Transit Time'!$A:$A,0),MATCH(N39,'[1]Transit Time'!$A$1:$DC$1,0))+INDEX('[1]Transit Time'!$A:$DC,MATCH(N39,'[1]Transit Time'!$A:$A,0),MATCH(Y39,'[1]Transit Time'!$A$1:$DC$1,0))+INDEX('[1]Transit Time'!$A:$DC,MATCH(Y39,'[1]Transit Time'!$A:$A,0),MATCH(AG39,'[1]Transit Time'!$A$1:$DC$1,0))</f>
        <v>38</v>
      </c>
      <c r="BF39" s="152"/>
      <c r="BG39" s="163">
        <f t="shared" si="96"/>
        <v>43822</v>
      </c>
      <c r="BH39" s="163">
        <f t="shared" si="97"/>
        <v>43824</v>
      </c>
    </row>
    <row r="40" spans="1:65" hidden="1" x14ac:dyDescent="0.35">
      <c r="B40" s="163">
        <f t="shared" si="62"/>
        <v>43784</v>
      </c>
      <c r="C40" s="163">
        <f t="shared" si="63"/>
        <v>43786</v>
      </c>
      <c r="E40" s="8"/>
      <c r="F40" s="142">
        <v>16.18</v>
      </c>
      <c r="G40" s="142">
        <f>INDEX(Control!$E$17:$L$21,MATCH(P40,Control!$E$17:$E$21,0),MATCH(I40,Control!$E$17:$L$17,0))</f>
        <v>0.5</v>
      </c>
      <c r="H40" s="142">
        <v>18</v>
      </c>
      <c r="I40" s="142" t="str">
        <f t="shared" si="75"/>
        <v>La Paloma (Alpha Ligh. Zone)</v>
      </c>
      <c r="J40" s="19">
        <f t="shared" si="76"/>
        <v>43802</v>
      </c>
      <c r="K40" s="19">
        <f t="shared" si="76"/>
        <v>43804</v>
      </c>
      <c r="L40" s="144">
        <f>INDEX(Vessel_Minimum_MT,MATCH(P40,Control!$E$11:$E$15,0),MATCH(I40,Control!$E$11:$L$11,0))</f>
        <v>145000</v>
      </c>
      <c r="M40" s="144">
        <f t="shared" si="77"/>
        <v>144964.56185567012</v>
      </c>
      <c r="N40" s="142" t="s">
        <v>55</v>
      </c>
      <c r="O40" s="142" t="str">
        <f t="shared" si="78"/>
        <v>LATAM EAST/CARIBS</v>
      </c>
      <c r="P40" s="147" t="s">
        <v>24</v>
      </c>
      <c r="Q40" s="141">
        <v>1000000</v>
      </c>
      <c r="R40" s="13">
        <v>0</v>
      </c>
      <c r="S40" s="14">
        <v>80</v>
      </c>
      <c r="T40" s="148">
        <f t="shared" si="79"/>
        <v>1.8768800000000001</v>
      </c>
      <c r="U40" s="2"/>
      <c r="V40" s="138">
        <v>26.04</v>
      </c>
      <c r="W40" s="138">
        <f>INDEX(Control!$E$17:$L$21,MATCH(AF40,Control!$E$17:$E$21,0),MATCH(Y40,Control!$E$17:$L$17,0))</f>
        <v>0.5</v>
      </c>
      <c r="X40" s="138">
        <v>31</v>
      </c>
      <c r="Y40" s="138" t="s">
        <v>63</v>
      </c>
      <c r="Z40" s="139">
        <v>43430</v>
      </c>
      <c r="AA40" s="139">
        <f t="shared" si="80"/>
        <v>43434</v>
      </c>
      <c r="AB40" s="139">
        <f t="shared" si="81"/>
        <v>43448</v>
      </c>
      <c r="AC40" s="139">
        <f t="shared" si="81"/>
        <v>43452</v>
      </c>
      <c r="AD40" s="140">
        <f>INDEX(Vessel_Minimum_MT,MATCH(AF40,Control!$E$11:$E$15,0),MATCH(Y40,Control!$E$11:$L$11,0))</f>
        <v>145000</v>
      </c>
      <c r="AE40" s="140">
        <f t="shared" si="82"/>
        <v>144964.56185567012</v>
      </c>
      <c r="AF40" s="147" t="s">
        <v>24</v>
      </c>
      <c r="AG40" s="142" t="s">
        <v>100</v>
      </c>
      <c r="AH40" s="142" t="str">
        <f t="shared" si="83"/>
        <v>Panama WC/KOREA</v>
      </c>
      <c r="AI40" s="141">
        <v>1000000</v>
      </c>
      <c r="AJ40" s="141">
        <v>3750000</v>
      </c>
      <c r="AK40" s="151">
        <v>0</v>
      </c>
      <c r="AL40" s="149">
        <f t="shared" si="84"/>
        <v>3.75</v>
      </c>
      <c r="AM40" s="134">
        <v>2</v>
      </c>
      <c r="AN40" s="155">
        <f>INDEX('[1]Transit Time'!$A:$DC,MATCH(I40,'[1]Transit Time'!$A:$A,0),MATCH(N40,'[1]Transit Time'!$A$1:$DC$1,0))+INDEX('[1]Transit Time'!$A:$DC,MATCH(N40,'[1]Transit Time'!$A:$A,0),MATCH(Y40,'[1]Transit Time'!$A$1:$DC$1,0))+INDEX('[1]Transit Time'!$A:$DC,MATCH(Y40,'[1]Transit Time'!$A:$A,0),MATCH(AG40,'[1]Transit Time'!$A$1:$DC$1,0))-VLOOKUP($I40,Port_Info,4,FALSE)+VLOOKUP($AG40,Port_Info,4,FALSE)</f>
        <v>21</v>
      </c>
      <c r="AO40" s="143">
        <f t="shared" si="85"/>
        <v>0.09</v>
      </c>
      <c r="AP40" s="143">
        <f t="shared" si="86"/>
        <v>0.105</v>
      </c>
      <c r="AQ40" s="143">
        <f t="shared" si="87"/>
        <v>0</v>
      </c>
      <c r="AR40" s="143">
        <v>0</v>
      </c>
      <c r="AS40" s="143">
        <v>0</v>
      </c>
      <c r="AT40" s="143">
        <f t="shared" si="88"/>
        <v>0.01</v>
      </c>
      <c r="AU40" s="143">
        <f t="shared" si="89"/>
        <v>0.01</v>
      </c>
      <c r="AV40" s="29" t="e">
        <f>IF(INDEX(Control!$Q$3:$S$36,MATCH($AG40,Control!$Q$3:$Q$36,0),MATCH(AV$6,Control!$Q$3:$S$3,0))=1,$BL$12*$BM$12,0)</f>
        <v>#N/A</v>
      </c>
      <c r="AW40" s="29" t="e">
        <f>IF(INDEX(Control!$Q$3:$S$36,MATCH($AG40,Control!$Q$3:$Q$36,0),MATCH(AW$6,Control!$Q$3:$S$3,0))=1,$BL$13/$AI40,0)</f>
        <v>#N/A</v>
      </c>
      <c r="AX40" s="143">
        <f t="shared" si="90"/>
        <v>0</v>
      </c>
      <c r="AY40" s="143">
        <f t="shared" si="91"/>
        <v>0.57999999999999996</v>
      </c>
      <c r="AZ40" s="149" t="e">
        <f t="shared" si="92"/>
        <v>#N/A</v>
      </c>
      <c r="BA40" s="149" t="e">
        <f t="shared" si="93"/>
        <v>#N/A</v>
      </c>
      <c r="BB40" s="149">
        <f t="shared" si="94"/>
        <v>-0.35</v>
      </c>
      <c r="BC40" s="145" t="e">
        <f t="shared" si="95"/>
        <v>#N/A</v>
      </c>
      <c r="BE40" s="153">
        <f>INDEX('[1]Transit Time'!$A:$DC,MATCH(I40,'[1]Transit Time'!$A:$A,0),MATCH(N40,'[1]Transit Time'!$A$1:$DC$1,0))+INDEX('[1]Transit Time'!$A:$DC,MATCH(N40,'[1]Transit Time'!$A:$A,0),MATCH(Y40,'[1]Transit Time'!$A$1:$DC$1,0))+INDEX('[1]Transit Time'!$A:$DC,MATCH(Y40,'[1]Transit Time'!$A:$A,0),MATCH(AG40,'[1]Transit Time'!$A$1:$DC$1,0))</f>
        <v>41</v>
      </c>
      <c r="BG40" s="163">
        <f t="shared" si="96"/>
        <v>43825</v>
      </c>
      <c r="BH40" s="163">
        <f t="shared" si="97"/>
        <v>43827</v>
      </c>
    </row>
    <row r="41" spans="1:65" hidden="1" x14ac:dyDescent="0.35">
      <c r="B41" s="163">
        <f t="shared" si="62"/>
        <v>43784</v>
      </c>
      <c r="C41" s="163">
        <f t="shared" si="63"/>
        <v>43786</v>
      </c>
      <c r="E41" s="8"/>
      <c r="F41" s="142">
        <v>16.18</v>
      </c>
      <c r="G41" s="142">
        <f>INDEX(Control!$E$17:$L$21,MATCH(P41,Control!$E$17:$E$21,0),MATCH(I41,Control!$E$17:$L$17,0))</f>
        <v>0.5</v>
      </c>
      <c r="H41" s="142">
        <v>18</v>
      </c>
      <c r="I41" s="142" t="str">
        <f t="shared" si="75"/>
        <v>La Paloma (Alpha Ligh. Zone)</v>
      </c>
      <c r="J41" s="19">
        <f t="shared" si="76"/>
        <v>43802</v>
      </c>
      <c r="K41" s="19">
        <f t="shared" si="76"/>
        <v>43804</v>
      </c>
      <c r="L41" s="144">
        <f>INDEX(Vessel_Minimum_MT,MATCH(P41,Control!$E$11:$E$15,0),MATCH(I41,Control!$E$11:$L$11,0))</f>
        <v>145000</v>
      </c>
      <c r="M41" s="144">
        <f t="shared" si="77"/>
        <v>144964.56185567012</v>
      </c>
      <c r="N41" s="142" t="s">
        <v>55</v>
      </c>
      <c r="O41" s="142" t="str">
        <f t="shared" si="78"/>
        <v>LATAM EAST/CARIBS</v>
      </c>
      <c r="P41" s="147" t="s">
        <v>24</v>
      </c>
      <c r="Q41" s="141">
        <v>1000000</v>
      </c>
      <c r="R41" s="13">
        <v>0</v>
      </c>
      <c r="S41" s="14">
        <v>80</v>
      </c>
      <c r="T41" s="148">
        <f t="shared" si="79"/>
        <v>1.8768800000000001</v>
      </c>
      <c r="U41" s="2"/>
      <c r="V41" s="138">
        <v>26.04</v>
      </c>
      <c r="W41" s="138">
        <f>INDEX(Control!$E$17:$L$21,MATCH(AF41,Control!$E$17:$E$21,0),MATCH(Y41,Control!$E$17:$L$17,0))</f>
        <v>0.5</v>
      </c>
      <c r="X41" s="138">
        <v>31</v>
      </c>
      <c r="Y41" s="138" t="s">
        <v>63</v>
      </c>
      <c r="Z41" s="139">
        <v>43430</v>
      </c>
      <c r="AA41" s="139">
        <f t="shared" si="80"/>
        <v>43434</v>
      </c>
      <c r="AB41" s="139">
        <f t="shared" si="81"/>
        <v>43448</v>
      </c>
      <c r="AC41" s="139">
        <f t="shared" si="81"/>
        <v>43452</v>
      </c>
      <c r="AD41" s="140">
        <f>INDEX(Vessel_Minimum_MT,MATCH(AF41,Control!$E$11:$E$15,0),MATCH(Y41,Control!$E$11:$L$11,0))</f>
        <v>270000</v>
      </c>
      <c r="AE41" s="140">
        <f t="shared" si="82"/>
        <v>289929.12371134025</v>
      </c>
      <c r="AF41" s="147" t="s">
        <v>25</v>
      </c>
      <c r="AG41" s="142" t="s">
        <v>100</v>
      </c>
      <c r="AH41" s="142" t="str">
        <f t="shared" si="83"/>
        <v>Panama WC/KOREA</v>
      </c>
      <c r="AI41" s="141">
        <v>2000000</v>
      </c>
      <c r="AJ41" s="141">
        <v>4000000</v>
      </c>
      <c r="AK41" s="151">
        <v>0</v>
      </c>
      <c r="AL41" s="149">
        <f t="shared" si="84"/>
        <v>2</v>
      </c>
      <c r="AM41" s="134">
        <v>2</v>
      </c>
      <c r="AN41" s="155">
        <f>INDEX('[1]Transit Time'!$A:$DC,MATCH(I41,'[1]Transit Time'!$A:$A,0),MATCH(N41,'[1]Transit Time'!$A$1:$DC$1,0))+INDEX('[1]Transit Time'!$A:$DC,MATCH(N41,'[1]Transit Time'!$A:$A,0),MATCH(Y41,'[1]Transit Time'!$A$1:$DC$1,0))+INDEX('[1]Transit Time'!$A:$DC,MATCH(Y41,'[1]Transit Time'!$A:$A,0),MATCH(AG41,'[1]Transit Time'!$A$1:$DC$1,0))-VLOOKUP($I41,Port_Info,4,FALSE)+VLOOKUP($AG41,Port_Info,4,FALSE)</f>
        <v>21</v>
      </c>
      <c r="AO41" s="143">
        <f t="shared" si="85"/>
        <v>5.5E-2</v>
      </c>
      <c r="AP41" s="143">
        <f t="shared" si="86"/>
        <v>0.105</v>
      </c>
      <c r="AQ41" s="143">
        <f t="shared" si="87"/>
        <v>0</v>
      </c>
      <c r="AR41" s="143">
        <v>0</v>
      </c>
      <c r="AS41" s="143">
        <v>0</v>
      </c>
      <c r="AT41" s="143">
        <f t="shared" si="88"/>
        <v>0.01</v>
      </c>
      <c r="AU41" s="143">
        <f t="shared" si="89"/>
        <v>0.01</v>
      </c>
      <c r="AV41" s="29" t="e">
        <f>IF(INDEX(Control!$Q$3:$S$36,MATCH($AG41,Control!$Q$3:$Q$36,0),MATCH(AV$6,Control!$Q$3:$S$3,0))=1,$BL$12*$BM$12,0)</f>
        <v>#N/A</v>
      </c>
      <c r="AW41" s="29" t="e">
        <f>IF(INDEX(Control!$Q$3:$S$36,MATCH($AG41,Control!$Q$3:$Q$36,0),MATCH(AW$6,Control!$Q$3:$S$3,0))=1,$BL$13/$AI41,0)</f>
        <v>#N/A</v>
      </c>
      <c r="AX41" s="143">
        <f t="shared" si="90"/>
        <v>0</v>
      </c>
      <c r="AY41" s="143">
        <f t="shared" si="91"/>
        <v>0.57999999999999996</v>
      </c>
      <c r="AZ41" s="149" t="e">
        <f t="shared" si="92"/>
        <v>#N/A</v>
      </c>
      <c r="BA41" s="149" t="e">
        <f t="shared" si="93"/>
        <v>#N/A</v>
      </c>
      <c r="BB41" s="149">
        <f t="shared" si="94"/>
        <v>-0.35</v>
      </c>
      <c r="BC41" s="135" t="e">
        <f t="shared" si="95"/>
        <v>#N/A</v>
      </c>
      <c r="BE41" s="153">
        <f>INDEX('[1]Transit Time'!$A:$DC,MATCH(I41,'[1]Transit Time'!$A:$A,0),MATCH(N41,'[1]Transit Time'!$A$1:$DC$1,0))+INDEX('[1]Transit Time'!$A:$DC,MATCH(N41,'[1]Transit Time'!$A:$A,0),MATCH(Y41,'[1]Transit Time'!$A$1:$DC$1,0))+INDEX('[1]Transit Time'!$A:$DC,MATCH(Y41,'[1]Transit Time'!$A:$A,0),MATCH(AG41,'[1]Transit Time'!$A$1:$DC$1,0))</f>
        <v>41</v>
      </c>
      <c r="BG41" s="163">
        <f t="shared" si="96"/>
        <v>43825</v>
      </c>
      <c r="BH41" s="163">
        <f t="shared" si="97"/>
        <v>43827</v>
      </c>
      <c r="BJ41" s="133"/>
      <c r="BK41" s="45"/>
      <c r="BM41" s="44"/>
    </row>
    <row r="42" spans="1:65" hidden="1" x14ac:dyDescent="0.35">
      <c r="B42" s="163">
        <f t="shared" si="62"/>
        <v>43784</v>
      </c>
      <c r="C42" s="163">
        <f t="shared" si="63"/>
        <v>43786</v>
      </c>
      <c r="E42" s="8"/>
      <c r="F42" s="142">
        <v>16.18</v>
      </c>
      <c r="G42" s="142">
        <f>INDEX(Control!$E$17:$L$21,MATCH(P42,Control!$E$17:$E$21,0),MATCH(I42,Control!$E$17:$L$17,0))</f>
        <v>0.5</v>
      </c>
      <c r="H42" s="142">
        <v>18</v>
      </c>
      <c r="I42" s="142" t="str">
        <f t="shared" si="75"/>
        <v>La Paloma (Alpha Ligh. Zone)</v>
      </c>
      <c r="J42" s="19">
        <f t="shared" si="76"/>
        <v>43802</v>
      </c>
      <c r="K42" s="19">
        <f t="shared" si="76"/>
        <v>43804</v>
      </c>
      <c r="L42" s="144">
        <f>INDEX(Vessel_Minimum_MT,MATCH(P42,Control!$E$11:$E$15,0),MATCH(I42,Control!$E$11:$L$11,0))</f>
        <v>145000</v>
      </c>
      <c r="M42" s="144">
        <f t="shared" si="77"/>
        <v>144964.56185567012</v>
      </c>
      <c r="N42" s="142" t="s">
        <v>55</v>
      </c>
      <c r="O42" s="142" t="str">
        <f t="shared" si="78"/>
        <v>LATAM EAST/CARIBS</v>
      </c>
      <c r="P42" s="147" t="s">
        <v>24</v>
      </c>
      <c r="Q42" s="141">
        <v>1000000</v>
      </c>
      <c r="R42" s="13">
        <v>0</v>
      </c>
      <c r="S42" s="14">
        <v>80</v>
      </c>
      <c r="T42" s="148">
        <f t="shared" si="79"/>
        <v>1.8768800000000001</v>
      </c>
      <c r="U42" s="2"/>
      <c r="V42" s="138">
        <v>0</v>
      </c>
      <c r="W42" s="138">
        <f>INDEX(Control!$E$17:$L$21,MATCH(AF42,Control!$E$17:$E$21,0),MATCH(Y42,Control!$E$17:$L$17,0))</f>
        <v>0.5</v>
      </c>
      <c r="X42" s="138">
        <v>44</v>
      </c>
      <c r="Y42" s="138" t="s">
        <v>63</v>
      </c>
      <c r="Z42" s="139">
        <v>43430</v>
      </c>
      <c r="AA42" s="139">
        <f t="shared" si="80"/>
        <v>43434</v>
      </c>
      <c r="AB42" s="139">
        <f t="shared" si="81"/>
        <v>43448</v>
      </c>
      <c r="AC42" s="139">
        <f t="shared" si="81"/>
        <v>43452</v>
      </c>
      <c r="AD42" s="140">
        <f>INDEX(Vessel_Minimum_MT,MATCH(AF42,Control!$E$11:$E$15,0),MATCH(Y42,Control!$E$11:$L$11,0))</f>
        <v>145000</v>
      </c>
      <c r="AE42" s="140">
        <f t="shared" si="82"/>
        <v>144964.56185567012</v>
      </c>
      <c r="AF42" s="147" t="s">
        <v>24</v>
      </c>
      <c r="AG42" s="142" t="s">
        <v>86</v>
      </c>
      <c r="AH42" s="142" t="str">
        <f t="shared" si="83"/>
        <v>Panama WC/INDIA</v>
      </c>
      <c r="AI42" s="141">
        <v>1000000</v>
      </c>
      <c r="AJ42" s="141">
        <v>4150000</v>
      </c>
      <c r="AK42" s="151">
        <v>0</v>
      </c>
      <c r="AL42" s="149">
        <f t="shared" si="84"/>
        <v>4.1500000000000004</v>
      </c>
      <c r="AM42" s="134">
        <v>2</v>
      </c>
      <c r="AN42" s="155">
        <f>INDEX('[1]Transit Time'!$A:$DC,MATCH(I42,'[1]Transit Time'!$A:$A,0),MATCH(N42,'[1]Transit Time'!$A$1:$DC$1,0))+INDEX('[1]Transit Time'!$A:$DC,MATCH(N42,'[1]Transit Time'!$A:$A,0),MATCH(Y42,'[1]Transit Time'!$A$1:$DC$1,0))+INDEX('[1]Transit Time'!$A:$DC,MATCH(Y42,'[1]Transit Time'!$A:$A,0),MATCH(AG42,'[1]Transit Time'!$A$1:$DC$1,0))-VLOOKUP($I42,Port_Info,4,FALSE)+VLOOKUP($AG42,Port_Info,4,FALSE)</f>
        <v>34</v>
      </c>
      <c r="AO42" s="143">
        <f t="shared" si="85"/>
        <v>0.09</v>
      </c>
      <c r="AP42" s="143">
        <f t="shared" si="86"/>
        <v>0.17</v>
      </c>
      <c r="AQ42" s="143">
        <f t="shared" si="87"/>
        <v>0</v>
      </c>
      <c r="AR42" s="143">
        <v>0</v>
      </c>
      <c r="AS42" s="143">
        <v>0</v>
      </c>
      <c r="AT42" s="143">
        <f t="shared" si="88"/>
        <v>0.01</v>
      </c>
      <c r="AU42" s="143">
        <f t="shared" si="89"/>
        <v>0.01</v>
      </c>
      <c r="AV42" s="29" t="e">
        <f>IF(INDEX(Control!$Q$3:$S$36,MATCH($AG42,Control!$Q$3:$Q$36,0),MATCH(AV$6,Control!$Q$3:$S$3,0))=1,$BL$12*$BM$12,0)</f>
        <v>#N/A</v>
      </c>
      <c r="AW42" s="29" t="e">
        <f>IF(INDEX(Control!$Q$3:$S$36,MATCH($AG42,Control!$Q$3:$Q$36,0),MATCH(AW$6,Control!$Q$3:$S$3,0))=1,$BL$13/$AI42,0)</f>
        <v>#N/A</v>
      </c>
      <c r="AX42" s="143">
        <f t="shared" si="90"/>
        <v>0</v>
      </c>
      <c r="AY42" s="143">
        <f t="shared" si="91"/>
        <v>0.57999999999999996</v>
      </c>
      <c r="AZ42" s="149" t="e">
        <f t="shared" si="92"/>
        <v>#N/A</v>
      </c>
      <c r="BA42" s="149" t="e">
        <f t="shared" si="93"/>
        <v>#N/A</v>
      </c>
      <c r="BB42" s="149">
        <f t="shared" si="94"/>
        <v>-0.35</v>
      </c>
      <c r="BC42" s="30" t="e">
        <f t="shared" si="95"/>
        <v>#N/A</v>
      </c>
      <c r="BE42" s="153">
        <f>INDEX('[1]Transit Time'!$A:$DC,MATCH(I42,'[1]Transit Time'!$A:$A,0),MATCH(N42,'[1]Transit Time'!$A$1:$DC$1,0))+INDEX('[1]Transit Time'!$A:$DC,MATCH(N42,'[1]Transit Time'!$A:$A,0),MATCH(Y42,'[1]Transit Time'!$A$1:$DC$1,0))+INDEX('[1]Transit Time'!$A:$DC,MATCH(Y42,'[1]Transit Time'!$A:$A,0),MATCH(AG42,'[1]Transit Time'!$A$1:$DC$1,0))</f>
        <v>54</v>
      </c>
      <c r="BG42" s="163">
        <f t="shared" si="96"/>
        <v>43838</v>
      </c>
      <c r="BH42" s="163">
        <f t="shared" si="97"/>
        <v>43840</v>
      </c>
      <c r="BL42" s="132"/>
      <c r="BM42" s="132"/>
    </row>
    <row r="43" spans="1:65" s="152" customFormat="1" ht="17.149999999999999" hidden="1" customHeight="1" thickBot="1" x14ac:dyDescent="0.4">
      <c r="A43" s="35"/>
      <c r="B43" s="163">
        <f t="shared" si="62"/>
        <v>43784</v>
      </c>
      <c r="C43" s="163">
        <f t="shared" si="63"/>
        <v>43786</v>
      </c>
      <c r="D43"/>
      <c r="E43" s="8"/>
      <c r="F43" s="142">
        <v>16.18</v>
      </c>
      <c r="G43" s="142">
        <f>INDEX(Control!$E$17:$L$21,MATCH(P43,Control!$E$17:$E$21,0),MATCH(I43,Control!$E$17:$L$17,0))</f>
        <v>0.5</v>
      </c>
      <c r="H43" s="142">
        <v>18</v>
      </c>
      <c r="I43" s="142" t="str">
        <f t="shared" si="75"/>
        <v>La Paloma (Alpha Ligh. Zone)</v>
      </c>
      <c r="J43" s="19">
        <f t="shared" si="76"/>
        <v>43802</v>
      </c>
      <c r="K43" s="19">
        <f t="shared" si="76"/>
        <v>43804</v>
      </c>
      <c r="L43" s="144">
        <f>INDEX(Vessel_Minimum_MT,MATCH(P43,Control!$E$11:$E$15,0),MATCH(I43,Control!$E$11:$L$11,0))</f>
        <v>145000</v>
      </c>
      <c r="M43" s="144">
        <f t="shared" si="77"/>
        <v>144964.56185567012</v>
      </c>
      <c r="N43" s="142" t="s">
        <v>55</v>
      </c>
      <c r="O43" s="142" t="str">
        <f t="shared" si="78"/>
        <v>LATAM EAST/CARIBS</v>
      </c>
      <c r="P43" s="147" t="s">
        <v>24</v>
      </c>
      <c r="Q43" s="141">
        <v>1000000</v>
      </c>
      <c r="R43" s="13">
        <v>0</v>
      </c>
      <c r="S43" s="14">
        <v>80</v>
      </c>
      <c r="T43" s="148">
        <f t="shared" si="79"/>
        <v>1.8768800000000001</v>
      </c>
      <c r="U43" s="2"/>
      <c r="V43" s="138">
        <v>0</v>
      </c>
      <c r="W43" s="138">
        <f>INDEX(Control!$E$17:$L$21,MATCH(AF43,Control!$E$17:$E$21,0),MATCH(Y43,Control!$E$17:$L$17,0))</f>
        <v>0.5</v>
      </c>
      <c r="X43" s="138">
        <v>44</v>
      </c>
      <c r="Y43" s="138" t="s">
        <v>63</v>
      </c>
      <c r="Z43" s="139">
        <v>43430</v>
      </c>
      <c r="AA43" s="139">
        <f t="shared" si="80"/>
        <v>43434</v>
      </c>
      <c r="AB43" s="139">
        <f t="shared" si="81"/>
        <v>43448</v>
      </c>
      <c r="AC43" s="139">
        <f t="shared" si="81"/>
        <v>43452</v>
      </c>
      <c r="AD43" s="140">
        <f>INDEX(Vessel_Minimum_MT,MATCH(AF43,Control!$E$11:$E$15,0),MATCH(Y43,Control!$E$11:$L$11,0))</f>
        <v>270000</v>
      </c>
      <c r="AE43" s="140">
        <f t="shared" si="82"/>
        <v>289929.12371134025</v>
      </c>
      <c r="AF43" s="147" t="s">
        <v>25</v>
      </c>
      <c r="AG43" s="26" t="s">
        <v>86</v>
      </c>
      <c r="AH43" s="142" t="str">
        <f t="shared" si="83"/>
        <v>Panama WC/INDIA</v>
      </c>
      <c r="AI43" s="15">
        <v>2000000</v>
      </c>
      <c r="AJ43" s="141">
        <v>4500000</v>
      </c>
      <c r="AK43" s="151">
        <v>0</v>
      </c>
      <c r="AL43" s="149">
        <f t="shared" si="84"/>
        <v>2.25</v>
      </c>
      <c r="AM43" s="134">
        <v>2</v>
      </c>
      <c r="AN43" s="56">
        <f>30-VLOOKUP($I43,Port_Info,4,FALSE)</f>
        <v>0</v>
      </c>
      <c r="AO43" s="143">
        <f t="shared" si="85"/>
        <v>5.5E-2</v>
      </c>
      <c r="AP43" s="143">
        <f t="shared" si="86"/>
        <v>0</v>
      </c>
      <c r="AQ43" s="143">
        <f t="shared" si="87"/>
        <v>0</v>
      </c>
      <c r="AR43" s="143">
        <v>0</v>
      </c>
      <c r="AS43" s="143">
        <v>0</v>
      </c>
      <c r="AT43" s="143">
        <f t="shared" si="88"/>
        <v>0.01</v>
      </c>
      <c r="AU43" s="143">
        <f t="shared" si="89"/>
        <v>0.01</v>
      </c>
      <c r="AV43" s="29" t="e">
        <f>IF(INDEX(Control!$Q$3:$S$36,MATCH($AG43,Control!$Q$3:$Q$36,0),MATCH(AV$6,Control!$Q$3:$S$3,0))=1,$BL$12*$BM$12,0)</f>
        <v>#N/A</v>
      </c>
      <c r="AW43" s="29" t="e">
        <f>IF(INDEX(Control!$Q$3:$S$36,MATCH($AG43,Control!$Q$3:$Q$36,0),MATCH(AW$6,Control!$Q$3:$S$3,0))=1,$BL$13/$AI43,0)</f>
        <v>#N/A</v>
      </c>
      <c r="AX43" s="143">
        <f t="shared" si="90"/>
        <v>0</v>
      </c>
      <c r="AY43" s="143">
        <f t="shared" si="91"/>
        <v>0.57999999999999996</v>
      </c>
      <c r="AZ43" s="149" t="e">
        <f t="shared" si="92"/>
        <v>#N/A</v>
      </c>
      <c r="BA43" s="149" t="e">
        <f t="shared" si="93"/>
        <v>#N/A</v>
      </c>
      <c r="BB43" s="149">
        <f t="shared" si="94"/>
        <v>-0.35</v>
      </c>
      <c r="BC43" s="32" t="e">
        <f t="shared" si="95"/>
        <v>#N/A</v>
      </c>
      <c r="BD43" s="2"/>
      <c r="BE43" s="153">
        <f>INDEX('[1]Transit Time'!$A:$DC,MATCH(I43,'[1]Transit Time'!$A:$A,0),MATCH(N43,'[1]Transit Time'!$A$1:$DC$1,0))+INDEX('[1]Transit Time'!$A:$DC,MATCH(N43,'[1]Transit Time'!$A:$A,0),MATCH(Y43,'[1]Transit Time'!$A$1:$DC$1,0))+INDEX('[1]Transit Time'!$A:$DC,MATCH(Y43,'[1]Transit Time'!$A:$A,0),MATCH(AG43,'[1]Transit Time'!$A$1:$DC$1,0))</f>
        <v>54</v>
      </c>
      <c r="BF43" s="2"/>
      <c r="BG43" s="163">
        <f t="shared" si="96"/>
        <v>43838</v>
      </c>
      <c r="BH43" s="163">
        <f t="shared" si="97"/>
        <v>43840</v>
      </c>
      <c r="BI43"/>
      <c r="BJ43" s="2"/>
      <c r="BK43" s="2"/>
      <c r="BL43" s="35"/>
      <c r="BM43" s="35"/>
    </row>
    <row r="44" spans="1:65" s="152" customFormat="1" ht="19.5" customHeight="1" thickBot="1" x14ac:dyDescent="0.5">
      <c r="A44" s="35"/>
      <c r="B44"/>
      <c r="C44"/>
      <c r="D44"/>
      <c r="E44" s="1049"/>
      <c r="F44" s="1050"/>
      <c r="G44" s="1050"/>
      <c r="H44" s="1050"/>
      <c r="I44" s="1050"/>
      <c r="J44" s="1050"/>
      <c r="K44" s="1050"/>
      <c r="L44" s="1050"/>
      <c r="M44" s="1050"/>
      <c r="N44" s="1050"/>
      <c r="O44" s="1050"/>
      <c r="P44" s="1050"/>
      <c r="Q44" s="1050"/>
      <c r="R44" s="1050"/>
      <c r="S44" s="1050"/>
      <c r="T44" s="1050"/>
      <c r="U44" s="2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49" t="s">
        <v>317</v>
      </c>
      <c r="AG44" s="1050"/>
      <c r="AH44" s="1050"/>
      <c r="AI44" s="1050"/>
      <c r="AJ44" s="1050"/>
      <c r="AK44" s="1050"/>
      <c r="AL44" s="1050"/>
      <c r="AM44" s="1050"/>
      <c r="AN44" s="1050"/>
      <c r="AO44" s="1050"/>
      <c r="AP44" s="1050"/>
      <c r="AQ44" s="1050"/>
      <c r="AR44" s="1050"/>
      <c r="AS44" s="1050"/>
      <c r="AT44" s="1050"/>
      <c r="AU44" s="1050"/>
      <c r="AV44" s="1050"/>
      <c r="AW44" s="1050"/>
      <c r="AX44" s="1050"/>
      <c r="AY44" s="1050"/>
      <c r="AZ44" s="1050"/>
      <c r="BA44" s="1050"/>
      <c r="BB44" s="1050"/>
      <c r="BC44" s="1051"/>
      <c r="BD44" s="2"/>
      <c r="BE44"/>
      <c r="BF44" s="2"/>
      <c r="BG44"/>
      <c r="BH44"/>
      <c r="BI44"/>
    </row>
    <row r="45" spans="1:65" ht="31" x14ac:dyDescent="0.35">
      <c r="B45" s="1011" t="s">
        <v>167</v>
      </c>
      <c r="C45" s="1011"/>
      <c r="E45" s="59" t="s">
        <v>276</v>
      </c>
      <c r="F45" s="60" t="s">
        <v>172</v>
      </c>
      <c r="G45" s="60" t="s">
        <v>2</v>
      </c>
      <c r="H45" s="60" t="s">
        <v>195</v>
      </c>
      <c r="I45" s="60" t="s">
        <v>173</v>
      </c>
      <c r="J45" s="60" t="s">
        <v>308</v>
      </c>
      <c r="K45" s="60"/>
      <c r="L45" s="60" t="s">
        <v>174</v>
      </c>
      <c r="M45" s="60" t="s">
        <v>175</v>
      </c>
      <c r="N45" s="60" t="s">
        <v>177</v>
      </c>
      <c r="O45" s="60" t="s">
        <v>178</v>
      </c>
      <c r="P45" s="61" t="s">
        <v>176</v>
      </c>
      <c r="Q45" s="59" t="s">
        <v>200</v>
      </c>
      <c r="R45" s="59" t="str">
        <f>$R$6</f>
        <v>WS Rate</v>
      </c>
      <c r="S45" s="62" t="s">
        <v>202</v>
      </c>
      <c r="T45" s="63" t="s">
        <v>309</v>
      </c>
      <c r="U45" s="2"/>
      <c r="V45" s="120" t="s">
        <v>172</v>
      </c>
      <c r="W45" s="120" t="e">
        <f>INDEX(Control!$E$17:$L$21,MATCH(AF45,Control!$E$17:$E$21,0),MATCH(Y45,Control!$E$17:$L$17,0))</f>
        <v>#N/A</v>
      </c>
      <c r="X45" s="120" t="s">
        <v>195</v>
      </c>
      <c r="Y45" s="120" t="s">
        <v>173</v>
      </c>
      <c r="Z45" s="120" t="s">
        <v>167</v>
      </c>
      <c r="AA45" s="120"/>
      <c r="AB45" s="120" t="s">
        <v>308</v>
      </c>
      <c r="AC45" s="120"/>
      <c r="AD45" s="120" t="s">
        <v>174</v>
      </c>
      <c r="AE45" s="120" t="s">
        <v>175</v>
      </c>
      <c r="AF45" s="120" t="s">
        <v>176</v>
      </c>
      <c r="AG45" s="120" t="s">
        <v>177</v>
      </c>
      <c r="AH45" s="120" t="s">
        <v>178</v>
      </c>
      <c r="AI45" s="120" t="s">
        <v>200</v>
      </c>
      <c r="AJ45" s="146" t="str">
        <f>$AJ$6</f>
        <v xml:space="preserve">Current WS Rate </v>
      </c>
      <c r="AK45" s="25" t="s">
        <v>202</v>
      </c>
      <c r="AL45" s="150" t="s">
        <v>182</v>
      </c>
      <c r="AM45" s="136" t="str">
        <f t="shared" ref="AM45:BC45" si="98">AM37</f>
        <v xml:space="preserve">Demurrage </v>
      </c>
      <c r="AN45" s="146" t="str">
        <f t="shared" si="98"/>
        <v xml:space="preserve">TVOM Days </v>
      </c>
      <c r="AO45" s="136" t="str">
        <f t="shared" si="98"/>
        <v>Demurrage</v>
      </c>
      <c r="AP45" s="136" t="str">
        <f t="shared" si="98"/>
        <v>TVOM</v>
      </c>
      <c r="AQ45" s="136" t="str">
        <f t="shared" si="98"/>
        <v>Ecuador Port Charges</v>
      </c>
      <c r="AR45" s="136" t="str">
        <f t="shared" si="98"/>
        <v>Lightering/Reverse Lightering/Extra Port Cost</v>
      </c>
      <c r="AS45" s="136" t="str">
        <f t="shared" si="98"/>
        <v>Panama Canal</v>
      </c>
      <c r="AT45" s="136" t="str">
        <f t="shared" si="98"/>
        <v>Insurance</v>
      </c>
      <c r="AU45" s="136" t="str">
        <f t="shared" si="98"/>
        <v>Inspection</v>
      </c>
      <c r="AV45" s="136" t="str">
        <f t="shared" si="98"/>
        <v>Outturn Losses</v>
      </c>
      <c r="AW45" s="136" t="str">
        <f t="shared" si="98"/>
        <v>ECA costs</v>
      </c>
      <c r="AX45" s="136" t="str">
        <f t="shared" si="98"/>
        <v>Other costs</v>
      </c>
      <c r="AY45" s="136" t="str">
        <f t="shared" si="98"/>
        <v>Pipeline Fee</v>
      </c>
      <c r="AZ45" s="150" t="str">
        <f t="shared" si="98"/>
        <v>Total Secondary Costs</v>
      </c>
      <c r="BA45" s="150" t="str">
        <f t="shared" si="98"/>
        <v>All In Cost</v>
      </c>
      <c r="BB45" s="150" t="str">
        <f t="shared" si="98"/>
        <v>Structure</v>
      </c>
      <c r="BC45" s="137" t="str">
        <f t="shared" si="98"/>
        <v>DES Price</v>
      </c>
      <c r="BE45" s="137" t="s">
        <v>195</v>
      </c>
      <c r="BG45" s="1011" t="s">
        <v>196</v>
      </c>
      <c r="BH45" s="1011"/>
      <c r="BJ45" s="152"/>
      <c r="BK45" s="152"/>
      <c r="BL45" s="152"/>
      <c r="BM45" s="152"/>
    </row>
    <row r="46" spans="1:65" ht="14.15" customHeight="1" x14ac:dyDescent="0.35">
      <c r="B46" s="163">
        <f t="shared" ref="B46:B48" si="99">+$B$7</f>
        <v>43784</v>
      </c>
      <c r="C46" s="163">
        <f t="shared" ref="C46:C48" si="100">IF(ISBLANK(B46),"",B46+2)</f>
        <v>43786</v>
      </c>
      <c r="E46" s="64"/>
      <c r="F46" s="65">
        <f>IF(I46=N46,0,INDEX('[2]Flat Rates 2022'!$A:$DB,MATCH(I46,'[2]Flat Rates 2022'!$A:$A,0),MATCH(N46,'[2]Flat Rates 2022'!$A$1:$DB$1,0)))</f>
        <v>0</v>
      </c>
      <c r="G46" s="65">
        <f>INDEX(Control!$E$17:$L$21,MATCH(P46,Control!$E$17:$E$21,0),MATCH(I46,Control!$E$17:$L$17,0))</f>
        <v>0.5</v>
      </c>
      <c r="H46" s="65" t="e">
        <v>#N/A</v>
      </c>
      <c r="I46" s="65" t="str">
        <f t="shared" ref="I46:I48" si="101">$I$7</f>
        <v>La Paloma (Alpha Ligh. Zone)</v>
      </c>
      <c r="J46" s="66" t="e">
        <f t="shared" ref="J46:K48" si="102">+B46+$H46</f>
        <v>#N/A</v>
      </c>
      <c r="K46" s="66" t="e">
        <f t="shared" si="102"/>
        <v>#N/A</v>
      </c>
      <c r="L46" s="67">
        <f>INDEX(Vessel_Minimum_MT,MATCH(P46,Control!$E$11:$E$15,0),MATCH(I46,Control!$E$11:$L$11,0))</f>
        <v>50000</v>
      </c>
      <c r="M46" s="67">
        <f>Q46/$BL$15</f>
        <v>68858.166881443307</v>
      </c>
      <c r="N46" s="65" t="s">
        <v>65</v>
      </c>
      <c r="O46" s="65" t="str">
        <f>IF(N46=I46,"",CONCATENATE(CONCATENATE(VLOOKUP(I46,Zones,2,FALSE),"/",VLOOKUP(N46,Zones,2,FALSE))))</f>
        <v/>
      </c>
      <c r="P46" s="156" t="s">
        <v>22</v>
      </c>
      <c r="Q46" s="68">
        <v>475000</v>
      </c>
      <c r="R46" s="69">
        <v>0</v>
      </c>
      <c r="S46" s="70">
        <v>0</v>
      </c>
      <c r="T46" s="71">
        <f t="shared" ref="T46:T48" si="103">IF($I46="Esmeraldas",IF(R46&gt;1000,IF(S46=0,R46,S46)/Q46*1.1,((L46*F46*(IF(S46=0,R46,S46)/100))+IF(M46&lt;L46,0,(M46-L46)*F46*IF(S46=0,R46,S46)/100*G46))/Q46*1.1),IF(R46&gt;1000,IF(S46=0,R46,S46)/Q46,((L46*F46*(IF(S46=0,R46,S46)/100))+IF(M46&lt;L46,0,(M46-L46)*F46*IF(S46=0,R46,S46)/100*G46)))/Q46)</f>
        <v>0</v>
      </c>
      <c r="U46" s="2"/>
      <c r="V46" s="138">
        <v>42.04</v>
      </c>
      <c r="W46" s="138">
        <f>INDEX(Control!$E$17:$L$21,MATCH(AF46,Control!$E$17:$E$21,0),MATCH(Y46,Control!$E$17:$L$17,0))</f>
        <v>0.5</v>
      </c>
      <c r="X46" s="138">
        <v>37</v>
      </c>
      <c r="Y46" s="138" t="s">
        <v>65</v>
      </c>
      <c r="Z46" s="139">
        <v>43430</v>
      </c>
      <c r="AA46" s="139">
        <f t="shared" ref="AA46:AA48" si="104">+Z46+4</f>
        <v>43434</v>
      </c>
      <c r="AB46" s="139" t="e">
        <f t="shared" ref="AB46:AC48" si="105">+Z46+$H46</f>
        <v>#N/A</v>
      </c>
      <c r="AC46" s="139" t="e">
        <f t="shared" si="105"/>
        <v>#N/A</v>
      </c>
      <c r="AD46" s="140">
        <f>INDEX(Vessel_Minimum_MT,MATCH(AF46,Control!$E$11:$E$15,0),MATCH(Y46,Control!$E$11:$L$11,0))</f>
        <v>270000</v>
      </c>
      <c r="AE46" s="140">
        <f>AI46/$BL$15</f>
        <v>282680.89561855671</v>
      </c>
      <c r="AF46" s="48" t="s">
        <v>25</v>
      </c>
      <c r="AG46" s="53" t="s">
        <v>100</v>
      </c>
      <c r="AH46" s="142" t="str">
        <f>IF(AG46=Y46,"",CONCATENATE(CONCATENATE(VLOOKUP(Y46,Zones,2,FALSE),"/",VLOOKUP(AG46,Zones,2,FALSE))))</f>
        <v>LATAM EAST/KOREA</v>
      </c>
      <c r="AI46" s="54">
        <v>1950000</v>
      </c>
      <c r="AJ46" s="55">
        <v>45</v>
      </c>
      <c r="AK46" s="151">
        <f>AK47</f>
        <v>35</v>
      </c>
      <c r="AL46" s="149">
        <f t="shared" ref="AL46:AL48" si="106">IF($Y46="Esmeraldas",IF(AJ46&gt;1000,IF(AK46=0,AJ46,AK46)/AI46*1.1,((AD46*V46*(IF(AK46=0,AJ46,AK46)/100))+IF(AE46&lt;AD46,0,(AE46-AD46)*V46*IF(AK46=0,AJ46,AK46)/100*W46))/AI46*1.1),IF(AJ46&gt;1000,IF(AK46=0,AJ46,AK46)/AI46,((AD46*V46*(IF(AK46=0,AJ46,AK46)/100))+IF(AE46&lt;AD46,0,(AE46-AD46)*V46*IF(AK46=0,AJ46,AK46)/100*W46))/AI46))</f>
        <v>2.0851658200337031</v>
      </c>
      <c r="AM46" s="134">
        <v>2</v>
      </c>
      <c r="AN46" s="155">
        <f>INDEX('[1]Transit Time'!$A:$DC,MATCH(I46,'[1]Transit Time'!$A:$A,0),MATCH(N46,'[1]Transit Time'!$A$1:$DC$1,0))+INDEX('[1]Transit Time'!$A:$DC,MATCH(N46,'[1]Transit Time'!$A:$A,0),MATCH(Y46,'[1]Transit Time'!$A$1:$DC$1,0))+INDEX('[1]Transit Time'!$A:$DC,MATCH(Y46,'[1]Transit Time'!$A:$A,0),MATCH(AG46,'[1]Transit Time'!$A$1:$DC$1,0))-VLOOKUP($I46,Port_Info,4,FALSE)+VLOOKUP($AG46,Port_Info,4,FALSE)</f>
        <v>17</v>
      </c>
      <c r="AO46" s="143">
        <f>AM46*VLOOKUP($AF46,$BJ$17:$BM$21,3,FALSE)/$AI46</f>
        <v>5.6410256410256411E-2</v>
      </c>
      <c r="AP46" s="143">
        <f>IF(AN46&lt;0,0,$AN46*$BL$9)</f>
        <v>8.5000000000000006E-2</v>
      </c>
      <c r="AQ46" s="143">
        <f>IF($I46="Esmeraldas",$BL$8,0)</f>
        <v>0</v>
      </c>
      <c r="AR46" s="143">
        <v>0</v>
      </c>
      <c r="AS46" s="143">
        <v>0</v>
      </c>
      <c r="AT46" s="143">
        <f>$BL$10</f>
        <v>0.01</v>
      </c>
      <c r="AU46" s="143">
        <f>$BL$11</f>
        <v>0.01</v>
      </c>
      <c r="AV46" s="143" t="e">
        <f>IF(INDEX(Control!$Q$3:$S$36,MATCH($AG46,Control!$Q$3:$Q$36,0),MATCH(AV$6,Control!$Q$3:$S$3,0))=1,$BL$12*$BM$12,0)</f>
        <v>#N/A</v>
      </c>
      <c r="AW46" s="143" t="e">
        <f>IF(INDEX(Control!$Q$3:$S$36,MATCH($AG46,Control!$Q$3:$Q$36,0),MATCH(AW$6,Control!$Q$3:$S$3,0))=1,$BL$13/$AI46,0)</f>
        <v>#N/A</v>
      </c>
      <c r="AX46" s="143">
        <f>$BL$14</f>
        <v>0</v>
      </c>
      <c r="AY46" s="143">
        <f t="shared" ref="AY46:AY48" si="107">IF(AND(N46="Chiriqui Grande",Y46="Puerto Armuelles"),$T$3,0)</f>
        <v>0</v>
      </c>
      <c r="AZ46" s="149" t="e">
        <f t="shared" ref="AZ46:AZ47" si="108">SUM(AO46:AY46)</f>
        <v>#N/A</v>
      </c>
      <c r="BA46" s="149" t="e">
        <f>+T46+AL46+AZ46</f>
        <v>#N/A</v>
      </c>
      <c r="BB46" s="149">
        <f t="shared" ref="BB46:BB48" si="109">$BB$3</f>
        <v>-0.35</v>
      </c>
      <c r="BC46" s="110" t="e">
        <f t="shared" ref="BC46:BC48" si="110">$P$3+BA46+BB46+$AH$3</f>
        <v>#N/A</v>
      </c>
      <c r="BE46" s="153">
        <f>INDEX('[1]Transit Time'!$A:$DC,MATCH(I46,'[1]Transit Time'!$A:$A,0),MATCH(N46,'[1]Transit Time'!$A$1:$DC$1,0))+INDEX('[1]Transit Time'!$A:$DC,MATCH(N46,'[1]Transit Time'!$A:$A,0),MATCH(Y46,'[1]Transit Time'!$A$1:$DC$1,0))+INDEX('[1]Transit Time'!$A:$DC,MATCH(Y46,'[1]Transit Time'!$A:$A,0),MATCH(AG46,'[1]Transit Time'!$A$1:$DC$1,0))</f>
        <v>37</v>
      </c>
      <c r="BG46" s="163">
        <f>IF(ISBLANK(B46),"",B46+$BE46)</f>
        <v>43821</v>
      </c>
      <c r="BH46" s="163">
        <f t="shared" ref="BH46:BH48" si="111">IFERROR(IF(ISBLANK(C46),"",C46+$BE46),"")</f>
        <v>43823</v>
      </c>
      <c r="BJ46" s="133"/>
      <c r="BK46" s="45"/>
      <c r="BM46" s="44"/>
    </row>
    <row r="47" spans="1:65" x14ac:dyDescent="0.35">
      <c r="B47" s="163">
        <f t="shared" si="99"/>
        <v>43784</v>
      </c>
      <c r="C47" s="163">
        <f t="shared" si="100"/>
        <v>43786</v>
      </c>
      <c r="E47" s="157"/>
      <c r="F47" s="158">
        <f>IF(I47=N47,0,INDEX('[2]Flat Rates 2022'!$A:$DB,MATCH(I47,'[2]Flat Rates 2022'!$A:$A,0),MATCH(N47,'[2]Flat Rates 2022'!$A$1:$DB$1,0)))</f>
        <v>0</v>
      </c>
      <c r="G47" s="158">
        <f>INDEX(Control!$E$17:$L$21,MATCH(P47,Control!$E$17:$E$21,0),MATCH(I47,Control!$E$17:$L$17,0))</f>
        <v>0.5</v>
      </c>
      <c r="H47" s="158" t="e">
        <v>#N/A</v>
      </c>
      <c r="I47" s="158" t="str">
        <f t="shared" si="101"/>
        <v>La Paloma (Alpha Ligh. Zone)</v>
      </c>
      <c r="J47" s="72" t="e">
        <f t="shared" si="102"/>
        <v>#N/A</v>
      </c>
      <c r="K47" s="72" t="e">
        <f t="shared" si="102"/>
        <v>#N/A</v>
      </c>
      <c r="L47" s="73">
        <f>INDEX(Vessel_Minimum_MT,MATCH(P47,Control!$E$11:$E$15,0),MATCH(I47,Control!$E$11:$L$11,0))</f>
        <v>50000</v>
      </c>
      <c r="M47" s="73">
        <f>Q47/$BL$15</f>
        <v>68858.166881443307</v>
      </c>
      <c r="N47" s="158" t="s">
        <v>65</v>
      </c>
      <c r="O47" s="158" t="str">
        <f>IF(N47=I47,"",CONCATENATE(CONCATENATE(VLOOKUP(I47,Zones,2,FALSE),"/",VLOOKUP(N47,Zones,2,FALSE))))</f>
        <v/>
      </c>
      <c r="P47" s="156" t="s">
        <v>22</v>
      </c>
      <c r="Q47" s="159">
        <v>475000</v>
      </c>
      <c r="R47" s="160">
        <v>0</v>
      </c>
      <c r="S47" s="161">
        <v>0</v>
      </c>
      <c r="T47" s="162">
        <f t="shared" si="103"/>
        <v>0</v>
      </c>
      <c r="U47" s="2"/>
      <c r="V47" s="138">
        <f>INDEX('[2]Flat Rates 2022'!$A:$DB,MATCH(Y47,'[2]Flat Rates 2022'!$A:$A,0),MATCH(AG47,'[2]Flat Rates 2022'!$A$1:$DB$1,0))</f>
        <v>32.92</v>
      </c>
      <c r="W47" s="138">
        <f>INDEX(Control!$E$17:$L$21,MATCH(AF47,Control!$E$17:$E$21,0),MATCH(Y47,Control!$E$17:$L$17,0))</f>
        <v>0.5</v>
      </c>
      <c r="X47" s="138">
        <v>37</v>
      </c>
      <c r="Y47" s="138" t="s">
        <v>65</v>
      </c>
      <c r="Z47" s="139">
        <v>43430</v>
      </c>
      <c r="AA47" s="139">
        <f t="shared" si="104"/>
        <v>43434</v>
      </c>
      <c r="AB47" s="139" t="e">
        <f t="shared" si="105"/>
        <v>#N/A</v>
      </c>
      <c r="AC47" s="139" t="e">
        <f t="shared" si="105"/>
        <v>#N/A</v>
      </c>
      <c r="AD47" s="140">
        <f>INDEX(Vessel_Minimum_MT,MATCH(AF47,Control!$E$11:$E$15,0),MATCH(Y47,Control!$E$11:$L$11,0))</f>
        <v>270000</v>
      </c>
      <c r="AE47" s="140">
        <f>AI47/$BL$15</f>
        <v>282680.89561855671</v>
      </c>
      <c r="AF47" s="147" t="s">
        <v>25</v>
      </c>
      <c r="AG47" s="142" t="s">
        <v>100</v>
      </c>
      <c r="AH47" s="142" t="str">
        <f>IF(AG47=Y47,"",CONCATENATE(CONCATENATE(VLOOKUP(Y47,Zones,2,FALSE),"/",VLOOKUP(AG47,Zones,2,FALSE))))</f>
        <v>LATAM EAST/KOREA</v>
      </c>
      <c r="AI47" s="141">
        <v>1950000</v>
      </c>
      <c r="AJ47" s="141">
        <v>45</v>
      </c>
      <c r="AK47" s="197">
        <v>35</v>
      </c>
      <c r="AL47" s="149">
        <f t="shared" si="106"/>
        <v>1.6328177639274386</v>
      </c>
      <c r="AM47" s="134">
        <v>2</v>
      </c>
      <c r="AN47" s="155">
        <f>INDEX('[1]Transit Time'!$A:$DC,MATCH(I47,'[1]Transit Time'!$A:$A,0),MATCH(N47,'[1]Transit Time'!$A$1:$DC$1,0))+INDEX('[1]Transit Time'!$A:$DC,MATCH(N47,'[1]Transit Time'!$A:$A,0),MATCH(Y47,'[1]Transit Time'!$A$1:$DC$1,0))+INDEX('[1]Transit Time'!$A:$DC,MATCH(Y47,'[1]Transit Time'!$A:$A,0),MATCH(AG47,'[1]Transit Time'!$A$1:$DC$1,0))-VLOOKUP($I47,Port_Info,4,FALSE)+VLOOKUP($AG47,Port_Info,4,FALSE)</f>
        <v>17</v>
      </c>
      <c r="AO47" s="143">
        <f>AM47*VLOOKUP($AF47,$BJ$17:$BM$21,3,FALSE)/$AI47</f>
        <v>5.6410256410256411E-2</v>
      </c>
      <c r="AP47" s="143">
        <f>IF(AN47&lt;0,0,$AN47*$BL$9)</f>
        <v>8.5000000000000006E-2</v>
      </c>
      <c r="AQ47" s="143">
        <f>IF($I47="Esmeraldas",$BL$8,0)</f>
        <v>0</v>
      </c>
      <c r="AR47" s="143">
        <v>0</v>
      </c>
      <c r="AS47" s="143">
        <v>0</v>
      </c>
      <c r="AT47" s="143">
        <f>$BL$10</f>
        <v>0.01</v>
      </c>
      <c r="AU47" s="143">
        <f>$BL$11</f>
        <v>0.01</v>
      </c>
      <c r="AV47" s="143" t="e">
        <f>IF(INDEX(Control!$Q$3:$S$36,MATCH($AG47,Control!$Q$3:$Q$36,0),MATCH(AV$6,Control!$Q$3:$S$3,0))=1,$BL$12*$BM$12,0)</f>
        <v>#N/A</v>
      </c>
      <c r="AW47" s="143" t="e">
        <f>IF(INDEX(Control!$Q$3:$S$36,MATCH($AG47,Control!$Q$3:$Q$36,0),MATCH(AW$6,Control!$Q$3:$S$3,0))=1,$BL$13/$AI47,0)</f>
        <v>#N/A</v>
      </c>
      <c r="AX47" s="143">
        <f>$BL$14</f>
        <v>0</v>
      </c>
      <c r="AY47" s="143">
        <f t="shared" si="107"/>
        <v>0</v>
      </c>
      <c r="AZ47" s="149" t="e">
        <f t="shared" si="108"/>
        <v>#N/A</v>
      </c>
      <c r="BA47" s="149" t="e">
        <f>+T47+AL47+AZ47</f>
        <v>#N/A</v>
      </c>
      <c r="BB47" s="149">
        <f t="shared" si="109"/>
        <v>-0.35</v>
      </c>
      <c r="BC47" s="135" t="e">
        <f t="shared" si="110"/>
        <v>#N/A</v>
      </c>
      <c r="BD47" s="152"/>
      <c r="BE47" s="153">
        <f>INDEX('[1]Transit Time'!$A:$DC,MATCH(I47,'[1]Transit Time'!$A:$A,0),MATCH(N47,'[1]Transit Time'!$A$1:$DC$1,0))+INDEX('[1]Transit Time'!$A:$DC,MATCH(N47,'[1]Transit Time'!$A:$A,0),MATCH(Y47,'[1]Transit Time'!$A$1:$DC$1,0))+INDEX('[1]Transit Time'!$A:$DC,MATCH(Y47,'[1]Transit Time'!$A:$A,0),MATCH(AG47,'[1]Transit Time'!$A$1:$DC$1,0))</f>
        <v>37</v>
      </c>
      <c r="BF47" s="152"/>
      <c r="BG47" s="163">
        <f>IF(ISBLANK(B47),"",B47+$BE47)</f>
        <v>43821</v>
      </c>
      <c r="BH47" s="163">
        <f t="shared" si="111"/>
        <v>43823</v>
      </c>
      <c r="BL47" s="132"/>
      <c r="BM47" s="132"/>
    </row>
    <row r="48" spans="1:65" s="152" customFormat="1" ht="17.149999999999999" customHeight="1" thickBot="1" x14ac:dyDescent="0.4">
      <c r="A48" s="35"/>
      <c r="B48" s="163">
        <f t="shared" si="99"/>
        <v>43784</v>
      </c>
      <c r="C48" s="163">
        <f t="shared" si="100"/>
        <v>43786</v>
      </c>
      <c r="D48"/>
      <c r="E48" s="157"/>
      <c r="F48" s="158">
        <f>IF(I48=N48,0,INDEX('[2]Flat Rates 2022'!$A:$DB,MATCH(I48,'[2]Flat Rates 2022'!$A:$A,0),MATCH(N48,'[2]Flat Rates 2022'!$A$1:$DB$1,0)))</f>
        <v>0</v>
      </c>
      <c r="G48" s="158">
        <f>INDEX(Control!$E$17:$L$21,MATCH(P48,Control!$E$17:$E$21,0),MATCH(I48,Control!$E$17:$L$17,0))</f>
        <v>0.5</v>
      </c>
      <c r="H48" s="158" t="e">
        <v>#N/A</v>
      </c>
      <c r="I48" s="158" t="str">
        <f t="shared" si="101"/>
        <v>La Paloma (Alpha Ligh. Zone)</v>
      </c>
      <c r="J48" s="72" t="e">
        <f t="shared" si="102"/>
        <v>#N/A</v>
      </c>
      <c r="K48" s="72" t="e">
        <f t="shared" si="102"/>
        <v>#N/A</v>
      </c>
      <c r="L48" s="73">
        <f>INDEX(Vessel_Minimum_MT,MATCH(P48,Control!$E$11:$E$15,0),MATCH(I48,Control!$E$11:$L$11,0))</f>
        <v>50000</v>
      </c>
      <c r="M48" s="73">
        <f>Q48/$BL$15</f>
        <v>68858.166881443307</v>
      </c>
      <c r="N48" s="158" t="s">
        <v>65</v>
      </c>
      <c r="O48" s="158" t="str">
        <f>IF(N48=I48,"",CONCATENATE(CONCATENATE(VLOOKUP(I48,Zones,2,FALSE),"/",VLOOKUP(N48,Zones,2,FALSE))))</f>
        <v/>
      </c>
      <c r="P48" s="156" t="s">
        <v>22</v>
      </c>
      <c r="Q48" s="159">
        <v>475000</v>
      </c>
      <c r="R48" s="160">
        <v>0</v>
      </c>
      <c r="S48" s="161">
        <v>0</v>
      </c>
      <c r="T48" s="162">
        <f t="shared" si="103"/>
        <v>0</v>
      </c>
      <c r="U48" s="2"/>
      <c r="V48" s="138">
        <f>INDEX('[2]Flat Rates 2022'!$A:$DB,MATCH(Y48,'[2]Flat Rates 2022'!$A:$A,0),MATCH(AG48,'[2]Flat Rates 2022'!$A$1:$DB$1,0))</f>
        <v>24.25</v>
      </c>
      <c r="W48" s="138">
        <f>INDEX(Control!$E$17:$L$21,MATCH(AF48,Control!$E$17:$E$21,0),MATCH(Y48,Control!$E$17:$L$17,0))</f>
        <v>0.5</v>
      </c>
      <c r="X48" s="138">
        <v>0</v>
      </c>
      <c r="Y48" s="138" t="s">
        <v>65</v>
      </c>
      <c r="Z48" s="139">
        <v>43430</v>
      </c>
      <c r="AA48" s="139">
        <f t="shared" si="104"/>
        <v>43434</v>
      </c>
      <c r="AB48" s="139" t="e">
        <f t="shared" si="105"/>
        <v>#N/A</v>
      </c>
      <c r="AC48" s="139" t="e">
        <f t="shared" si="105"/>
        <v>#N/A</v>
      </c>
      <c r="AD48" s="140">
        <f>INDEX(Vessel_Minimum_MT,MATCH(AF48,Control!$E$11:$E$15,0),MATCH(Y48,Control!$E$11:$L$11,0))</f>
        <v>145000</v>
      </c>
      <c r="AE48" s="140">
        <f>AI48/$BL$15</f>
        <v>144964.56185567012</v>
      </c>
      <c r="AF48" s="147" t="s">
        <v>24</v>
      </c>
      <c r="AG48" s="142" t="s">
        <v>86</v>
      </c>
      <c r="AH48" s="142" t="str">
        <f>IF(AG48=Y48,"",CONCATENATE(CONCATENATE(VLOOKUP(Y48,Zones,2,FALSE),"/",VLOOKUP(AG48,Zones,2,FALSE))))</f>
        <v>LATAM EAST/INDIA</v>
      </c>
      <c r="AI48" s="141">
        <v>1000000</v>
      </c>
      <c r="AJ48" s="141" t="e">
        <v>#N/A</v>
      </c>
      <c r="AK48" s="151">
        <v>95</v>
      </c>
      <c r="AL48" s="149" t="e">
        <f t="shared" si="106"/>
        <v>#N/A</v>
      </c>
      <c r="AM48" s="134">
        <v>2</v>
      </c>
      <c r="AN48" s="155">
        <f>INDEX('[1]Transit Time'!$A:$DC,MATCH(I48,'[1]Transit Time'!$A:$A,0),MATCH(N48,'[1]Transit Time'!$A$1:$DC$1,0))+INDEX('[1]Transit Time'!$A:$DC,MATCH(N48,'[1]Transit Time'!$A:$A,0),MATCH(Y48,'[1]Transit Time'!$A$1:$DC$1,0))+INDEX('[1]Transit Time'!$A:$DC,MATCH(Y48,'[1]Transit Time'!$A:$A,0),MATCH(AG48,'[1]Transit Time'!$A$1:$DC$1,0))-VLOOKUP($I48,Port_Info,4,FALSE)+VLOOKUP($AG48,Port_Info,4,FALSE)</f>
        <v>-20</v>
      </c>
      <c r="AO48" s="143">
        <f>AM48*VLOOKUP($AF48,$BJ$17:$BM$21,3,FALSE)/$AI48</f>
        <v>0.09</v>
      </c>
      <c r="AP48" s="143">
        <f>IF(AN48&lt;0,0,$AN48*$BL$9)</f>
        <v>0</v>
      </c>
      <c r="AQ48" s="143">
        <f>IF($I48="Esmeraldas",$BL$8,0)</f>
        <v>0</v>
      </c>
      <c r="AR48" s="143">
        <v>0</v>
      </c>
      <c r="AS48" s="143" t="e">
        <v>#N/A</v>
      </c>
      <c r="AT48" s="143">
        <f>$BL$10</f>
        <v>0.01</v>
      </c>
      <c r="AU48" s="143">
        <f>$BL$11</f>
        <v>0.01</v>
      </c>
      <c r="AV48" s="143" t="e">
        <f>IF(INDEX(Control!$Q$3:$S$36,MATCH($AG48,Control!$Q$3:$Q$36,0),MATCH(AV$6,Control!$Q$3:$S$3,0))=1,$BL$12*$BM$12,0)</f>
        <v>#N/A</v>
      </c>
      <c r="AW48" s="143" t="e">
        <f>IF(INDEX(Control!$Q$3:$S$36,MATCH($AG48,Control!$Q$3:$Q$36,0),MATCH(AW$6,Control!$Q$3:$S$3,0))=1,$BL$13/$AI48,0)</f>
        <v>#N/A</v>
      </c>
      <c r="AX48" s="143">
        <f>$BL$14</f>
        <v>0</v>
      </c>
      <c r="AY48" s="143">
        <f t="shared" si="107"/>
        <v>0</v>
      </c>
      <c r="AZ48" s="149" t="e">
        <f t="shared" ref="AZ48" si="112">SUM(AO48:AY48)</f>
        <v>#N/A</v>
      </c>
      <c r="BA48" s="149" t="e">
        <f>+T48+AL48+AZ48</f>
        <v>#N/A</v>
      </c>
      <c r="BB48" s="149">
        <f t="shared" si="109"/>
        <v>-0.35</v>
      </c>
      <c r="BC48" s="145" t="e">
        <f t="shared" si="110"/>
        <v>#N/A</v>
      </c>
      <c r="BE48" s="153">
        <f>INDEX('[1]Transit Time'!$A:$DC,MATCH(I48,'[1]Transit Time'!$A:$A,0),MATCH(N48,'[1]Transit Time'!$A$1:$DC$1,0))+INDEX('[1]Transit Time'!$A:$DC,MATCH(N48,'[1]Transit Time'!$A:$A,0),MATCH(Y48,'[1]Transit Time'!$A$1:$DC$1,0))+INDEX('[1]Transit Time'!$A:$DC,MATCH(Y48,'[1]Transit Time'!$A:$A,0),MATCH(AG48,'[1]Transit Time'!$A$1:$DC$1,0))</f>
        <v>0</v>
      </c>
      <c r="BG48" s="163">
        <f>IF(ISBLANK(B48),"",B48+$BE48)</f>
        <v>43784</v>
      </c>
      <c r="BH48" s="163">
        <f t="shared" si="111"/>
        <v>43786</v>
      </c>
      <c r="BI48"/>
      <c r="BJ48" s="2"/>
      <c r="BK48" s="2"/>
      <c r="BL48" s="35"/>
      <c r="BM48" s="35"/>
    </row>
    <row r="49" spans="1:65" ht="19.5" customHeight="1" thickBot="1" x14ac:dyDescent="0.5">
      <c r="A49" s="35"/>
      <c r="B49"/>
      <c r="C49"/>
      <c r="E49" s="1049"/>
      <c r="F49" s="1050"/>
      <c r="G49" s="1050"/>
      <c r="H49" s="1050"/>
      <c r="I49" s="1050"/>
      <c r="J49" s="1050"/>
      <c r="K49" s="1050"/>
      <c r="L49" s="1050"/>
      <c r="M49" s="1050"/>
      <c r="N49" s="1050"/>
      <c r="O49" s="1050"/>
      <c r="P49" s="1050"/>
      <c r="Q49" s="1050"/>
      <c r="R49" s="1050"/>
      <c r="S49" s="1050"/>
      <c r="T49" s="1050"/>
      <c r="U49" s="2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049" t="s">
        <v>318</v>
      </c>
      <c r="AG49" s="1050"/>
      <c r="AH49" s="1050"/>
      <c r="AI49" s="1050"/>
      <c r="AJ49" s="1050"/>
      <c r="AK49" s="1050"/>
      <c r="AL49" s="1050"/>
      <c r="AM49" s="1050"/>
      <c r="AN49" s="1050"/>
      <c r="AO49" s="1050"/>
      <c r="AP49" s="1050"/>
      <c r="AQ49" s="1050"/>
      <c r="AR49" s="1050"/>
      <c r="AS49" s="1050"/>
      <c r="AT49" s="1050"/>
      <c r="AU49" s="1050"/>
      <c r="AV49" s="1050"/>
      <c r="AW49" s="1050"/>
      <c r="AX49" s="1050"/>
      <c r="AY49" s="1050"/>
      <c r="AZ49" s="1050"/>
      <c r="BA49" s="1050"/>
      <c r="BB49" s="1050"/>
      <c r="BC49" s="1051"/>
      <c r="BE49"/>
      <c r="BG49"/>
      <c r="BH49"/>
      <c r="BJ49" s="152"/>
      <c r="BK49" s="152"/>
      <c r="BL49" s="152"/>
      <c r="BM49" s="152"/>
    </row>
    <row r="50" spans="1:65" ht="31" x14ac:dyDescent="0.35">
      <c r="B50" s="1011" t="s">
        <v>167</v>
      </c>
      <c r="C50" s="1011"/>
      <c r="E50" s="120" t="s">
        <v>276</v>
      </c>
      <c r="F50" s="152" t="s">
        <v>172</v>
      </c>
      <c r="G50" s="152" t="s">
        <v>2</v>
      </c>
      <c r="H50" s="152" t="s">
        <v>195</v>
      </c>
      <c r="I50" s="152" t="s">
        <v>173</v>
      </c>
      <c r="J50" s="152" t="s">
        <v>308</v>
      </c>
      <c r="K50" s="152"/>
      <c r="L50" s="152" t="s">
        <v>174</v>
      </c>
      <c r="M50" s="152" t="s">
        <v>175</v>
      </c>
      <c r="N50" s="152" t="s">
        <v>177</v>
      </c>
      <c r="O50" s="152" t="s">
        <v>178</v>
      </c>
      <c r="P50" s="122" t="s">
        <v>176</v>
      </c>
      <c r="Q50" s="120" t="s">
        <v>200</v>
      </c>
      <c r="R50" s="120" t="str">
        <f>$R$6</f>
        <v>WS Rate</v>
      </c>
      <c r="S50" s="121" t="s">
        <v>202</v>
      </c>
      <c r="T50" s="123" t="s">
        <v>309</v>
      </c>
      <c r="U50" s="2"/>
      <c r="V50" s="120" t="s">
        <v>172</v>
      </c>
      <c r="W50" s="120" t="s">
        <v>2</v>
      </c>
      <c r="X50" s="120" t="s">
        <v>195</v>
      </c>
      <c r="Y50" s="120" t="s">
        <v>173</v>
      </c>
      <c r="Z50" s="120" t="s">
        <v>167</v>
      </c>
      <c r="AA50" s="120"/>
      <c r="AB50" s="120" t="s">
        <v>308</v>
      </c>
      <c r="AC50" s="120"/>
      <c r="AD50" s="120" t="s">
        <v>174</v>
      </c>
      <c r="AE50" s="120" t="s">
        <v>175</v>
      </c>
      <c r="AF50" s="120" t="s">
        <v>176</v>
      </c>
      <c r="AG50" s="120" t="s">
        <v>177</v>
      </c>
      <c r="AH50" s="120" t="s">
        <v>178</v>
      </c>
      <c r="AI50" s="120" t="s">
        <v>200</v>
      </c>
      <c r="AJ50" s="146" t="str">
        <f>$AJ$6</f>
        <v xml:space="preserve">Current WS Rate </v>
      </c>
      <c r="AK50" s="25" t="s">
        <v>202</v>
      </c>
      <c r="AL50" s="150" t="s">
        <v>182</v>
      </c>
      <c r="AM50" s="136" t="str">
        <f>AM45</f>
        <v xml:space="preserve">Demurrage </v>
      </c>
      <c r="AN50" s="146" t="str">
        <f t="shared" ref="AN50:BC50" si="113">AN45</f>
        <v xml:space="preserve">TVOM Days </v>
      </c>
      <c r="AO50" s="136" t="str">
        <f t="shared" si="113"/>
        <v>Demurrage</v>
      </c>
      <c r="AP50" s="136" t="str">
        <f t="shared" si="113"/>
        <v>TVOM</v>
      </c>
      <c r="AQ50" s="136" t="str">
        <f t="shared" si="113"/>
        <v>Ecuador Port Charges</v>
      </c>
      <c r="AR50" s="136" t="str">
        <f t="shared" si="113"/>
        <v>Lightering/Reverse Lightering/Extra Port Cost</v>
      </c>
      <c r="AS50" s="136" t="str">
        <f t="shared" si="113"/>
        <v>Panama Canal</v>
      </c>
      <c r="AT50" s="136" t="str">
        <f t="shared" si="113"/>
        <v>Insurance</v>
      </c>
      <c r="AU50" s="136" t="str">
        <f t="shared" si="113"/>
        <v>Inspection</v>
      </c>
      <c r="AV50" s="136" t="str">
        <f t="shared" si="113"/>
        <v>Outturn Losses</v>
      </c>
      <c r="AW50" s="136" t="str">
        <f t="shared" si="113"/>
        <v>ECA costs</v>
      </c>
      <c r="AX50" s="136" t="str">
        <f t="shared" si="113"/>
        <v>Other costs</v>
      </c>
      <c r="AY50" s="136" t="str">
        <f t="shared" si="113"/>
        <v>Pipeline Fee</v>
      </c>
      <c r="AZ50" s="150" t="str">
        <f t="shared" si="113"/>
        <v>Total Secondary Costs</v>
      </c>
      <c r="BA50" s="150" t="str">
        <f t="shared" si="113"/>
        <v>All In Cost</v>
      </c>
      <c r="BB50" s="150" t="str">
        <f t="shared" si="113"/>
        <v>Structure</v>
      </c>
      <c r="BC50" s="137" t="str">
        <f t="shared" si="113"/>
        <v>DES Price</v>
      </c>
      <c r="BE50" s="137" t="s">
        <v>195</v>
      </c>
      <c r="BG50" s="1011" t="s">
        <v>196</v>
      </c>
      <c r="BH50" s="1011"/>
      <c r="BJ50" s="133"/>
      <c r="BK50" s="45"/>
      <c r="BM50" s="44"/>
    </row>
    <row r="51" spans="1:65" x14ac:dyDescent="0.35">
      <c r="B51" s="163">
        <f t="shared" ref="B51:B56" si="114">+$B$7</f>
        <v>43784</v>
      </c>
      <c r="C51" s="163">
        <f>IF(ISBLANK(B51),"",B51+2)</f>
        <v>43786</v>
      </c>
      <c r="E51" s="16"/>
      <c r="F51" s="138">
        <f>IF(I51=N51,0,INDEX('[2]Flat Rates 2022'!$A:$DB,MATCH(I51,'[2]Flat Rates 2022'!$A:$A,0),MATCH(N51,'[2]Flat Rates 2022'!$A$1:$DB$1,0)))</f>
        <v>16.18</v>
      </c>
      <c r="G51" s="138">
        <f>INDEX(Control!$E$17:$L$21,MATCH(P51,Control!$E$17:$E$21,0),MATCH(I51,Control!$E$17:$L$17,0))</f>
        <v>0.5</v>
      </c>
      <c r="H51" s="138">
        <v>18</v>
      </c>
      <c r="I51" s="138" t="str">
        <f t="shared" ref="I51:I56" si="115">$I$7</f>
        <v>La Paloma (Alpha Ligh. Zone)</v>
      </c>
      <c r="J51" s="139">
        <f>+B51+$H51</f>
        <v>43802</v>
      </c>
      <c r="K51" s="139">
        <f>+C51+$H51</f>
        <v>43804</v>
      </c>
      <c r="L51" s="140">
        <f>INDEX(Vessel_Minimum_MT,MATCH(P51,Control!$E$11:$E$15,0),MATCH(I51,Control!$E$11:$L$11,0))</f>
        <v>50000</v>
      </c>
      <c r="M51" s="140">
        <f>Q51/$BL$15</f>
        <v>68858.166881443307</v>
      </c>
      <c r="N51" s="138" t="s">
        <v>55</v>
      </c>
      <c r="O51" s="138" t="str">
        <f>IF(N51=I51,"",CONCATENATE(CONCATENATE(VLOOKUP(I51,Zones,2,FALSE),"/",VLOOKUP(N51,Zones,2,FALSE))))</f>
        <v>LATAM EAST/CARIBS</v>
      </c>
      <c r="P51" s="147" t="s">
        <v>22</v>
      </c>
      <c r="Q51" s="15">
        <v>475000</v>
      </c>
      <c r="R51" s="17">
        <v>0</v>
      </c>
      <c r="S51" s="18">
        <v>0</v>
      </c>
      <c r="T51" s="148">
        <f t="shared" ref="T51:T52" si="116">IF($I51="Esmeraldas",IF(R51&gt;1000,IF(S51=0,R51,S51)/Q51*1.1,((L51*F51*(IF(S51=0,R51,S51)/100))+IF(M51&lt;L51,0,(M51-L51)*F51*IF(S51=0,R51,S51)/100*G51))/Q51*1.1),IF(R51&gt;1000,IF(S51=0,R51,S51)/Q51,((L51*F51*(IF(S51=0,R51,S51)/100))+IF(M51&lt;L51,0,(M51-L51)*F51*IF(S51=0,R51,S51)/100*G51)))/Q51)</f>
        <v>0</v>
      </c>
      <c r="U51" s="2"/>
      <c r="V51" s="138">
        <f>INDEX('[2]Flat Rates 2022'!$A:$DB,MATCH(Y51,'[2]Flat Rates 2022'!$A:$A,0),MATCH(AG51,'[2]Flat Rates 2022'!$A$1:$DB$1,0))</f>
        <v>4.34</v>
      </c>
      <c r="W51" s="138">
        <f>INDEX(Control!$E$17:$L$21,MATCH(AF51,Control!$E$17:$E$21,0),MATCH(Y51,Control!$E$17:$L$17,0))</f>
        <v>0.5</v>
      </c>
      <c r="X51" s="138">
        <v>5</v>
      </c>
      <c r="Y51" s="138" t="str">
        <f>N51</f>
        <v>Chiriqui Grande</v>
      </c>
      <c r="Z51" s="139">
        <v>43430</v>
      </c>
      <c r="AA51" s="139">
        <f t="shared" ref="AA51:AA52" si="117">+Z51+4</f>
        <v>43434</v>
      </c>
      <c r="AB51" s="139">
        <f>+Z51+$H51</f>
        <v>43448</v>
      </c>
      <c r="AC51" s="139">
        <f>+AA51+$H51</f>
        <v>43452</v>
      </c>
      <c r="AD51" s="140">
        <f>INDEX(Vessel_Minimum_MT,MATCH(AF51,Control!$E$11:$E$15,0),MATCH(Y51,Control!$E$11:$L$11,0))</f>
        <v>50000</v>
      </c>
      <c r="AE51" s="140">
        <f>AI51/$BL$15</f>
        <v>46388.65979381444</v>
      </c>
      <c r="AF51" s="147" t="s">
        <v>22</v>
      </c>
      <c r="AG51" s="142" t="s">
        <v>89</v>
      </c>
      <c r="AH51" s="142" t="e">
        <f>IF(AG51=Y51,"",CONCATENATE(CONCATENATE(VLOOKUP(Y51,Zones,2,FALSE),"/",VLOOKUP(AG51,Zones,2,FALSE))))</f>
        <v>#N/A</v>
      </c>
      <c r="AI51" s="141">
        <v>320000</v>
      </c>
      <c r="AJ51" s="141">
        <v>180</v>
      </c>
      <c r="AK51" s="151">
        <v>0</v>
      </c>
      <c r="AL51" s="149">
        <f t="shared" ref="AL51:AL52" si="118">IF($Y51="Esmeraldas",IF(AJ51&gt;1000,IF(AK51=0,AJ51,AK51)/AI51*1.1,((AD51*V51*(IF(AK51=0,AJ51,AK51)/100))+IF(AE51&lt;AD51,0,(AE51-AD51)*V51*IF(AK51=0,AJ51,AK51)/100*W51))/AI51*1.1),IF(AJ51&gt;1000,IF(AK51=0,AJ51,AK51)/AI51,((AD51*V51*(IF(AK51=0,AJ51,AK51)/100))+IF(AE51&lt;AD51,0,(AE51-AD51)*V51*IF(AK51=0,AJ51,AK51)/100*W51))/AI51))</f>
        <v>1.2206250000000001</v>
      </c>
      <c r="AM51" s="134">
        <v>2</v>
      </c>
      <c r="AN51" s="155" t="e">
        <f>INDEX('[1]Transit Time'!$A:$DC,MATCH(I51,'[1]Transit Time'!$A:$A,0),MATCH(N51,'[1]Transit Time'!$A$1:$DC$1,0))+INDEX('[1]Transit Time'!$A:$DC,MATCH(N51,'[1]Transit Time'!$A:$A,0),MATCH(Y51,'[1]Transit Time'!$A$1:$DC$1,0))+INDEX('[1]Transit Time'!$A:$DC,MATCH(Y51,'[1]Transit Time'!$A:$A,0),MATCH(AG51,'[1]Transit Time'!$A$1:$DC$1,0))-VLOOKUP($I51,Port_Info,4,FALSE)+VLOOKUP($AG51,Port_Info,4,FALSE)</f>
        <v>#N/A</v>
      </c>
      <c r="AO51" s="143">
        <f>AM51*VLOOKUP($AF51,$BJ$17:$BM$21,3,FALSE)/$AI51</f>
        <v>0.1875</v>
      </c>
      <c r="AP51" s="143" t="e">
        <f>IF(AN51&lt;0,0,$AN51*$BL$9)</f>
        <v>#N/A</v>
      </c>
      <c r="AQ51" s="143">
        <f>IF($I51="Esmeraldas",$BL$8,0)</f>
        <v>0</v>
      </c>
      <c r="AR51" s="143">
        <v>0</v>
      </c>
      <c r="AS51" s="143">
        <v>0</v>
      </c>
      <c r="AT51" s="143">
        <f>$BL$10</f>
        <v>0.01</v>
      </c>
      <c r="AU51" s="143">
        <f>$BL$11</f>
        <v>0.01</v>
      </c>
      <c r="AV51" s="143" t="e">
        <f>IF(INDEX(Control!$Q$3:$S$36,MATCH($AG51,Control!$Q$3:$Q$36,0),MATCH(AV$6,Control!$Q$3:$S$3,0))=1,$BL$12*$BM$12,0)</f>
        <v>#N/A</v>
      </c>
      <c r="AW51" s="143" t="e">
        <f>IF(INDEX(Control!$Q$3:$S$36,MATCH($AG51,Control!$Q$3:$Q$36,0),MATCH(AW$6,Control!$Q$3:$S$3,0))=1,$BL$13/$AI51,0)</f>
        <v>#N/A</v>
      </c>
      <c r="AX51" s="143">
        <f>$BL$14</f>
        <v>0</v>
      </c>
      <c r="AY51" s="143">
        <f t="shared" ref="AY51:AY52" si="119">IF(AND(N51="Chiriqui Grande",Y51="Puerto Armuelles"),$T$3,0)</f>
        <v>0</v>
      </c>
      <c r="AZ51" s="149" t="e">
        <f t="shared" ref="AZ51:AZ52" si="120">SUM(AO51:AY51)</f>
        <v>#N/A</v>
      </c>
      <c r="BA51" s="149" t="e">
        <f>+T51+AL51+AZ51</f>
        <v>#N/A</v>
      </c>
      <c r="BB51" s="149">
        <f t="shared" ref="BB51:BB56" si="121">$BB$3</f>
        <v>-0.35</v>
      </c>
      <c r="BC51" s="145" t="e">
        <f t="shared" ref="BC51:BC52" si="122">$P$3+BA51+BB51+$AH$3</f>
        <v>#N/A</v>
      </c>
      <c r="BE51" s="153">
        <f>INDEX('[1]Transit Time'!$A:$DC,MATCH(I51,'[1]Transit Time'!$A:$A,0),MATCH(N51,'[1]Transit Time'!$A$1:$DC$1,0))+INDEX('[1]Transit Time'!$A:$DC,MATCH(N51,'[1]Transit Time'!$A:$A,0),MATCH(Y51,'[1]Transit Time'!$A$1:$DC$1,0))+INDEX('[1]Transit Time'!$A:$DC,MATCH(Y51,'[1]Transit Time'!$A:$A,0),MATCH(AG51,'[1]Transit Time'!$A$1:$DC$1,0))</f>
        <v>5</v>
      </c>
      <c r="BG51" s="163">
        <f>IF(ISBLANK(B51),"",B51+$BE51)</f>
        <v>43789</v>
      </c>
      <c r="BH51" s="163">
        <f t="shared" ref="BH51:BH52" si="123">IFERROR(IF(ISBLANK(C51),"",C51+$BE51),"")</f>
        <v>43791</v>
      </c>
      <c r="BL51" s="132"/>
      <c r="BM51" s="132"/>
    </row>
    <row r="52" spans="1:65" s="152" customFormat="1" ht="17.149999999999999" customHeight="1" thickBot="1" x14ac:dyDescent="0.4">
      <c r="A52" s="35"/>
      <c r="B52" s="163">
        <f t="shared" si="114"/>
        <v>43784</v>
      </c>
      <c r="C52" s="163">
        <f>IF(ISBLANK(B52),"",B52+2)</f>
        <v>43786</v>
      </c>
      <c r="D52"/>
      <c r="E52" s="157"/>
      <c r="F52" s="158">
        <f>IF(I52=N52,0,INDEX('[2]Flat Rates 2022'!$A:$DB,MATCH(I52,'[2]Flat Rates 2022'!$A:$A,0),MATCH(N52,'[2]Flat Rates 2022'!$A$1:$DB$1,0)))</f>
        <v>0</v>
      </c>
      <c r="G52" s="158">
        <f>INDEX(Control!$E$17:$L$21,MATCH(P52,Control!$E$17:$E$21,0),MATCH(I52,Control!$E$17:$L$17,0))</f>
        <v>0.5</v>
      </c>
      <c r="H52" s="158" t="e">
        <v>#N/A</v>
      </c>
      <c r="I52" s="158" t="str">
        <f t="shared" si="115"/>
        <v>La Paloma (Alpha Ligh. Zone)</v>
      </c>
      <c r="J52" s="72" t="e">
        <f>+B52+$H52</f>
        <v>#N/A</v>
      </c>
      <c r="K52" s="72" t="e">
        <f>+C52+$H52</f>
        <v>#N/A</v>
      </c>
      <c r="L52" s="73">
        <f>INDEX(Vessel_Minimum_MT,MATCH(P52,Control!$E$11:$E$15,0),MATCH(I52,Control!$E$11:$L$11,0))</f>
        <v>50000</v>
      </c>
      <c r="M52" s="73">
        <f>Q52/$BL$15</f>
        <v>68858.166881443307</v>
      </c>
      <c r="N52" s="158" t="s">
        <v>65</v>
      </c>
      <c r="O52" s="158" t="str">
        <f>IF(N52=I52,"",CONCATENATE(CONCATENATE(VLOOKUP(I52,Zones,2,FALSE),"/",VLOOKUP(N52,Zones,2,FALSE))))</f>
        <v/>
      </c>
      <c r="P52" s="156" t="s">
        <v>22</v>
      </c>
      <c r="Q52" s="159">
        <v>475000</v>
      </c>
      <c r="R52" s="160">
        <v>0</v>
      </c>
      <c r="S52" s="161">
        <v>0</v>
      </c>
      <c r="T52" s="162">
        <f t="shared" si="116"/>
        <v>0</v>
      </c>
      <c r="U52" s="2"/>
      <c r="V52" s="138">
        <f>INDEX('[2]Flat Rates 2022'!$A:$DB,MATCH(Y52,'[2]Flat Rates 2022'!$A:$A,0),MATCH(AG52,'[2]Flat Rates 2022'!$A$1:$DB$1,0))</f>
        <v>15.35</v>
      </c>
      <c r="W52" s="138">
        <f>INDEX(Control!$E$17:$L$21,MATCH(AF52,Control!$E$17:$E$21,0),MATCH(Y52,Control!$E$17:$L$17,0))</f>
        <v>0.5</v>
      </c>
      <c r="X52" s="138">
        <v>0</v>
      </c>
      <c r="Y52" s="138" t="s">
        <v>65</v>
      </c>
      <c r="Z52" s="139">
        <v>43430</v>
      </c>
      <c r="AA52" s="139">
        <f t="shared" si="117"/>
        <v>43434</v>
      </c>
      <c r="AB52" s="139" t="e">
        <f>+Z52+$H52</f>
        <v>#N/A</v>
      </c>
      <c r="AC52" s="139" t="e">
        <f>+AA52+$H52</f>
        <v>#N/A</v>
      </c>
      <c r="AD52" s="140">
        <f>INDEX(Vessel_Minimum_MT,MATCH(AF52,Control!$E$11:$E$15,0),MATCH(Y52,Control!$E$11:$L$11,0))</f>
        <v>50000</v>
      </c>
      <c r="AE52" s="140">
        <f>AI52/$BL$15</f>
        <v>46388.65979381444</v>
      </c>
      <c r="AF52" s="147" t="s">
        <v>22</v>
      </c>
      <c r="AG52" s="142" t="s">
        <v>89</v>
      </c>
      <c r="AH52" s="142" t="e">
        <f>IF(AG52=Y52,"",CONCATENATE(CONCATENATE(VLOOKUP(Y52,Zones,2,FALSE),"/",VLOOKUP(AG52,Zones,2,FALSE))))</f>
        <v>#N/A</v>
      </c>
      <c r="AI52" s="141">
        <v>320000</v>
      </c>
      <c r="AJ52" s="141" t="e">
        <v>#N/A</v>
      </c>
      <c r="AK52" s="151">
        <v>0</v>
      </c>
      <c r="AL52" s="149" t="e">
        <f t="shared" si="118"/>
        <v>#N/A</v>
      </c>
      <c r="AM52" s="134">
        <v>2</v>
      </c>
      <c r="AN52" s="155" t="e">
        <f>INDEX('[1]Transit Time'!$A:$DC,MATCH(I52,'[1]Transit Time'!$A:$A,0),MATCH(N52,'[1]Transit Time'!$A$1:$DC$1,0))+INDEX('[1]Transit Time'!$A:$DC,MATCH(N52,'[1]Transit Time'!$A:$A,0),MATCH(Y52,'[1]Transit Time'!$A$1:$DC$1,0))+INDEX('[1]Transit Time'!$A:$DC,MATCH(Y52,'[1]Transit Time'!$A:$A,0),MATCH(AG52,'[1]Transit Time'!$A$1:$DC$1,0))-VLOOKUP($I52,Port_Info,4,FALSE)+VLOOKUP($AG52,Port_Info,4,FALSE)</f>
        <v>#N/A</v>
      </c>
      <c r="AO52" s="143">
        <f>AM52*VLOOKUP($AF52,$BJ$17:$BM$21,3,FALSE)/$AI52</f>
        <v>0.1875</v>
      </c>
      <c r="AP52" s="143" t="e">
        <f>IF(AN52&lt;0,0,$AN52*$BL$9)</f>
        <v>#N/A</v>
      </c>
      <c r="AQ52" s="143">
        <f>IF($I52="Esmeraldas",$BL$8,0)</f>
        <v>0</v>
      </c>
      <c r="AR52" s="143">
        <v>0</v>
      </c>
      <c r="AS52" s="143" t="e">
        <v>#N/A</v>
      </c>
      <c r="AT52" s="143">
        <f>$BL$10</f>
        <v>0.01</v>
      </c>
      <c r="AU52" s="143">
        <f>$BL$11</f>
        <v>0.01</v>
      </c>
      <c r="AV52" s="143" t="e">
        <f>IF(INDEX(Control!$Q$3:$S$36,MATCH($AG52,Control!$Q$3:$Q$36,0),MATCH(AV$6,Control!$Q$3:$S$3,0))=1,$BL$12*$BM$12,0)</f>
        <v>#N/A</v>
      </c>
      <c r="AW52" s="143" t="e">
        <f>IF(INDEX(Control!$Q$3:$S$36,MATCH($AG52,Control!$Q$3:$Q$36,0),MATCH(AW$6,Control!$Q$3:$S$3,0))=1,$BL$13/$AI52,0)</f>
        <v>#N/A</v>
      </c>
      <c r="AX52" s="143">
        <f>$BL$14</f>
        <v>0</v>
      </c>
      <c r="AY52" s="143">
        <f t="shared" si="119"/>
        <v>0</v>
      </c>
      <c r="AZ52" s="149" t="e">
        <f t="shared" si="120"/>
        <v>#N/A</v>
      </c>
      <c r="BA52" s="149" t="e">
        <f>+T52+AL52+AZ52</f>
        <v>#N/A</v>
      </c>
      <c r="BB52" s="149">
        <f t="shared" si="121"/>
        <v>-0.35</v>
      </c>
      <c r="BC52" s="145" t="e">
        <f t="shared" si="122"/>
        <v>#N/A</v>
      </c>
      <c r="BE52" s="153">
        <f>INDEX('[1]Transit Time'!$A:$DC,MATCH(I52,'[1]Transit Time'!$A:$A,0),MATCH(N52,'[1]Transit Time'!$A$1:$DC$1,0))+INDEX('[1]Transit Time'!$A:$DC,MATCH(N52,'[1]Transit Time'!$A:$A,0),MATCH(Y52,'[1]Transit Time'!$A$1:$DC$1,0))+INDEX('[1]Transit Time'!$A:$DC,MATCH(Y52,'[1]Transit Time'!$A:$A,0),MATCH(AG52,'[1]Transit Time'!$A$1:$DC$1,0))</f>
        <v>0</v>
      </c>
      <c r="BG52" s="163">
        <f>IF(ISBLANK(B52),"",B52+$BE52)</f>
        <v>43784</v>
      </c>
      <c r="BH52" s="163">
        <f t="shared" si="123"/>
        <v>43786</v>
      </c>
      <c r="BI52"/>
      <c r="BJ52" s="2"/>
      <c r="BK52" s="2"/>
      <c r="BL52" s="35"/>
      <c r="BM52" s="35"/>
    </row>
    <row r="53" spans="1:65" customFormat="1" ht="19.5" customHeight="1" thickBot="1" x14ac:dyDescent="0.5">
      <c r="A53" s="35"/>
      <c r="E53" s="1049"/>
      <c r="F53" s="1050"/>
      <c r="G53" s="1050"/>
      <c r="H53" s="1050"/>
      <c r="I53" s="1050"/>
      <c r="J53" s="1050"/>
      <c r="K53" s="1050"/>
      <c r="L53" s="1050"/>
      <c r="M53" s="1050"/>
      <c r="N53" s="1050"/>
      <c r="O53" s="1050"/>
      <c r="P53" s="1050"/>
      <c r="Q53" s="1050"/>
      <c r="R53" s="1050"/>
      <c r="S53" s="1050"/>
      <c r="T53" s="1050"/>
      <c r="U53" s="2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049" t="s">
        <v>319</v>
      </c>
      <c r="AG53" s="1050"/>
      <c r="AH53" s="1050"/>
      <c r="AI53" s="1050"/>
      <c r="AJ53" s="1050"/>
      <c r="AK53" s="1050"/>
      <c r="AL53" s="1050"/>
      <c r="AM53" s="1050"/>
      <c r="AN53" s="1050"/>
      <c r="AO53" s="1050"/>
      <c r="AP53" s="1050"/>
      <c r="AQ53" s="1050"/>
      <c r="AR53" s="1050"/>
      <c r="AS53" s="1050"/>
      <c r="AT53" s="1050"/>
      <c r="AU53" s="1050"/>
      <c r="AV53" s="1050"/>
      <c r="AW53" s="1050"/>
      <c r="AX53" s="1050"/>
      <c r="AY53" s="1050"/>
      <c r="AZ53" s="1050"/>
      <c r="BA53" s="1050"/>
      <c r="BB53" s="1050"/>
      <c r="BC53" s="1051"/>
      <c r="BD53" s="2"/>
      <c r="BF53" s="2"/>
      <c r="BJ53" s="152"/>
      <c r="BK53" s="152"/>
      <c r="BL53" s="152"/>
      <c r="BM53" s="152"/>
    </row>
    <row r="54" spans="1:65" customFormat="1" ht="31" x14ac:dyDescent="0.35">
      <c r="A54" s="2"/>
      <c r="B54" s="1011" t="s">
        <v>167</v>
      </c>
      <c r="C54" s="1011"/>
      <c r="E54" s="120" t="s">
        <v>276</v>
      </c>
      <c r="F54" s="152" t="s">
        <v>172</v>
      </c>
      <c r="G54" s="152" t="s">
        <v>2</v>
      </c>
      <c r="H54" s="152" t="s">
        <v>195</v>
      </c>
      <c r="I54" s="152" t="s">
        <v>173</v>
      </c>
      <c r="J54" s="152" t="s">
        <v>308</v>
      </c>
      <c r="K54" s="152"/>
      <c r="L54" s="152" t="s">
        <v>174</v>
      </c>
      <c r="M54" s="152" t="s">
        <v>175</v>
      </c>
      <c r="N54" s="152" t="s">
        <v>177</v>
      </c>
      <c r="O54" s="152" t="s">
        <v>178</v>
      </c>
      <c r="P54" s="122" t="s">
        <v>176</v>
      </c>
      <c r="Q54" s="120" t="s">
        <v>200</v>
      </c>
      <c r="R54" s="120" t="str">
        <f>$R$6</f>
        <v>WS Rate</v>
      </c>
      <c r="S54" s="121" t="s">
        <v>202</v>
      </c>
      <c r="T54" s="123" t="s">
        <v>309</v>
      </c>
      <c r="U54" s="2"/>
      <c r="V54" s="120" t="s">
        <v>172</v>
      </c>
      <c r="W54" s="120" t="s">
        <v>2</v>
      </c>
      <c r="X54" s="120" t="s">
        <v>195</v>
      </c>
      <c r="Y54" s="120" t="s">
        <v>173</v>
      </c>
      <c r="Z54" s="120" t="s">
        <v>167</v>
      </c>
      <c r="AA54" s="120"/>
      <c r="AB54" s="120" t="s">
        <v>308</v>
      </c>
      <c r="AC54" s="120"/>
      <c r="AD54" s="120" t="s">
        <v>174</v>
      </c>
      <c r="AE54" s="120" t="s">
        <v>175</v>
      </c>
      <c r="AF54" s="120" t="s">
        <v>176</v>
      </c>
      <c r="AG54" s="120" t="s">
        <v>177</v>
      </c>
      <c r="AH54" s="120" t="s">
        <v>178</v>
      </c>
      <c r="AI54" s="120" t="s">
        <v>200</v>
      </c>
      <c r="AJ54" s="146" t="str">
        <f>$AJ$6</f>
        <v xml:space="preserve">Current WS Rate </v>
      </c>
      <c r="AK54" s="25" t="s">
        <v>202</v>
      </c>
      <c r="AL54" s="150" t="s">
        <v>182</v>
      </c>
      <c r="AM54" s="136" t="str">
        <f>AM45</f>
        <v xml:space="preserve">Demurrage </v>
      </c>
      <c r="AN54" s="146" t="str">
        <f t="shared" ref="AN54:BC54" si="124">AN45</f>
        <v xml:space="preserve">TVOM Days </v>
      </c>
      <c r="AO54" s="136" t="str">
        <f t="shared" si="124"/>
        <v>Demurrage</v>
      </c>
      <c r="AP54" s="136" t="str">
        <f t="shared" si="124"/>
        <v>TVOM</v>
      </c>
      <c r="AQ54" s="136" t="str">
        <f t="shared" si="124"/>
        <v>Ecuador Port Charges</v>
      </c>
      <c r="AR54" s="136" t="str">
        <f t="shared" si="124"/>
        <v>Lightering/Reverse Lightering/Extra Port Cost</v>
      </c>
      <c r="AS54" s="136" t="str">
        <f t="shared" si="124"/>
        <v>Panama Canal</v>
      </c>
      <c r="AT54" s="136" t="str">
        <f t="shared" si="124"/>
        <v>Insurance</v>
      </c>
      <c r="AU54" s="136" t="str">
        <f t="shared" si="124"/>
        <v>Inspection</v>
      </c>
      <c r="AV54" s="136" t="str">
        <f t="shared" si="124"/>
        <v>Outturn Losses</v>
      </c>
      <c r="AW54" s="136" t="str">
        <f t="shared" si="124"/>
        <v>ECA costs</v>
      </c>
      <c r="AX54" s="136" t="str">
        <f t="shared" si="124"/>
        <v>Other costs</v>
      </c>
      <c r="AY54" s="136" t="str">
        <f t="shared" si="124"/>
        <v>Pipeline Fee</v>
      </c>
      <c r="AZ54" s="150" t="str">
        <f t="shared" si="124"/>
        <v>Total Secondary Costs</v>
      </c>
      <c r="BA54" s="150" t="str">
        <f t="shared" si="124"/>
        <v>All In Cost</v>
      </c>
      <c r="BB54" s="150" t="str">
        <f t="shared" si="124"/>
        <v>Structure</v>
      </c>
      <c r="BC54" s="137" t="str">
        <f t="shared" si="124"/>
        <v>DES Price</v>
      </c>
      <c r="BD54" s="2"/>
      <c r="BE54" s="137" t="s">
        <v>195</v>
      </c>
      <c r="BF54" s="2"/>
      <c r="BG54" s="1011" t="s">
        <v>196</v>
      </c>
      <c r="BH54" s="1011"/>
    </row>
    <row r="55" spans="1:65" customFormat="1" x14ac:dyDescent="0.35">
      <c r="B55" s="163">
        <f t="shared" si="114"/>
        <v>43784</v>
      </c>
      <c r="C55" s="163">
        <f>IF(ISBLANK(B55),"",B55+2)</f>
        <v>43786</v>
      </c>
      <c r="E55" s="16"/>
      <c r="F55" s="138">
        <f>IF(I55=N55,0,INDEX('[2]Flat Rates 2022'!$A:$DB,MATCH(I55,'[2]Flat Rates 2022'!$A:$A,0),MATCH(N55,'[2]Flat Rates 2022'!$A$1:$DB$1,0)))</f>
        <v>16.18</v>
      </c>
      <c r="G55" s="138">
        <f>INDEX(Control!$E$17:$L$21,MATCH(P55,Control!$E$17:$E$21,0),MATCH(I55,Control!$E$17:$L$17,0))</f>
        <v>0.5</v>
      </c>
      <c r="H55" s="138">
        <v>18</v>
      </c>
      <c r="I55" s="138" t="str">
        <f t="shared" si="115"/>
        <v>La Paloma (Alpha Ligh. Zone)</v>
      </c>
      <c r="J55" s="139">
        <f>+B55+$H55</f>
        <v>43802</v>
      </c>
      <c r="K55" s="139">
        <f>+C55+$H55</f>
        <v>43804</v>
      </c>
      <c r="L55" s="140">
        <f>INDEX(Vessel_Minimum_MT,MATCH(P55,Control!$E$11:$E$15,0),MATCH(I55,Control!$E$11:$L$11,0))</f>
        <v>50000</v>
      </c>
      <c r="M55" s="140">
        <f>Q55/$BL$15</f>
        <v>68858.166881443307</v>
      </c>
      <c r="N55" s="138" t="s">
        <v>55</v>
      </c>
      <c r="O55" s="138" t="str">
        <f>IF(N55=I55,"",CONCATENATE(CONCATENATE(VLOOKUP(I55,Zones,2,FALSE),"/",VLOOKUP(N55,Zones,2,FALSE))))</f>
        <v>LATAM EAST/CARIBS</v>
      </c>
      <c r="P55" s="147" t="s">
        <v>22</v>
      </c>
      <c r="Q55" s="15">
        <v>475000</v>
      </c>
      <c r="R55" s="17">
        <v>0</v>
      </c>
      <c r="S55" s="18">
        <v>0</v>
      </c>
      <c r="T55" s="148">
        <f t="shared" ref="T55:T56" si="125">IF($I55="Esmeraldas",IF(R55&gt;1000,IF(S55=0,R55,S55)/Q55*1.1,((L55*F55*(IF(S55=0,R55,S55)/100))+IF(M55&lt;L55,0,(M55-L55)*F55*IF(S55=0,R55,S55)/100*G55))/Q55*1.1),IF(R55&gt;1000,IF(S55=0,R55,S55)/Q55,((L55*F55*(IF(S55=0,R55,S55)/100))+IF(M55&lt;L55,0,(M55-L55)*F55*IF(S55=0,R55,S55)/100*G55)))/Q55)</f>
        <v>0</v>
      </c>
      <c r="U55" s="2"/>
      <c r="V55" s="138">
        <f>INDEX('[2]Flat Rates 2022'!$A:$DB,MATCH(Y55,'[2]Flat Rates 2022'!$A:$A,0),MATCH(AG55,'[2]Flat Rates 2022'!$A$1:$DB$1,0))</f>
        <v>8.51</v>
      </c>
      <c r="W55" s="138">
        <f>INDEX(Control!$E$17:$L$21,MATCH(AF55,Control!$E$17:$E$21,0),MATCH(Y55,Control!$E$17:$L$17,0))</f>
        <v>0.5</v>
      </c>
      <c r="X55" s="138">
        <v>8.5</v>
      </c>
      <c r="Y55" s="138" t="str">
        <f>N55</f>
        <v>Chiriqui Grande</v>
      </c>
      <c r="Z55" s="139">
        <v>43430</v>
      </c>
      <c r="AA55" s="139">
        <f t="shared" ref="AA55:AA56" si="126">+Z55+4</f>
        <v>43434</v>
      </c>
      <c r="AB55" s="139">
        <f>+Z55+$H55</f>
        <v>43448</v>
      </c>
      <c r="AC55" s="139">
        <f>+AA55+$H55</f>
        <v>43452</v>
      </c>
      <c r="AD55" s="140">
        <f>INDEX(Vessel_Minimum_MT,MATCH(AF55,Control!$E$11:$E$15,0),MATCH(Y55,Control!$E$11:$L$11,0))</f>
        <v>50000</v>
      </c>
      <c r="AE55" s="140">
        <f>AI55/$BL$15</f>
        <v>65234.052835051552</v>
      </c>
      <c r="AF55" s="147" t="s">
        <v>22</v>
      </c>
      <c r="AG55" s="142" t="s">
        <v>57</v>
      </c>
      <c r="AH55" s="142" t="str">
        <f>IF(AG55=Y55,"",CONCATENATE(CONCATENATE(VLOOKUP(Y55,Zones,2,FALSE),"/",VLOOKUP(AG55,Zones,2,FALSE))))</f>
        <v>CARIBS/USGC</v>
      </c>
      <c r="AI55" s="141">
        <v>450000</v>
      </c>
      <c r="AJ55" s="141">
        <v>185</v>
      </c>
      <c r="AK55" s="151">
        <v>0</v>
      </c>
      <c r="AL55" s="149">
        <f t="shared" ref="AL55:AL56" si="127">IF($Y55="Esmeraldas",IF(AJ55&gt;1000,IF(AK55=0,AJ55,AK55)/AI55*1.1,((AD55*V55*(IF(AK55=0,AJ55,AK55)/100))+IF(AE55&lt;AD55,0,(AE55-AD55)*V55*IF(AK55=0,AJ55,AK55)/100*W55))/AI55*1.1),IF(AJ55&gt;1000,IF(AK55=0,AJ55,AK55)/AI55,((AD55*V55*(IF(AK55=0,AJ55,AK55)/100))+IF(AE55&lt;AD55,0,(AE55-AD55)*V55*IF(AK55=0,AJ55,AK55)/100*W55))/AI55))</f>
        <v>2.0157636786762603</v>
      </c>
      <c r="AM55" s="134">
        <v>2</v>
      </c>
      <c r="AN55" s="155">
        <f>INDEX('[1]Transit Time'!$A:$DC,MATCH(I55,'[1]Transit Time'!$A:$A,0),MATCH(N55,'[1]Transit Time'!$A$1:$DC$1,0))+INDEX('[1]Transit Time'!$A:$DC,MATCH(N55,'[1]Transit Time'!$A:$A,0),MATCH(Y55,'[1]Transit Time'!$A$1:$DC$1,0))+INDEX('[1]Transit Time'!$A:$DC,MATCH(Y55,'[1]Transit Time'!$A:$A,0),MATCH(AG55,'[1]Transit Time'!$A$1:$DC$1,0))-VLOOKUP($I55,Port_Info,4,FALSE)+VLOOKUP($AG55,Port_Info,4,FALSE)</f>
        <v>5.5</v>
      </c>
      <c r="AO55" s="143">
        <f>AM55*VLOOKUP($AF55,$BJ$17:$BM$21,3,FALSE)/$AI55</f>
        <v>0.13333333333333333</v>
      </c>
      <c r="AP55" s="143">
        <f>IF(AN55&lt;0,0,$AN55*$BL$9)</f>
        <v>2.75E-2</v>
      </c>
      <c r="AQ55" s="143">
        <f>IF($I55="Esmeraldas",$BL$8,0)</f>
        <v>0</v>
      </c>
      <c r="AR55" s="143">
        <v>0</v>
      </c>
      <c r="AS55" s="143">
        <v>0</v>
      </c>
      <c r="AT55" s="143">
        <f>$BL$10</f>
        <v>0.01</v>
      </c>
      <c r="AU55" s="143">
        <f>$BL$11</f>
        <v>0.01</v>
      </c>
      <c r="AV55" s="143">
        <f>IF(INDEX(Control!$Q$3:$S$36,MATCH($AG55,Control!$Q$3:$Q$36,0),MATCH(AV$6,Control!$Q$3:$S$3,0))=1,$BL$12*$BM$12,0)</f>
        <v>0.11600000000000001</v>
      </c>
      <c r="AW55" s="143" t="e">
        <f>IF(INDEX(Control!$Q$3:$S$36,MATCH($AG55,Control!$Q$3:$Q$36,0),MATCH(AW$6,Control!$Q$3:$S$3,0))=1,$BL$13/$AI55,0)</f>
        <v>#N/A</v>
      </c>
      <c r="AX55" s="143">
        <f>$BL$14</f>
        <v>0</v>
      </c>
      <c r="AY55" s="143">
        <f t="shared" ref="AY55:AY56" si="128">IF(AND(N55="Chiriqui Grande",Y55="Puerto Armuelles"),$T$3,0)</f>
        <v>0</v>
      </c>
      <c r="AZ55" s="149" t="e">
        <f t="shared" ref="AZ55:AZ56" si="129">SUM(AO55:AY55)</f>
        <v>#N/A</v>
      </c>
      <c r="BA55" s="149" t="e">
        <f>+T55+AL55+AZ55</f>
        <v>#N/A</v>
      </c>
      <c r="BB55" s="149">
        <f t="shared" si="121"/>
        <v>-0.35</v>
      </c>
      <c r="BC55" s="145" t="e">
        <f t="shared" ref="BC55:BC56" si="130">$P$3+BA55+BB55+$AH$3</f>
        <v>#N/A</v>
      </c>
      <c r="BD55" s="2"/>
      <c r="BE55" s="153">
        <f>INDEX('[1]Transit Time'!$A:$DC,MATCH(I55,'[1]Transit Time'!$A:$A,0),MATCH(N55,'[1]Transit Time'!$A$1:$DC$1,0))+INDEX('[1]Transit Time'!$A:$DC,MATCH(N55,'[1]Transit Time'!$A:$A,0),MATCH(Y55,'[1]Transit Time'!$A$1:$DC$1,0))+INDEX('[1]Transit Time'!$A:$DC,MATCH(Y55,'[1]Transit Time'!$A:$A,0),MATCH(AG55,'[1]Transit Time'!$A$1:$DC$1,0))</f>
        <v>5.5</v>
      </c>
      <c r="BF55" s="2"/>
      <c r="BG55" s="163">
        <f>IF(ISBLANK(B55),"",B55+$BE55)</f>
        <v>43789.5</v>
      </c>
      <c r="BH55" s="163">
        <f t="shared" ref="BH55:BH56" si="131">IFERROR(IF(ISBLANK(C55),"",C55+$BE55),"")</f>
        <v>43791.5</v>
      </c>
    </row>
    <row r="56" spans="1:65" s="152" customFormat="1" ht="17.149999999999999" customHeight="1" thickBot="1" x14ac:dyDescent="0.4">
      <c r="A56" s="35"/>
      <c r="B56" s="163">
        <f t="shared" si="114"/>
        <v>43784</v>
      </c>
      <c r="C56" s="163">
        <f>IF(ISBLANK(B56),"",B56+2)</f>
        <v>43786</v>
      </c>
      <c r="D56"/>
      <c r="E56" s="157"/>
      <c r="F56" s="158">
        <f>IF(I56=N56,0,INDEX('[2]Flat Rates 2022'!$A:$DB,MATCH(I56,'[2]Flat Rates 2022'!$A:$A,0),MATCH(N56,'[2]Flat Rates 2022'!$A$1:$DB$1,0)))</f>
        <v>0</v>
      </c>
      <c r="G56" s="158">
        <f>INDEX(Control!$E$17:$L$21,MATCH(P56,Control!$E$17:$E$21,0),MATCH(I56,Control!$E$17:$L$17,0))</f>
        <v>0.5</v>
      </c>
      <c r="H56" s="158" t="e">
        <v>#N/A</v>
      </c>
      <c r="I56" s="158" t="str">
        <f t="shared" si="115"/>
        <v>La Paloma (Alpha Ligh. Zone)</v>
      </c>
      <c r="J56" s="72" t="e">
        <f>+B56+$H56</f>
        <v>#N/A</v>
      </c>
      <c r="K56" s="72" t="e">
        <f>+C56+$H56</f>
        <v>#N/A</v>
      </c>
      <c r="L56" s="73">
        <f>INDEX(Vessel_Minimum_MT,MATCH(P56,Control!$E$11:$E$15,0),MATCH(I56,Control!$E$11:$L$11,0))</f>
        <v>50000</v>
      </c>
      <c r="M56" s="73">
        <f>Q56/$BL$15</f>
        <v>68858.166881443307</v>
      </c>
      <c r="N56" s="158" t="s">
        <v>65</v>
      </c>
      <c r="O56" s="158" t="str">
        <f>IF(N56=I56,"",CONCATENATE(CONCATENATE(VLOOKUP(I56,Zones,2,FALSE),"/",VLOOKUP(N56,Zones,2,FALSE))))</f>
        <v/>
      </c>
      <c r="P56" s="156" t="s">
        <v>22</v>
      </c>
      <c r="Q56" s="159">
        <v>475000</v>
      </c>
      <c r="R56" s="160">
        <v>0</v>
      </c>
      <c r="S56" s="161">
        <v>0</v>
      </c>
      <c r="T56" s="162">
        <f t="shared" si="125"/>
        <v>0</v>
      </c>
      <c r="U56" s="2"/>
      <c r="V56" s="138">
        <f>INDEX('[2]Flat Rates 2022'!$A:$DB,MATCH(Y56,'[2]Flat Rates 2022'!$A:$A,0),MATCH(AG56,'[2]Flat Rates 2022'!$A$1:$DB$1,0))</f>
        <v>19.96</v>
      </c>
      <c r="W56" s="138">
        <f>INDEX(Control!$E$17:$L$21,MATCH(AF56,Control!$E$17:$E$21,0),MATCH(Y56,Control!$E$17:$L$17,0))</f>
        <v>0</v>
      </c>
      <c r="X56" s="138">
        <v>0</v>
      </c>
      <c r="Y56" s="138" t="s">
        <v>65</v>
      </c>
      <c r="Z56" s="139">
        <v>43430</v>
      </c>
      <c r="AA56" s="139">
        <f t="shared" si="126"/>
        <v>43434</v>
      </c>
      <c r="AB56" s="139" t="e">
        <f>+Z56+$H56</f>
        <v>#N/A</v>
      </c>
      <c r="AC56" s="139" t="e">
        <f>+AA56+$H56</f>
        <v>#N/A</v>
      </c>
      <c r="AD56" s="140">
        <f>INDEX(Vessel_Minimum_MT,MATCH(AF56,Control!$E$11:$E$15,0),MATCH(Y56,Control!$E$11:$L$11,0))</f>
        <v>70000</v>
      </c>
      <c r="AE56" s="140">
        <f>AI56/$BL$15</f>
        <v>72482.280927835061</v>
      </c>
      <c r="AF56" s="147" t="s">
        <v>23</v>
      </c>
      <c r="AG56" s="142" t="s">
        <v>57</v>
      </c>
      <c r="AH56" s="142" t="str">
        <f>IF(AG56=Y56,"",CONCATENATE(CONCATENATE(VLOOKUP(Y56,Zones,2,FALSE),"/",VLOOKUP(AG56,Zones,2,FALSE))))</f>
        <v>LATAM EAST/USGC</v>
      </c>
      <c r="AI56" s="141">
        <v>500000</v>
      </c>
      <c r="AJ56" s="141" t="e">
        <v>#N/A</v>
      </c>
      <c r="AK56" s="151">
        <v>0</v>
      </c>
      <c r="AL56" s="149" t="e">
        <f t="shared" si="127"/>
        <v>#N/A</v>
      </c>
      <c r="AM56" s="134">
        <v>2</v>
      </c>
      <c r="AN56" s="155">
        <f>INDEX('[1]Transit Time'!$A:$DC,MATCH(I56,'[1]Transit Time'!$A:$A,0),MATCH(N56,'[1]Transit Time'!$A$1:$DC$1,0))+INDEX('[1]Transit Time'!$A:$DC,MATCH(N56,'[1]Transit Time'!$A:$A,0),MATCH(Y56,'[1]Transit Time'!$A$1:$DC$1,0))+INDEX('[1]Transit Time'!$A:$DC,MATCH(Y56,'[1]Transit Time'!$A:$A,0),MATCH(AG56,'[1]Transit Time'!$A$1:$DC$1,0))-VLOOKUP($I56,Port_Info,4,FALSE)+VLOOKUP($AG56,Port_Info,4,FALSE)</f>
        <v>0</v>
      </c>
      <c r="AO56" s="143">
        <f>AM56*VLOOKUP($AF56,$BJ$17:$BM$21,3,FALSE)/$AI56</f>
        <v>0.14000000000000001</v>
      </c>
      <c r="AP56" s="143">
        <f>IF(AN56&lt;0,0,$AN56*$BL$9)</f>
        <v>0</v>
      </c>
      <c r="AQ56" s="143">
        <f>IF($I56="Esmeraldas",$BL$8,0)</f>
        <v>0</v>
      </c>
      <c r="AR56" s="143">
        <v>0</v>
      </c>
      <c r="AS56" s="143" t="e">
        <v>#N/A</v>
      </c>
      <c r="AT56" s="143">
        <f>$BL$10</f>
        <v>0.01</v>
      </c>
      <c r="AU56" s="143">
        <f>$BL$11</f>
        <v>0.01</v>
      </c>
      <c r="AV56" s="143">
        <f>IF(INDEX(Control!$Q$3:$S$36,MATCH($AG56,Control!$Q$3:$Q$36,0),MATCH(AV$6,Control!$Q$3:$S$3,0))=1,$BL$12*$BM$12,0)</f>
        <v>0.11600000000000001</v>
      </c>
      <c r="AW56" s="143" t="e">
        <f>IF(INDEX(Control!$Q$3:$S$36,MATCH($AG56,Control!$Q$3:$Q$36,0),MATCH(AW$6,Control!$Q$3:$S$3,0))=1,$BL$13/$AI56,0)</f>
        <v>#N/A</v>
      </c>
      <c r="AX56" s="143">
        <f>$BL$14</f>
        <v>0</v>
      </c>
      <c r="AY56" s="143">
        <f t="shared" si="128"/>
        <v>0</v>
      </c>
      <c r="AZ56" s="149" t="e">
        <f t="shared" si="129"/>
        <v>#N/A</v>
      </c>
      <c r="BA56" s="149" t="e">
        <f>+T56+AL56+AZ56</f>
        <v>#N/A</v>
      </c>
      <c r="BB56" s="149">
        <f t="shared" si="121"/>
        <v>-0.35</v>
      </c>
      <c r="BC56" s="145" t="e">
        <f t="shared" si="130"/>
        <v>#N/A</v>
      </c>
      <c r="BE56" s="153">
        <f>INDEX('[1]Transit Time'!$A:$DC,MATCH(I56,'[1]Transit Time'!$A:$A,0),MATCH(N56,'[1]Transit Time'!$A$1:$DC$1,0))+INDEX('[1]Transit Time'!$A:$DC,MATCH(N56,'[1]Transit Time'!$A:$A,0),MATCH(Y56,'[1]Transit Time'!$A$1:$DC$1,0))+INDEX('[1]Transit Time'!$A:$DC,MATCH(Y56,'[1]Transit Time'!$A:$A,0),MATCH(AG56,'[1]Transit Time'!$A$1:$DC$1,0))</f>
        <v>0</v>
      </c>
      <c r="BG56" s="163">
        <f>IF(ISBLANK(B56),"",B56+$BE56)</f>
        <v>43784</v>
      </c>
      <c r="BH56" s="163">
        <f t="shared" si="131"/>
        <v>43786</v>
      </c>
      <c r="BI56"/>
      <c r="BJ56"/>
      <c r="BK56"/>
      <c r="BL56"/>
      <c r="BM56"/>
    </row>
    <row r="57" spans="1:65" ht="19.5" customHeight="1" thickBot="1" x14ac:dyDescent="0.5">
      <c r="A57" s="35"/>
      <c r="B57" s="163"/>
      <c r="C57" s="163"/>
      <c r="E57" s="1049" t="s">
        <v>306</v>
      </c>
      <c r="F57" s="1050"/>
      <c r="G57" s="1050"/>
      <c r="H57" s="1050"/>
      <c r="I57" s="1050"/>
      <c r="J57" s="1050"/>
      <c r="K57" s="1050"/>
      <c r="L57" s="1050"/>
      <c r="M57" s="1050"/>
      <c r="N57" s="1050"/>
      <c r="O57" s="1050"/>
      <c r="P57" s="1050"/>
      <c r="Q57" s="1050"/>
      <c r="R57" s="1050"/>
      <c r="S57" s="1050"/>
      <c r="T57" s="1050"/>
      <c r="U57" s="2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49" t="s">
        <v>284</v>
      </c>
      <c r="AG57" s="1050"/>
      <c r="AH57" s="1050"/>
      <c r="AI57" s="1050"/>
      <c r="AJ57" s="1050"/>
      <c r="AK57" s="1050"/>
      <c r="AL57" s="1050"/>
      <c r="AM57" s="1050"/>
      <c r="AN57" s="1050"/>
      <c r="AO57" s="1050"/>
      <c r="AP57" s="1050"/>
      <c r="AQ57" s="1050"/>
      <c r="AR57" s="1050"/>
      <c r="AS57" s="1050"/>
      <c r="AT57" s="1050"/>
      <c r="AU57" s="1050"/>
      <c r="AV57" s="1050"/>
      <c r="AW57" s="1050"/>
      <c r="AX57" s="1050"/>
      <c r="AY57" s="1050"/>
      <c r="AZ57" s="1050"/>
      <c r="BA57" s="1050"/>
      <c r="BB57" s="1050"/>
      <c r="BC57" s="1051"/>
      <c r="BE57"/>
      <c r="BG57"/>
      <c r="BH57"/>
      <c r="BJ57" s="152"/>
      <c r="BK57" s="152"/>
      <c r="BL57" s="152"/>
      <c r="BM57" s="152"/>
    </row>
    <row r="58" spans="1:65" ht="31" x14ac:dyDescent="0.35">
      <c r="B58" s="1011" t="s">
        <v>167</v>
      </c>
      <c r="C58" s="1011"/>
      <c r="E58" s="120" t="s">
        <v>276</v>
      </c>
      <c r="F58" s="152" t="s">
        <v>172</v>
      </c>
      <c r="G58" s="152" t="s">
        <v>2</v>
      </c>
      <c r="H58" s="152" t="s">
        <v>195</v>
      </c>
      <c r="I58" s="152" t="s">
        <v>173</v>
      </c>
      <c r="J58" s="152" t="s">
        <v>308</v>
      </c>
      <c r="K58" s="152"/>
      <c r="L58" s="152" t="s">
        <v>174</v>
      </c>
      <c r="M58" s="152" t="s">
        <v>175</v>
      </c>
      <c r="N58" s="152" t="s">
        <v>177</v>
      </c>
      <c r="O58" s="152" t="s">
        <v>178</v>
      </c>
      <c r="P58" s="122" t="s">
        <v>176</v>
      </c>
      <c r="Q58" s="120" t="s">
        <v>200</v>
      </c>
      <c r="R58" s="120" t="str">
        <f>$R$6</f>
        <v>WS Rate</v>
      </c>
      <c r="S58" s="121" t="s">
        <v>202</v>
      </c>
      <c r="T58" s="123" t="s">
        <v>309</v>
      </c>
      <c r="U58" s="2"/>
      <c r="V58" s="120" t="s">
        <v>172</v>
      </c>
      <c r="W58" s="120" t="s">
        <v>2</v>
      </c>
      <c r="X58" s="120" t="s">
        <v>195</v>
      </c>
      <c r="Y58" s="120" t="s">
        <v>173</v>
      </c>
      <c r="Z58" s="120" t="s">
        <v>167</v>
      </c>
      <c r="AA58" s="120"/>
      <c r="AB58" s="120" t="s">
        <v>308</v>
      </c>
      <c r="AC58" s="120"/>
      <c r="AD58" s="120" t="s">
        <v>174</v>
      </c>
      <c r="AE58" s="120" t="s">
        <v>175</v>
      </c>
      <c r="AF58" s="120" t="s">
        <v>176</v>
      </c>
      <c r="AG58" s="120" t="s">
        <v>177</v>
      </c>
      <c r="AH58" s="120" t="s">
        <v>178</v>
      </c>
      <c r="AI58" s="120" t="s">
        <v>200</v>
      </c>
      <c r="AJ58" s="146" t="str">
        <f>$AJ$6</f>
        <v xml:space="preserve">Current WS Rate </v>
      </c>
      <c r="AK58" s="25" t="s">
        <v>202</v>
      </c>
      <c r="AL58" s="150" t="s">
        <v>182</v>
      </c>
      <c r="AM58" s="136" t="s">
        <v>183</v>
      </c>
      <c r="AN58" s="146" t="s">
        <v>279</v>
      </c>
      <c r="AO58" s="136" t="s">
        <v>137</v>
      </c>
      <c r="AP58" s="136" t="s">
        <v>140</v>
      </c>
      <c r="AQ58" s="136" t="s">
        <v>310</v>
      </c>
      <c r="AR58" s="136" t="s">
        <v>311</v>
      </c>
      <c r="AS58" s="136" t="s">
        <v>187</v>
      </c>
      <c r="AT58" s="136" t="s">
        <v>141</v>
      </c>
      <c r="AU58" s="136" t="s">
        <v>188</v>
      </c>
      <c r="AV58" s="136" t="s">
        <v>17</v>
      </c>
      <c r="AW58" s="136" t="s">
        <v>207</v>
      </c>
      <c r="AX58" s="136" t="s">
        <v>189</v>
      </c>
      <c r="AY58" s="136" t="s">
        <v>152</v>
      </c>
      <c r="AZ58" s="150" t="s">
        <v>208</v>
      </c>
      <c r="BA58" s="150" t="s">
        <v>209</v>
      </c>
      <c r="BB58" s="150" t="s">
        <v>210</v>
      </c>
      <c r="BC58" s="137" t="s">
        <v>211</v>
      </c>
      <c r="BE58" s="137" t="s">
        <v>195</v>
      </c>
      <c r="BG58" s="1011" t="s">
        <v>196</v>
      </c>
      <c r="BH58" s="1011"/>
    </row>
    <row r="59" spans="1:65" x14ac:dyDescent="0.35">
      <c r="B59" s="163">
        <f t="shared" ref="B59:B61" si="132">+$B$7</f>
        <v>43784</v>
      </c>
      <c r="C59" s="163">
        <f t="shared" ref="C59:C61" si="133">IF(ISBLANK(B59),"",B59+2)</f>
        <v>43786</v>
      </c>
      <c r="E59" s="16"/>
      <c r="F59" s="138">
        <f>IF(I59=N59,0,INDEX('[2]Flat Rates 2022'!$A:$DB,MATCH(I59,'[2]Flat Rates 2022'!$A:$A,0),MATCH(N59,'[2]Flat Rates 2022'!$A$1:$DB$1,0)))</f>
        <v>16.18</v>
      </c>
      <c r="G59" s="138">
        <f>INDEX(Control!$E$17:$L$21,MATCH(P59,Control!$E$17:$E$21,0),MATCH(I59,Control!$E$17:$L$17,0))</f>
        <v>0</v>
      </c>
      <c r="H59" s="138">
        <v>18</v>
      </c>
      <c r="I59" s="138" t="str">
        <f t="shared" ref="I59:I61" si="134">$I$7</f>
        <v>La Paloma (Alpha Ligh. Zone)</v>
      </c>
      <c r="J59" s="139">
        <f t="shared" ref="J59:K61" si="135">+B59+$H59</f>
        <v>43802</v>
      </c>
      <c r="K59" s="139">
        <f t="shared" si="135"/>
        <v>43804</v>
      </c>
      <c r="L59" s="140">
        <f>INDEX(Vessel_Minimum_MT,MATCH(P59,Control!$E$11:$E$15,0),MATCH(I59,Control!$E$11:$L$11,0))</f>
        <v>70000</v>
      </c>
      <c r="M59" s="140">
        <f t="shared" ref="M59:M61" si="136">Q59/$BL$15</f>
        <v>72482.280927835061</v>
      </c>
      <c r="N59" s="138" t="s">
        <v>55</v>
      </c>
      <c r="O59" s="138" t="str">
        <f>IF(N59=I59,"",CONCATENATE(CONCATENATE(VLOOKUP(I59,Zones,2,FALSE),"/",VLOOKUP(N59,Zones,2,FALSE))))</f>
        <v>LATAM EAST/CARIBS</v>
      </c>
      <c r="P59" s="147" t="s">
        <v>23</v>
      </c>
      <c r="Q59" s="141">
        <v>500000</v>
      </c>
      <c r="R59" s="17">
        <v>0</v>
      </c>
      <c r="S59" s="18">
        <v>0</v>
      </c>
      <c r="T59" s="148">
        <f t="shared" ref="T59:T61" si="137">IF($I59="Esmeraldas",IF(R59&gt;1000,IF(S59=0,R59,S59)/Q59*1.1,((L59*F59*(IF(S59=0,R59,S59)/100))+IF(M59&lt;L59,0,(M59-L59)*F59*IF(S59=0,R59,S59)/100*G59))/Q59*1.1),IF(R59&gt;1000,IF(S59=0,R59,S59)/Q59,((L59*F59*(IF(S59=0,R59,S59)/100))+IF(M59&lt;L59,0,(M59-L59)*F59*IF(S59=0,R59,S59)/100*G59)))/Q59)</f>
        <v>0</v>
      </c>
      <c r="U59" s="2"/>
      <c r="V59" s="138">
        <f>INDEX('[2]Flat Rates 2022'!$A:$DB,MATCH(Y59,'[2]Flat Rates 2022'!$A:$A,0),MATCH(AG59,'[2]Flat Rates 2022'!$A$1:$DB$1,0))</f>
        <v>18.82</v>
      </c>
      <c r="W59" s="138">
        <f>INDEX(Control!$E$17:$L$21,MATCH(AF59,Control!$E$17:$E$21,0),MATCH(Y59,Control!$E$17:$L$17,0))</f>
        <v>0</v>
      </c>
      <c r="X59" s="138">
        <v>19.5</v>
      </c>
      <c r="Y59" s="138" t="s">
        <v>55</v>
      </c>
      <c r="Z59" s="139">
        <v>43430</v>
      </c>
      <c r="AA59" s="139">
        <f t="shared" ref="AA59:AA61" si="138">+Z59+4</f>
        <v>43434</v>
      </c>
      <c r="AB59" s="139">
        <f t="shared" ref="AB59:AC61" si="139">+Z59+$H59</f>
        <v>43448</v>
      </c>
      <c r="AC59" s="139">
        <f t="shared" si="139"/>
        <v>43452</v>
      </c>
      <c r="AD59" s="140">
        <f>INDEX(Vessel_Minimum_MT,MATCH(AF59,Control!$E$11:$E$15,0),MATCH(Y59,Control!$E$11:$L$11,0))</f>
        <v>70000</v>
      </c>
      <c r="AE59" s="140">
        <f t="shared" ref="AE59:AE61" si="140">AI59/$BL$15</f>
        <v>104374.48453608248</v>
      </c>
      <c r="AF59" s="147" t="s">
        <v>23</v>
      </c>
      <c r="AG59" s="142" t="s">
        <v>42</v>
      </c>
      <c r="AH59" s="142" t="str">
        <f>IF(AG59=Y59,"",CONCATENATE(CONCATENATE(VLOOKUP(Y59,Zones,2,FALSE),"/",VLOOKUP(AG59,Zones,2,FALSE))))</f>
        <v>CARIBS/Nsea</v>
      </c>
      <c r="AI59" s="141">
        <v>720000</v>
      </c>
      <c r="AJ59" s="141" t="e">
        <f t="shared" ref="AJ59:AJ61" si="141">$AJ$64</f>
        <v>#N/A</v>
      </c>
      <c r="AK59" s="151">
        <v>155</v>
      </c>
      <c r="AL59" s="149" t="e">
        <f t="shared" ref="AL59:AL61" si="142">IF($Y59="Esmeraldas",IF(AJ59&gt;1000,IF(AK59=0,AJ59,AK59)/AI59*1.1,((AD59*V59*(IF(AK59=0,AJ59,AK59)/100))+IF(AE59&lt;AD59,0,(AE59-AD59)*V59*IF(AK59=0,AJ59,AK59)/100*W59))/AI59*1.1),IF(AJ59&gt;1000,IF(AK59=0,AJ59,AK59)/AI59,((AD59*V59*(IF(AK59=0,AJ59,AK59)/100))+IF(AE59&lt;AD59,0,(AE59-AD59)*V59*IF(AK59=0,AJ59,AK59)/100*W59))/AI59))</f>
        <v>#N/A</v>
      </c>
      <c r="AM59" s="134">
        <v>2</v>
      </c>
      <c r="AN59" s="155" t="e">
        <f>INDEX('[1]Transit Time'!$A:$DC,MATCH(I59,'[1]Transit Time'!$A:$A,0),MATCH(N59,'[1]Transit Time'!$A$1:$DC$1,0))+INDEX('[1]Transit Time'!$A:$DC,MATCH(N59,'[1]Transit Time'!$A:$A,0),MATCH(Y59,'[1]Transit Time'!$A$1:$DC$1,0))+INDEX('[1]Transit Time'!$A:$DC,MATCH(Y59,'[1]Transit Time'!$A:$A,0),MATCH(AG59,'[1]Transit Time'!$A$1:$DC$1,0))-VLOOKUP($I59,Control!$Q$3:$T$29,4,FALSE)+VLOOKUP($AG59,Control!$Q$3:$T$29,4,FALSE)</f>
        <v>#N/A</v>
      </c>
      <c r="AO59" s="143">
        <f>AM59*VLOOKUP($AF59,$BJ$17:$BM$21,3,FALSE)/$AI59</f>
        <v>9.7222222222222224E-2</v>
      </c>
      <c r="AP59" s="143" t="e">
        <f>IF(AN59&lt;0,0,$AN59*$BL$9)</f>
        <v>#N/A</v>
      </c>
      <c r="AQ59" s="143">
        <f>IF($I59="Esmeraldas",$BL$8,0)</f>
        <v>0</v>
      </c>
      <c r="AR59" s="143">
        <v>0</v>
      </c>
      <c r="AS59" s="143" t="e">
        <v>#N/A</v>
      </c>
      <c r="AT59" s="143">
        <f t="shared" ref="AT59:AT61" si="143">$BL$10</f>
        <v>0.01</v>
      </c>
      <c r="AU59" s="143">
        <f t="shared" ref="AU59:AU61" si="144">$BL$11</f>
        <v>0.01</v>
      </c>
      <c r="AV59" s="143">
        <f>IF(INDEX(Control!$Q$3:$S$36,MATCH($AG59,Control!$Q$3:$Q$36,0),MATCH(AV$6,Control!$Q$3:$S$3,0))=1,$BL$12*$BM$12,0)</f>
        <v>0</v>
      </c>
      <c r="AW59" s="143" t="e">
        <f>IF(INDEX(Control!$Q$3:$S$36,MATCH($AG59,Control!$Q$3:$Q$36,0),MATCH(AW$6,Control!$Q$3:$S$3,0))=1,$BL$13/$AI59,0)</f>
        <v>#N/A</v>
      </c>
      <c r="AX59" s="143">
        <f t="shared" ref="AX59:AX61" si="145">$BL$14</f>
        <v>0</v>
      </c>
      <c r="AY59" s="143">
        <f t="shared" ref="AY59:AY61" si="146">IF(AND(N59="Chiriqui Grande",Y59="Puerto Armuelles"),$T$3,0)</f>
        <v>0</v>
      </c>
      <c r="AZ59" s="149" t="e">
        <f t="shared" ref="AZ59:AZ61" si="147">SUM(AO59:AY59)</f>
        <v>#N/A</v>
      </c>
      <c r="BA59" s="149" t="e">
        <f t="shared" ref="BA59:BA61" si="148">+T59+AL59+AZ59</f>
        <v>#N/A</v>
      </c>
      <c r="BB59" s="149">
        <f t="shared" ref="BB59:BB61" si="149">$BB$3</f>
        <v>-0.35</v>
      </c>
      <c r="BC59" s="145" t="e">
        <f t="shared" ref="BC59:BC61" si="150">$P$3+BA59+BB59+$AH$3</f>
        <v>#N/A</v>
      </c>
      <c r="BE59" s="153">
        <f>INDEX('[1]Transit Time'!$A:$DC,MATCH(I59,'[1]Transit Time'!$A:$A,0),MATCH(N59,'[1]Transit Time'!$A$1:$DC$1,0))+INDEX('[1]Transit Time'!$A:$DC,MATCH(N59,'[1]Transit Time'!$A:$A,0),MATCH(Y59,'[1]Transit Time'!$A$1:$DC$1,0))+INDEX('[1]Transit Time'!$A:$DC,MATCH(Y59,'[1]Transit Time'!$A:$A,0),MATCH(AG59,'[1]Transit Time'!$A$1:$DC$1,0))</f>
        <v>19.5</v>
      </c>
      <c r="BG59" s="163">
        <f t="shared" ref="BG59:BG61" si="151">IF(ISBLANK(B59),"",B59+$BE59)</f>
        <v>43803.5</v>
      </c>
      <c r="BH59" s="163">
        <f t="shared" ref="BH59:BH61" si="152">IFERROR(IF(ISBLANK(C59),"",C59+$BE59),"")</f>
        <v>43805.5</v>
      </c>
    </row>
    <row r="60" spans="1:65" x14ac:dyDescent="0.35">
      <c r="B60" s="163">
        <f t="shared" si="132"/>
        <v>43784</v>
      </c>
      <c r="C60" s="163">
        <f t="shared" si="133"/>
        <v>43786</v>
      </c>
      <c r="E60" s="8"/>
      <c r="F60" s="142">
        <f>IF(I60=N60,0,INDEX('[2]Flat Rates 2022'!$A:$DB,MATCH(I60,'[2]Flat Rates 2022'!$A:$A,0),MATCH(N60,'[2]Flat Rates 2022'!$A$1:$DB$1,0)))</f>
        <v>16.18</v>
      </c>
      <c r="G60" s="142">
        <f>INDEX(Control!$E$17:$L$21,MATCH(P60,Control!$E$17:$E$21,0),MATCH(I60,Control!$E$17:$L$17,0))</f>
        <v>0</v>
      </c>
      <c r="H60" s="142">
        <v>18</v>
      </c>
      <c r="I60" s="142" t="str">
        <f t="shared" si="134"/>
        <v>La Paloma (Alpha Ligh. Zone)</v>
      </c>
      <c r="J60" s="19">
        <f t="shared" si="135"/>
        <v>43802</v>
      </c>
      <c r="K60" s="19">
        <f t="shared" si="135"/>
        <v>43804</v>
      </c>
      <c r="L60" s="144">
        <f>INDEX(Vessel_Minimum_MT,MATCH(P60,Control!$E$11:$E$15,0),MATCH(I60,Control!$E$11:$L$11,0))</f>
        <v>70000</v>
      </c>
      <c r="M60" s="144">
        <f t="shared" si="136"/>
        <v>72482.280927835061</v>
      </c>
      <c r="N60" s="142" t="s">
        <v>55</v>
      </c>
      <c r="O60" s="142" t="str">
        <f>IF(N60=I60,"",CONCATENATE(CONCATENATE(VLOOKUP(I60,Zones,2,FALSE),"/",VLOOKUP(N60,Zones,2,FALSE))))</f>
        <v>LATAM EAST/CARIBS</v>
      </c>
      <c r="P60" s="147" t="s">
        <v>23</v>
      </c>
      <c r="Q60" s="141">
        <v>500000</v>
      </c>
      <c r="R60" s="13">
        <v>0</v>
      </c>
      <c r="S60" s="14">
        <v>0</v>
      </c>
      <c r="T60" s="148">
        <f t="shared" si="137"/>
        <v>0</v>
      </c>
      <c r="U60" s="2"/>
      <c r="V60" s="138">
        <f>INDEX('[2]Flat Rates 2022'!$A:$DB,MATCH(Y60,'[2]Flat Rates 2022'!$A:$A,0),MATCH(AG60,'[2]Flat Rates 2022'!$A$1:$DB$1,0))</f>
        <v>21.55</v>
      </c>
      <c r="W60" s="138">
        <f>INDEX(Control!$E$17:$L$21,MATCH(AF60,Control!$E$17:$E$21,0),MATCH(Y60,Control!$E$17:$L$17,0))</f>
        <v>0</v>
      </c>
      <c r="X60" s="138">
        <v>21.5</v>
      </c>
      <c r="Y60" s="138" t="s">
        <v>55</v>
      </c>
      <c r="Z60" s="139">
        <v>43430</v>
      </c>
      <c r="AA60" s="139">
        <f t="shared" si="138"/>
        <v>43434</v>
      </c>
      <c r="AB60" s="139">
        <f t="shared" si="139"/>
        <v>43448</v>
      </c>
      <c r="AC60" s="139">
        <f t="shared" si="139"/>
        <v>43452</v>
      </c>
      <c r="AD60" s="140">
        <f>INDEX(Vessel_Minimum_MT,MATCH(AF60,Control!$E$11:$E$15,0),MATCH(Y60,Control!$E$11:$L$11,0))</f>
        <v>70000</v>
      </c>
      <c r="AE60" s="140">
        <f t="shared" si="140"/>
        <v>104374.48453608248</v>
      </c>
      <c r="AF60" s="147" t="s">
        <v>23</v>
      </c>
      <c r="AG60" s="142" t="s">
        <v>29</v>
      </c>
      <c r="AH60" s="142" t="str">
        <f>IF(AG60=Y60,"",CONCATENATE(CONCATENATE(VLOOKUP(Y60,Zones,2,FALSE),"/",VLOOKUP(AG60,Zones,2,FALSE))))</f>
        <v>CARIBS/Med</v>
      </c>
      <c r="AI60" s="141">
        <v>720000</v>
      </c>
      <c r="AJ60" s="141" t="e">
        <f t="shared" si="141"/>
        <v>#N/A</v>
      </c>
      <c r="AK60" s="151">
        <v>155</v>
      </c>
      <c r="AL60" s="149" t="e">
        <f t="shared" si="142"/>
        <v>#N/A</v>
      </c>
      <c r="AM60" s="134">
        <v>2</v>
      </c>
      <c r="AN60" s="155" t="e">
        <f>INDEX('[1]Transit Time'!$A:$DC,MATCH(I60,'[1]Transit Time'!$A:$A,0),MATCH(N60,'[1]Transit Time'!$A$1:$DC$1,0))+INDEX('[1]Transit Time'!$A:$DC,MATCH(N60,'[1]Transit Time'!$A:$A,0),MATCH(Y60,'[1]Transit Time'!$A$1:$DC$1,0))+INDEX('[1]Transit Time'!$A:$DC,MATCH(Y60,'[1]Transit Time'!$A:$A,0),MATCH(AG60,'[1]Transit Time'!$A$1:$DC$1,0))-VLOOKUP($I60,Control!$Q$3:$T$29,4,FALSE)+VLOOKUP($AG60,Control!$Q$3:$T$29,4,FALSE)</f>
        <v>#N/A</v>
      </c>
      <c r="AO60" s="143">
        <f>AM60*VLOOKUP($AF60,$BJ$17:$BM$21,3,FALSE)/$AI60</f>
        <v>9.7222222222222224E-2</v>
      </c>
      <c r="AP60" s="143" t="e">
        <f>IF(AN60&lt;0,0,$AN60*$BL$9)</f>
        <v>#N/A</v>
      </c>
      <c r="AQ60" s="143">
        <f>IF($I60="Esmeraldas",$BL$8,0)</f>
        <v>0</v>
      </c>
      <c r="AR60" s="143">
        <v>0</v>
      </c>
      <c r="AS60" s="143" t="e">
        <v>#N/A</v>
      </c>
      <c r="AT60" s="143">
        <f t="shared" si="143"/>
        <v>0.01</v>
      </c>
      <c r="AU60" s="143">
        <f t="shared" si="144"/>
        <v>0.01</v>
      </c>
      <c r="AV60" s="143">
        <f>IF(INDEX(Control!$Q$3:$S$36,MATCH($AG60,Control!$Q$3:$Q$36,0),MATCH(AV$6,Control!$Q$3:$S$3,0))=1,$BL$12*$BM$12,0)</f>
        <v>0</v>
      </c>
      <c r="AW60" s="143" t="e">
        <f>IF(INDEX(Control!$Q$3:$S$36,MATCH($AG60,Control!$Q$3:$Q$36,0),MATCH(AW$6,Control!$Q$3:$S$3,0))=1,$BL$13/$AI60,0)</f>
        <v>#N/A</v>
      </c>
      <c r="AX60" s="143">
        <f t="shared" si="145"/>
        <v>0</v>
      </c>
      <c r="AY60" s="143">
        <f t="shared" si="146"/>
        <v>0</v>
      </c>
      <c r="AZ60" s="149" t="e">
        <f t="shared" si="147"/>
        <v>#N/A</v>
      </c>
      <c r="BA60" s="149" t="e">
        <f t="shared" si="148"/>
        <v>#N/A</v>
      </c>
      <c r="BB60" s="149">
        <f t="shared" si="149"/>
        <v>-0.35</v>
      </c>
      <c r="BC60" s="145" t="e">
        <f t="shared" si="150"/>
        <v>#N/A</v>
      </c>
      <c r="BD60" s="152"/>
      <c r="BE60" s="153">
        <f>INDEX('[1]Transit Time'!$A:$DC,MATCH(I60,'[1]Transit Time'!$A:$A,0),MATCH(N60,'[1]Transit Time'!$A$1:$DC$1,0))+INDEX('[1]Transit Time'!$A:$DC,MATCH(N60,'[1]Transit Time'!$A:$A,0),MATCH(Y60,'[1]Transit Time'!$A$1:$DC$1,0))+INDEX('[1]Transit Time'!$A:$DC,MATCH(Y60,'[1]Transit Time'!$A:$A,0),MATCH(AG60,'[1]Transit Time'!$A$1:$DC$1,0))</f>
        <v>21.5</v>
      </c>
      <c r="BF60" s="152"/>
      <c r="BG60" s="163">
        <f t="shared" si="151"/>
        <v>43805.5</v>
      </c>
      <c r="BH60" s="163">
        <f t="shared" si="152"/>
        <v>43807.5</v>
      </c>
    </row>
    <row r="61" spans="1:65" s="152" customFormat="1" ht="17.149999999999999" customHeight="1" thickBot="1" x14ac:dyDescent="0.4">
      <c r="A61" s="35"/>
      <c r="B61" s="163">
        <f t="shared" si="132"/>
        <v>43784</v>
      </c>
      <c r="C61" s="163">
        <f t="shared" si="133"/>
        <v>43786</v>
      </c>
      <c r="D61"/>
      <c r="E61" s="8"/>
      <c r="F61" s="142">
        <f>IF(I61=N61,0,INDEX('[2]Flat Rates 2022'!$A:$DB,MATCH(I61,'[2]Flat Rates 2022'!$A:$A,0),MATCH(N61,'[2]Flat Rates 2022'!$A$1:$DB$1,0)))</f>
        <v>16.18</v>
      </c>
      <c r="G61" s="142">
        <f>INDEX(Control!$E$17:$L$21,MATCH(P61,Control!$E$17:$E$21,0),MATCH(I61,Control!$E$17:$L$17,0))</f>
        <v>0</v>
      </c>
      <c r="H61" s="142">
        <v>18</v>
      </c>
      <c r="I61" s="142" t="str">
        <f t="shared" si="134"/>
        <v>La Paloma (Alpha Ligh. Zone)</v>
      </c>
      <c r="J61" s="19">
        <f t="shared" si="135"/>
        <v>43802</v>
      </c>
      <c r="K61" s="19">
        <f t="shared" si="135"/>
        <v>43804</v>
      </c>
      <c r="L61" s="144">
        <f>INDEX(Vessel_Minimum_MT,MATCH(P61,Control!$E$11:$E$15,0),MATCH(I61,Control!$E$11:$L$11,0))</f>
        <v>70000</v>
      </c>
      <c r="M61" s="144">
        <f t="shared" si="136"/>
        <v>72482.280927835061</v>
      </c>
      <c r="N61" s="142" t="s">
        <v>55</v>
      </c>
      <c r="O61" s="142" t="str">
        <f>IF(N61=I61,"",CONCATENATE(CONCATENATE(VLOOKUP(I61,Zones,2,FALSE),"/",VLOOKUP(N61,Zones,2,FALSE))))</f>
        <v>LATAM EAST/CARIBS</v>
      </c>
      <c r="P61" s="147" t="s">
        <v>23</v>
      </c>
      <c r="Q61" s="141">
        <v>500000</v>
      </c>
      <c r="R61" s="13">
        <v>0</v>
      </c>
      <c r="S61" s="14">
        <v>0</v>
      </c>
      <c r="T61" s="148">
        <f t="shared" si="137"/>
        <v>0</v>
      </c>
      <c r="U61" s="2"/>
      <c r="V61" s="47">
        <f>INDEX('[2]Flat Rates 2022'!$A:$DB,MATCH(Y61,'[2]Flat Rates 2022'!$A:$A,0),MATCH(AG61,'[2]Flat Rates 2022'!$A$1:$DB$1,0))</f>
        <v>23.84</v>
      </c>
      <c r="W61" s="138">
        <f>INDEX(Control!$E$17:$L$21,MATCH(AF61,Control!$E$17:$E$21,0),MATCH(Y61,Control!$E$17:$L$17,0))</f>
        <v>0</v>
      </c>
      <c r="X61" s="138">
        <v>0</v>
      </c>
      <c r="Y61" s="138" t="s">
        <v>55</v>
      </c>
      <c r="Z61" s="139">
        <v>43430</v>
      </c>
      <c r="AA61" s="139">
        <f t="shared" si="138"/>
        <v>43434</v>
      </c>
      <c r="AB61" s="139">
        <f t="shared" si="139"/>
        <v>43448</v>
      </c>
      <c r="AC61" s="139">
        <f t="shared" si="139"/>
        <v>43452</v>
      </c>
      <c r="AD61" s="140">
        <f>INDEX(Vessel_Minimum_MT,MATCH(AF61,Control!$E$11:$E$15,0),MATCH(Y61,Control!$E$11:$L$11,0))</f>
        <v>70000</v>
      </c>
      <c r="AE61" s="140">
        <f t="shared" si="140"/>
        <v>104374.48453608248</v>
      </c>
      <c r="AF61" s="147" t="s">
        <v>23</v>
      </c>
      <c r="AG61" s="111" t="s">
        <v>50</v>
      </c>
      <c r="AH61" s="142" t="str">
        <f>IF(AG61=Y61,"",CONCATENATE(CONCATENATE(VLOOKUP(Y61,Zones,2,FALSE),"/",VLOOKUP(AG61,Zones,2,FALSE))))</f>
        <v>CARIBS/Med</v>
      </c>
      <c r="AI61" s="141">
        <v>720000</v>
      </c>
      <c r="AJ61" s="141" t="e">
        <f t="shared" si="141"/>
        <v>#N/A</v>
      </c>
      <c r="AK61" s="151">
        <v>155</v>
      </c>
      <c r="AL61" s="149" t="e">
        <f t="shared" si="142"/>
        <v>#N/A</v>
      </c>
      <c r="AM61" s="134">
        <v>2</v>
      </c>
      <c r="AN61" s="155" t="e">
        <f>INDEX('[1]Transit Time'!$A:$DC,MATCH(I61,'[1]Transit Time'!$A:$A,0),MATCH(N61,'[1]Transit Time'!$A$1:$DC$1,0))+INDEX('[1]Transit Time'!$A:$DC,MATCH(N61,'[1]Transit Time'!$A:$A,0),MATCH(Y61,'[1]Transit Time'!$A$1:$DC$1,0))+INDEX('[1]Transit Time'!$A:$DC,MATCH(Y61,'[1]Transit Time'!$A:$A,0),MATCH(AG61,'[1]Transit Time'!$A$1:$DC$1,0))-VLOOKUP($I61,Control!$Q$3:$T$29,4,FALSE)+VLOOKUP($AG61,Control!$Q$3:$T$29,4,FALSE)</f>
        <v>#N/A</v>
      </c>
      <c r="AO61" s="143">
        <f>AM61*VLOOKUP($AF61,$BJ$17:$BM$21,3,FALSE)/$AI61</f>
        <v>9.7222222222222224E-2</v>
      </c>
      <c r="AP61" s="143" t="e">
        <f>IF(AN61&lt;0,0,$AN61*$BL$9)</f>
        <v>#N/A</v>
      </c>
      <c r="AQ61" s="143">
        <f>IF($I61="Esmeraldas",$BL$8,0)</f>
        <v>0</v>
      </c>
      <c r="AR61" s="143">
        <v>0</v>
      </c>
      <c r="AS61" s="143" t="e">
        <v>#N/A</v>
      </c>
      <c r="AT61" s="143">
        <f t="shared" si="143"/>
        <v>0.01</v>
      </c>
      <c r="AU61" s="143">
        <f t="shared" si="144"/>
        <v>0.01</v>
      </c>
      <c r="AV61" s="143">
        <f>IF(INDEX(Control!$Q$3:$S$36,MATCH($AG61,Control!$Q$3:$Q$36,0),MATCH(AV$6,Control!$Q$3:$S$3,0))=1,$BL$12*$BM$12,0)</f>
        <v>0</v>
      </c>
      <c r="AW61" s="143" t="e">
        <f>IF(INDEX(Control!$Q$3:$S$36,MATCH($AG61,Control!$Q$3:$Q$36,0),MATCH(AW$6,Control!$Q$3:$S$3,0))=1,$BL$13/$AI61,0)</f>
        <v>#N/A</v>
      </c>
      <c r="AX61" s="143">
        <f t="shared" si="145"/>
        <v>0</v>
      </c>
      <c r="AY61" s="143">
        <f t="shared" si="146"/>
        <v>0</v>
      </c>
      <c r="AZ61" s="149" t="e">
        <f t="shared" si="147"/>
        <v>#N/A</v>
      </c>
      <c r="BA61" s="149" t="e">
        <f t="shared" si="148"/>
        <v>#N/A</v>
      </c>
      <c r="BB61" s="149">
        <f t="shared" si="149"/>
        <v>-0.35</v>
      </c>
      <c r="BC61" s="145" t="e">
        <f t="shared" si="150"/>
        <v>#N/A</v>
      </c>
      <c r="BD61" s="2"/>
      <c r="BE61" s="153">
        <f>INDEX('[1]Transit Time'!$A:$DC,MATCH(I61,'[1]Transit Time'!$A:$A,0),MATCH(N61,'[1]Transit Time'!$A$1:$DC$1,0))+INDEX('[1]Transit Time'!$A:$DC,MATCH(N61,'[1]Transit Time'!$A:$A,0),MATCH(Y61,'[1]Transit Time'!$A$1:$DC$1,0))+INDEX('[1]Transit Time'!$A:$DC,MATCH(Y61,'[1]Transit Time'!$A:$A,0),MATCH(AG61,'[1]Transit Time'!$A$1:$DC$1,0))</f>
        <v>20.399999999999999</v>
      </c>
      <c r="BF61" s="2"/>
      <c r="BG61" s="163">
        <f t="shared" si="151"/>
        <v>43804.4</v>
      </c>
      <c r="BH61" s="163">
        <f t="shared" si="152"/>
        <v>43806.400000000001</v>
      </c>
      <c r="BI61"/>
      <c r="BJ61" s="2"/>
      <c r="BK61" s="2"/>
      <c r="BL61" s="2"/>
      <c r="BM61" s="2"/>
    </row>
    <row r="62" spans="1:65" s="152" customFormat="1" ht="19.5" customHeight="1" thickBot="1" x14ac:dyDescent="0.5">
      <c r="A62" s="35"/>
      <c r="B62"/>
      <c r="C62"/>
      <c r="D62"/>
      <c r="E62" s="1049"/>
      <c r="F62" s="1050"/>
      <c r="G62" s="1050"/>
      <c r="H62" s="1050"/>
      <c r="I62" s="1050"/>
      <c r="J62" s="1050"/>
      <c r="K62" s="1050"/>
      <c r="L62" s="1050"/>
      <c r="M62" s="1050"/>
      <c r="N62" s="1050"/>
      <c r="O62" s="1050"/>
      <c r="P62" s="1050"/>
      <c r="Q62" s="1050"/>
      <c r="R62" s="1050"/>
      <c r="S62" s="1050"/>
      <c r="T62" s="1050"/>
      <c r="U62" s="2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049" t="s">
        <v>320</v>
      </c>
      <c r="AG62" s="1050"/>
      <c r="AH62" s="1050"/>
      <c r="AI62" s="1050"/>
      <c r="AJ62" s="1050"/>
      <c r="AK62" s="1050"/>
      <c r="AL62" s="1050"/>
      <c r="AM62" s="1050"/>
      <c r="AN62" s="1050"/>
      <c r="AO62" s="1050"/>
      <c r="AP62" s="1050"/>
      <c r="AQ62" s="1050"/>
      <c r="AR62" s="1050"/>
      <c r="AS62" s="1050"/>
      <c r="AT62" s="1050"/>
      <c r="AU62" s="1050"/>
      <c r="AV62" s="1050"/>
      <c r="AW62" s="1050"/>
      <c r="AX62" s="1050"/>
      <c r="AY62" s="1050"/>
      <c r="AZ62" s="1050"/>
      <c r="BA62" s="1050"/>
      <c r="BB62" s="1050"/>
      <c r="BC62" s="1051"/>
      <c r="BD62" s="2"/>
      <c r="BE62"/>
      <c r="BF62" s="2"/>
      <c r="BG62"/>
      <c r="BH62"/>
      <c r="BI62"/>
    </row>
    <row r="63" spans="1:65" ht="31" x14ac:dyDescent="0.35">
      <c r="B63" s="1052" t="s">
        <v>167</v>
      </c>
      <c r="C63" s="1052"/>
      <c r="E63" s="59" t="s">
        <v>276</v>
      </c>
      <c r="F63" s="60" t="s">
        <v>172</v>
      </c>
      <c r="G63" s="60" t="s">
        <v>2</v>
      </c>
      <c r="H63" s="60" t="s">
        <v>195</v>
      </c>
      <c r="I63" s="60" t="s">
        <v>173</v>
      </c>
      <c r="J63" s="60" t="s">
        <v>308</v>
      </c>
      <c r="K63" s="60"/>
      <c r="L63" s="60" t="s">
        <v>174</v>
      </c>
      <c r="M63" s="60" t="s">
        <v>175</v>
      </c>
      <c r="N63" s="60" t="s">
        <v>177</v>
      </c>
      <c r="O63" s="60" t="s">
        <v>178</v>
      </c>
      <c r="P63" s="61" t="s">
        <v>176</v>
      </c>
      <c r="Q63" s="59" t="s">
        <v>200</v>
      </c>
      <c r="R63" s="59" t="str">
        <f>$R$6</f>
        <v>WS Rate</v>
      </c>
      <c r="S63" s="62" t="s">
        <v>202</v>
      </c>
      <c r="T63" s="63" t="s">
        <v>309</v>
      </c>
      <c r="U63" s="2"/>
      <c r="V63" s="120" t="s">
        <v>172</v>
      </c>
      <c r="W63" s="120" t="s">
        <v>2</v>
      </c>
      <c r="X63" s="120" t="s">
        <v>195</v>
      </c>
      <c r="Y63" s="120" t="s">
        <v>173</v>
      </c>
      <c r="Z63" s="120" t="s">
        <v>167</v>
      </c>
      <c r="AA63" s="120"/>
      <c r="AB63" s="120" t="s">
        <v>308</v>
      </c>
      <c r="AC63" s="120"/>
      <c r="AD63" s="120" t="s">
        <v>174</v>
      </c>
      <c r="AE63" s="120" t="s">
        <v>175</v>
      </c>
      <c r="AF63" s="120" t="s">
        <v>176</v>
      </c>
      <c r="AG63" s="120" t="s">
        <v>177</v>
      </c>
      <c r="AH63" s="120" t="s">
        <v>178</v>
      </c>
      <c r="AI63" s="120" t="s">
        <v>200</v>
      </c>
      <c r="AJ63" s="146" t="str">
        <f>$AJ$6</f>
        <v xml:space="preserve">Current WS Rate </v>
      </c>
      <c r="AK63" s="25" t="s">
        <v>202</v>
      </c>
      <c r="AL63" s="150" t="s">
        <v>182</v>
      </c>
      <c r="AM63" s="136" t="str">
        <f t="shared" ref="AM63:BC63" si="153">AM50</f>
        <v xml:space="preserve">Demurrage </v>
      </c>
      <c r="AN63" s="146" t="str">
        <f t="shared" si="153"/>
        <v xml:space="preserve">TVOM Days </v>
      </c>
      <c r="AO63" s="136" t="str">
        <f t="shared" si="153"/>
        <v>Demurrage</v>
      </c>
      <c r="AP63" s="136" t="str">
        <f t="shared" si="153"/>
        <v>TVOM</v>
      </c>
      <c r="AQ63" s="136" t="str">
        <f t="shared" si="153"/>
        <v>Ecuador Port Charges</v>
      </c>
      <c r="AR63" s="136" t="str">
        <f t="shared" si="153"/>
        <v>Lightering/Reverse Lightering/Extra Port Cost</v>
      </c>
      <c r="AS63" s="136" t="str">
        <f t="shared" si="153"/>
        <v>Panama Canal</v>
      </c>
      <c r="AT63" s="136" t="str">
        <f t="shared" si="153"/>
        <v>Insurance</v>
      </c>
      <c r="AU63" s="136" t="str">
        <f t="shared" si="153"/>
        <v>Inspection</v>
      </c>
      <c r="AV63" s="136" t="str">
        <f t="shared" si="153"/>
        <v>Outturn Losses</v>
      </c>
      <c r="AW63" s="136" t="str">
        <f t="shared" si="153"/>
        <v>ECA costs</v>
      </c>
      <c r="AX63" s="136" t="str">
        <f t="shared" si="153"/>
        <v>Other costs</v>
      </c>
      <c r="AY63" s="136" t="str">
        <f t="shared" si="153"/>
        <v>Pipeline Fee</v>
      </c>
      <c r="AZ63" s="150" t="str">
        <f t="shared" si="153"/>
        <v>Total Secondary Costs</v>
      </c>
      <c r="BA63" s="150" t="str">
        <f t="shared" si="153"/>
        <v>All In Cost</v>
      </c>
      <c r="BB63" s="150" t="str">
        <f t="shared" si="153"/>
        <v>Structure</v>
      </c>
      <c r="BC63" s="137" t="str">
        <f t="shared" si="153"/>
        <v>DES Price</v>
      </c>
      <c r="BE63" s="137" t="s">
        <v>195</v>
      </c>
      <c r="BG63" s="1052" t="s">
        <v>196</v>
      </c>
      <c r="BH63" s="1052"/>
      <c r="BJ63" s="152"/>
      <c r="BK63" s="152"/>
      <c r="BL63" s="152"/>
      <c r="BM63" s="152"/>
    </row>
    <row r="64" spans="1:65" ht="14.15" customHeight="1" x14ac:dyDescent="0.35">
      <c r="B64" s="163">
        <f t="shared" ref="B64:B66" si="154">+$B$7</f>
        <v>43784</v>
      </c>
      <c r="C64" s="163">
        <f t="shared" ref="C64:C66" si="155">IF(ISBLANK(B64),"",B64+2)</f>
        <v>43786</v>
      </c>
      <c r="E64" s="64"/>
      <c r="F64" s="65">
        <f>IF(I64=N64,0,INDEX('[2]Flat Rates 2022'!$A:$DB,MATCH(I64,'[2]Flat Rates 2022'!$A:$A,0),MATCH(N64,'[2]Flat Rates 2022'!$A$1:$DB$1,0)))</f>
        <v>0</v>
      </c>
      <c r="G64" s="65">
        <f>INDEX(Control!$E$17:$L$21,MATCH(P64,Control!$E$17:$E$21,0),MATCH(I64,Control!$E$17:$L$17,0))</f>
        <v>0.5</v>
      </c>
      <c r="H64" s="65" t="e">
        <v>#N/A</v>
      </c>
      <c r="I64" s="65" t="str">
        <f t="shared" ref="I64:I66" si="156">$I$7</f>
        <v>La Paloma (Alpha Ligh. Zone)</v>
      </c>
      <c r="J64" s="66" t="e">
        <f t="shared" ref="J64:K66" si="157">+B64+$H64</f>
        <v>#N/A</v>
      </c>
      <c r="K64" s="66" t="e">
        <f t="shared" si="157"/>
        <v>#N/A</v>
      </c>
      <c r="L64" s="67">
        <f>INDEX(Vessel_Minimum_MT,MATCH(P64,Control!$E$11:$E$15,0),MATCH(I64,Control!$E$11:$L$11,0))</f>
        <v>50000</v>
      </c>
      <c r="M64" s="67">
        <f>Q64/$BL$15</f>
        <v>68858.166881443307</v>
      </c>
      <c r="N64" s="65" t="s">
        <v>65</v>
      </c>
      <c r="O64" s="65" t="str">
        <f>IF(N64=I64,"",CONCATENATE(CONCATENATE(VLOOKUP(I64,Zones,2,FALSE),"/",VLOOKUP(N64,Zones,2,FALSE))))</f>
        <v/>
      </c>
      <c r="P64" s="156" t="s">
        <v>22</v>
      </c>
      <c r="Q64" s="68">
        <v>475000</v>
      </c>
      <c r="R64" s="69">
        <v>0</v>
      </c>
      <c r="S64" s="70">
        <v>0</v>
      </c>
      <c r="T64" s="71">
        <f t="shared" ref="T64:T66" si="158">IF($I64="Esmeraldas",IF(R64&gt;1000,IF(S64=0,R64,S64)/Q64*1.1,((L64*F64*(IF(S64=0,R64,S64)/100))+IF(M64&lt;L64,0,(M64-L64)*F64*IF(S64=0,R64,S64)/100*G64))/Q64*1.1),IF(R64&gt;1000,IF(S64=0,R64,S64)/Q64,((L64*F64*(IF(S64=0,R64,S64)/100))+IF(M64&lt;L64,0,(M64-L64)*F64*IF(S64=0,R64,S64)/100*G64)))/Q64)</f>
        <v>0</v>
      </c>
      <c r="U64" s="2"/>
      <c r="V64" s="138">
        <f>INDEX('[2]Flat Rates 2022'!$A:$DB,MATCH(Y64,'[2]Flat Rates 2022'!$A:$A,0),MATCH(AG64,'[2]Flat Rates 2022'!$A$1:$DB$1,0))</f>
        <v>0</v>
      </c>
      <c r="W64" s="138">
        <f>INDEX(Control!$E$17:$L$21,MATCH(AF64,Control!$E$17:$E$21,0),MATCH(Y64,Control!$E$17:$L$17,0))</f>
        <v>0</v>
      </c>
      <c r="X64" s="138">
        <v>0</v>
      </c>
      <c r="Y64" s="138" t="s">
        <v>65</v>
      </c>
      <c r="Z64" s="139">
        <v>43430</v>
      </c>
      <c r="AA64" s="139">
        <f t="shared" ref="AA64:AA66" si="159">+Z64+4</f>
        <v>43434</v>
      </c>
      <c r="AB64" s="139" t="e">
        <f t="shared" ref="AB64:AC66" si="160">+Z64+$H64</f>
        <v>#N/A</v>
      </c>
      <c r="AC64" s="139" t="e">
        <f t="shared" si="160"/>
        <v>#N/A</v>
      </c>
      <c r="AD64" s="140">
        <f>INDEX(Vessel_Minimum_MT,MATCH(AF64,Control!$E$11:$E$15,0),MATCH(Y64,Control!$E$11:$L$11,0))</f>
        <v>70000</v>
      </c>
      <c r="AE64" s="140">
        <f>AI64/$BL$15</f>
        <v>72482.280927835061</v>
      </c>
      <c r="AF64" s="48" t="s">
        <v>23</v>
      </c>
      <c r="AG64" s="142" t="s">
        <v>42</v>
      </c>
      <c r="AH64" s="142" t="str">
        <f>IF(AG64=Y64,"",CONCATENATE(CONCATENATE(VLOOKUP(Y64,Zones,2,FALSE),"/",VLOOKUP(AG64,Zones,2,FALSE))))</f>
        <v>LATAM EAST/Nsea</v>
      </c>
      <c r="AI64" s="54">
        <v>500000</v>
      </c>
      <c r="AJ64" s="141" t="e">
        <v>#N/A</v>
      </c>
      <c r="AK64" s="151">
        <v>155</v>
      </c>
      <c r="AL64" s="149" t="e">
        <f t="shared" ref="AL64:AL66" si="161">IF($Y64="Esmeraldas",IF(AJ64&gt;1000,IF(AK64=0,AJ64,AK64)/AI64*1.1,((AD64*V64*(IF(AK64=0,AJ64,AK64)/100))+IF(AE64&lt;AD64,0,(AE64-AD64)*V64*IF(AK64=0,AJ64,AK64)/100*W64))/AI64*1.1),IF(AJ64&gt;1000,IF(AK64=0,AJ64,AK64)/AI64,((AD64*V64*(IF(AK64=0,AJ64,AK64)/100))+IF(AE64&lt;AD64,0,(AE64-AD64)*V64*IF(AK64=0,AJ64,AK64)/100*W64))/AI64))</f>
        <v>#N/A</v>
      </c>
      <c r="AM64" s="134">
        <v>2</v>
      </c>
      <c r="AN64" s="155">
        <f>INDEX('[1]Transit Time'!$A:$DC,MATCH(I64,'[1]Transit Time'!$A:$A,0),MATCH(N64,'[1]Transit Time'!$A$1:$DC$1,0))+INDEX('[1]Transit Time'!$A:$DC,MATCH(N64,'[1]Transit Time'!$A:$A,0),MATCH(Y64,'[1]Transit Time'!$A$1:$DC$1,0))+INDEX('[1]Transit Time'!$A:$DC,MATCH(Y64,'[1]Transit Time'!$A:$A,0),MATCH(AG64,'[1]Transit Time'!$A$1:$DC$1,0))-VLOOKUP($I64,Control!$Q$3:$T$29,4,FALSE)+VLOOKUP($AG64,Control!$Q$3:$T$58,4,FALSE)</f>
        <v>0</v>
      </c>
      <c r="AO64" s="143">
        <f>AM64*VLOOKUP($AF64,$BJ$17:$BM$21,3,FALSE)/$AI64</f>
        <v>0.14000000000000001</v>
      </c>
      <c r="AP64" s="143">
        <f>IF(AN64&lt;0,0,$AN64*$BL$9)</f>
        <v>0</v>
      </c>
      <c r="AQ64" s="143">
        <f>IF($I64="Esmeraldas",$BL$8,0)</f>
        <v>0</v>
      </c>
      <c r="AR64" s="143">
        <v>0</v>
      </c>
      <c r="AS64" s="143" t="e">
        <v>#N/A</v>
      </c>
      <c r="AT64" s="143">
        <f>$BL$10</f>
        <v>0.01</v>
      </c>
      <c r="AU64" s="143">
        <f>$BL$11</f>
        <v>0.01</v>
      </c>
      <c r="AV64" s="143">
        <f>IF(INDEX(Control!$Q$3:$S$36,MATCH($AG64,Control!$Q$3:$Q$36,0),MATCH(AV$6,Control!$Q$3:$S$3,0))=1,$BL$12*$BM$12,0)</f>
        <v>0</v>
      </c>
      <c r="AW64" s="143" t="e">
        <f>IF(INDEX(Control!$Q$3:$S$36,MATCH($AG64,Control!$Q$3:$Q$36,0),MATCH(AW$6,Control!$Q$3:$S$3,0))=1,$BL$13/$AI64,0)</f>
        <v>#N/A</v>
      </c>
      <c r="AX64" s="143">
        <f>$BL$14</f>
        <v>0</v>
      </c>
      <c r="AY64" s="143">
        <f t="shared" ref="AY64:AY66" si="162">IF(AND(N64="Chiriqui Grande",Y64="Puerto Armuelles"),$T$3,0)</f>
        <v>0</v>
      </c>
      <c r="AZ64" s="149" t="e">
        <f t="shared" ref="AZ64:AZ65" si="163">SUM(AO64:AY64)</f>
        <v>#N/A</v>
      </c>
      <c r="BA64" s="149" t="e">
        <f>+T64+AL64+AZ64</f>
        <v>#N/A</v>
      </c>
      <c r="BB64" s="149">
        <f t="shared" ref="BB64:BB66" si="164">$BB$3</f>
        <v>-0.35</v>
      </c>
      <c r="BC64" s="145" t="e">
        <f t="shared" ref="BC64:BC66" si="165">$P$3+BA64+BB64+$AH$3</f>
        <v>#N/A</v>
      </c>
      <c r="BE64" s="153">
        <f>INDEX('[1]Transit Time'!$A:$DC,MATCH(I64,'[1]Transit Time'!$A:$A,0),MATCH(N64,'[1]Transit Time'!$A$1:$DC$1,0))+INDEX('[1]Transit Time'!$A:$DC,MATCH(N64,'[1]Transit Time'!$A:$A,0),MATCH(Y64,'[1]Transit Time'!$A$1:$DC$1,0))+INDEX('[1]Transit Time'!$A:$DC,MATCH(Y64,'[1]Transit Time'!$A:$A,0),MATCH(AG64,'[1]Transit Time'!$A$1:$DC$1,0))</f>
        <v>0</v>
      </c>
      <c r="BG64" s="163">
        <f>IF(ISBLANK(B64),"",B64+$BE64)</f>
        <v>43784</v>
      </c>
      <c r="BH64" s="163">
        <f t="shared" ref="BH64:BH66" si="166">IFERROR(IF(ISBLANK(C64),"",C64+$BE64),"")</f>
        <v>43786</v>
      </c>
      <c r="BJ64" s="133"/>
      <c r="BK64" s="45"/>
      <c r="BM64" s="44"/>
    </row>
    <row r="65" spans="1:65" x14ac:dyDescent="0.35">
      <c r="B65" s="163">
        <f t="shared" si="154"/>
        <v>43784</v>
      </c>
      <c r="C65" s="163">
        <f t="shared" si="155"/>
        <v>43786</v>
      </c>
      <c r="E65" s="157"/>
      <c r="F65" s="158">
        <f>IF(I65=N65,0,INDEX('[2]Flat Rates 2022'!$A:$DB,MATCH(I65,'[2]Flat Rates 2022'!$A:$A,0),MATCH(N65,'[2]Flat Rates 2022'!$A$1:$DB$1,0)))</f>
        <v>0</v>
      </c>
      <c r="G65" s="158">
        <f>INDEX(Control!$E$17:$L$21,MATCH(P65,Control!$E$17:$E$21,0),MATCH(I65,Control!$E$17:$L$17,0))</f>
        <v>0.5</v>
      </c>
      <c r="H65" s="158" t="e">
        <v>#N/A</v>
      </c>
      <c r="I65" s="158" t="str">
        <f t="shared" si="156"/>
        <v>La Paloma (Alpha Ligh. Zone)</v>
      </c>
      <c r="J65" s="72" t="e">
        <f t="shared" si="157"/>
        <v>#N/A</v>
      </c>
      <c r="K65" s="72" t="e">
        <f t="shared" si="157"/>
        <v>#N/A</v>
      </c>
      <c r="L65" s="73">
        <f>INDEX(Vessel_Minimum_MT,MATCH(P65,Control!$E$11:$E$15,0),MATCH(I65,Control!$E$11:$L$11,0))</f>
        <v>50000</v>
      </c>
      <c r="M65" s="73">
        <f>Q65/$BL$15</f>
        <v>68858.166881443307</v>
      </c>
      <c r="N65" s="158" t="s">
        <v>65</v>
      </c>
      <c r="O65" s="158" t="str">
        <f>IF(N65=I65,"",CONCATENATE(CONCATENATE(VLOOKUP(I65,Zones,2,FALSE),"/",VLOOKUP(N65,Zones,2,FALSE))))</f>
        <v/>
      </c>
      <c r="P65" s="156" t="s">
        <v>22</v>
      </c>
      <c r="Q65" s="159">
        <v>475000</v>
      </c>
      <c r="R65" s="160">
        <v>0</v>
      </c>
      <c r="S65" s="161">
        <v>0</v>
      </c>
      <c r="T65" s="162">
        <f t="shared" si="158"/>
        <v>0</v>
      </c>
      <c r="U65" s="2"/>
      <c r="V65" s="138">
        <f>INDEX('[2]Flat Rates 2022'!$A:$DB,MATCH(Y65,'[2]Flat Rates 2022'!$A:$A,0),MATCH(AG65,'[2]Flat Rates 2022'!$A$1:$DB$1,0))</f>
        <v>0</v>
      </c>
      <c r="W65" s="138">
        <f>INDEX(Control!$E$17:$L$21,MATCH(AF65,Control!$E$17:$E$21,0),MATCH(Y65,Control!$E$17:$L$17,0))</f>
        <v>0</v>
      </c>
      <c r="X65" s="138">
        <v>0</v>
      </c>
      <c r="Y65" s="138" t="s">
        <v>65</v>
      </c>
      <c r="Z65" s="139">
        <v>43430</v>
      </c>
      <c r="AA65" s="139">
        <f t="shared" si="159"/>
        <v>43434</v>
      </c>
      <c r="AB65" s="139" t="e">
        <f t="shared" si="160"/>
        <v>#N/A</v>
      </c>
      <c r="AC65" s="139" t="e">
        <f t="shared" si="160"/>
        <v>#N/A</v>
      </c>
      <c r="AD65" s="140">
        <f>INDEX(Vessel_Minimum_MT,MATCH(AF65,Control!$E$11:$E$15,0),MATCH(Y65,Control!$E$11:$L$11,0))</f>
        <v>70000</v>
      </c>
      <c r="AE65" s="140">
        <f>AI65/$BL$15</f>
        <v>72482.280927835061</v>
      </c>
      <c r="AF65" s="147" t="s">
        <v>23</v>
      </c>
      <c r="AG65" s="142" t="s">
        <v>29</v>
      </c>
      <c r="AH65" s="142" t="str">
        <f>IF(AG65=Y65,"",CONCATENATE(CONCATENATE(VLOOKUP(Y65,Zones,2,FALSE),"/",VLOOKUP(AG65,Zones,2,FALSE))))</f>
        <v>LATAM EAST/Med</v>
      </c>
      <c r="AI65" s="141">
        <v>500000</v>
      </c>
      <c r="AJ65" s="141" t="e">
        <v>#N/A</v>
      </c>
      <c r="AK65" s="151">
        <v>155</v>
      </c>
      <c r="AL65" s="149" t="e">
        <f t="shared" si="161"/>
        <v>#N/A</v>
      </c>
      <c r="AM65" s="134">
        <v>2</v>
      </c>
      <c r="AN65" s="155">
        <f>INDEX('[1]Transit Time'!$A:$DC,MATCH(I65,'[1]Transit Time'!$A:$A,0),MATCH(N65,'[1]Transit Time'!$A$1:$DC$1,0))+INDEX('[1]Transit Time'!$A:$DC,MATCH(N65,'[1]Transit Time'!$A:$A,0),MATCH(Y65,'[1]Transit Time'!$A$1:$DC$1,0))+INDEX('[1]Transit Time'!$A:$DC,MATCH(Y65,'[1]Transit Time'!$A:$A,0),MATCH(AG65,'[1]Transit Time'!$A$1:$DC$1,0))-VLOOKUP($I65,Control!$Q$3:$T$29,4,FALSE)+VLOOKUP($AG65,Control!$Q$3:$T$58,4,FALSE)</f>
        <v>0</v>
      </c>
      <c r="AO65" s="143">
        <f>AM65*VLOOKUP($AF65,$BJ$17:$BM$21,3,FALSE)/$AI65</f>
        <v>0.14000000000000001</v>
      </c>
      <c r="AP65" s="143">
        <f>IF(AN65&lt;0,0,$AN65*$BL$9)</f>
        <v>0</v>
      </c>
      <c r="AQ65" s="143">
        <f>IF($I65="Esmeraldas",$BL$8,0)</f>
        <v>0</v>
      </c>
      <c r="AR65" s="143">
        <v>0</v>
      </c>
      <c r="AS65" s="143" t="e">
        <v>#N/A</v>
      </c>
      <c r="AT65" s="143">
        <f>$BL$10</f>
        <v>0.01</v>
      </c>
      <c r="AU65" s="143">
        <f>$BL$11</f>
        <v>0.01</v>
      </c>
      <c r="AV65" s="143">
        <f>IF(INDEX(Control!$Q$3:$S$36,MATCH($AG65,Control!$Q$3:$Q$36,0),MATCH(AV$6,Control!$Q$3:$S$3,0))=1,$BL$12*$BM$12,0)</f>
        <v>0</v>
      </c>
      <c r="AW65" s="143" t="e">
        <f>IF(INDEX(Control!$Q$3:$S$36,MATCH($AG65,Control!$Q$3:$Q$36,0),MATCH(AW$6,Control!$Q$3:$S$3,0))=1,$BL$13/$AI65,0)</f>
        <v>#N/A</v>
      </c>
      <c r="AX65" s="143">
        <f>$BL$14</f>
        <v>0</v>
      </c>
      <c r="AY65" s="143">
        <f t="shared" si="162"/>
        <v>0</v>
      </c>
      <c r="AZ65" s="149" t="e">
        <f t="shared" si="163"/>
        <v>#N/A</v>
      </c>
      <c r="BA65" s="149" t="e">
        <f>+T65+AL65+AZ65</f>
        <v>#N/A</v>
      </c>
      <c r="BB65" s="149">
        <f t="shared" si="164"/>
        <v>-0.35</v>
      </c>
      <c r="BC65" s="145" t="e">
        <f t="shared" si="165"/>
        <v>#N/A</v>
      </c>
      <c r="BD65" s="152"/>
      <c r="BE65" s="153">
        <f>INDEX('[1]Transit Time'!$A:$DC,MATCH(I65,'[1]Transit Time'!$A:$A,0),MATCH(N65,'[1]Transit Time'!$A$1:$DC$1,0))+INDEX('[1]Transit Time'!$A:$DC,MATCH(N65,'[1]Transit Time'!$A:$A,0),MATCH(Y65,'[1]Transit Time'!$A$1:$DC$1,0))+INDEX('[1]Transit Time'!$A:$DC,MATCH(Y65,'[1]Transit Time'!$A:$A,0),MATCH(AG65,'[1]Transit Time'!$A$1:$DC$1,0))</f>
        <v>0</v>
      </c>
      <c r="BF65" s="152"/>
      <c r="BG65" s="163">
        <f>IF(ISBLANK(B65),"",B65+$BE65)</f>
        <v>43784</v>
      </c>
      <c r="BH65" s="163">
        <f t="shared" si="166"/>
        <v>43786</v>
      </c>
      <c r="BL65" s="132"/>
      <c r="BM65" s="132"/>
    </row>
    <row r="66" spans="1:65" customFormat="1" x14ac:dyDescent="0.35">
      <c r="B66" s="163">
        <f t="shared" si="154"/>
        <v>43784</v>
      </c>
      <c r="C66" s="163">
        <f t="shared" si="155"/>
        <v>43786</v>
      </c>
      <c r="E66" s="157"/>
      <c r="F66" s="158">
        <f>IF(I66=N66,0,INDEX('[2]Flat Rates 2022'!$A:$DB,MATCH(I66,'[2]Flat Rates 2022'!$A:$A,0),MATCH(N66,'[2]Flat Rates 2022'!$A$1:$DB$1,0)))</f>
        <v>0</v>
      </c>
      <c r="G66" s="158">
        <f>INDEX(Control!$E$17:$L$21,MATCH(P66,Control!$E$17:$E$21,0),MATCH(I66,Control!$E$17:$L$17,0))</f>
        <v>0.5</v>
      </c>
      <c r="H66" s="158" t="e">
        <v>#N/A</v>
      </c>
      <c r="I66" s="158" t="str">
        <f t="shared" si="156"/>
        <v>La Paloma (Alpha Ligh. Zone)</v>
      </c>
      <c r="J66" s="72" t="e">
        <f t="shared" si="157"/>
        <v>#N/A</v>
      </c>
      <c r="K66" s="72" t="e">
        <f t="shared" si="157"/>
        <v>#N/A</v>
      </c>
      <c r="L66" s="73">
        <f>INDEX(Vessel_Minimum_MT,MATCH(P66,Control!$E$11:$E$15,0),MATCH(I66,Control!$E$11:$L$11,0))</f>
        <v>50000</v>
      </c>
      <c r="M66" s="73">
        <f>Q66/$BL$15</f>
        <v>68858.166881443307</v>
      </c>
      <c r="N66" s="158" t="s">
        <v>65</v>
      </c>
      <c r="O66" s="158" t="str">
        <f>IF(N66=I66,"",CONCATENATE(CONCATENATE(VLOOKUP(I66,Zones,2,FALSE),"/",VLOOKUP(N66,Zones,2,FALSE))))</f>
        <v/>
      </c>
      <c r="P66" s="156" t="s">
        <v>22</v>
      </c>
      <c r="Q66" s="159">
        <v>475000</v>
      </c>
      <c r="R66" s="160">
        <v>0</v>
      </c>
      <c r="S66" s="161">
        <v>0</v>
      </c>
      <c r="T66" s="162">
        <f t="shared" si="158"/>
        <v>0</v>
      </c>
      <c r="U66" s="2"/>
      <c r="V66" s="138">
        <f>INDEX('[2]Flat Rates 2022'!$A:$DB,MATCH(Y66,'[2]Flat Rates 2022'!$A:$A,0),MATCH(AG66,'[2]Flat Rates 2022'!$A$1:$DB$1,0))</f>
        <v>21.47</v>
      </c>
      <c r="W66" s="138">
        <f>INDEX(Control!$E$17:$L$21,MATCH(AF66,Control!$E$17:$E$21,0),MATCH(Y66,Control!$E$17:$L$17,0))</f>
        <v>0.5</v>
      </c>
      <c r="X66" s="138">
        <v>0</v>
      </c>
      <c r="Y66" s="138" t="s">
        <v>65</v>
      </c>
      <c r="Z66" s="139">
        <v>43430</v>
      </c>
      <c r="AA66" s="139">
        <f t="shared" si="159"/>
        <v>43434</v>
      </c>
      <c r="AB66" s="139" t="e">
        <f t="shared" si="160"/>
        <v>#N/A</v>
      </c>
      <c r="AC66" s="139" t="e">
        <f t="shared" si="160"/>
        <v>#N/A</v>
      </c>
      <c r="AD66" s="140">
        <f>INDEX(Vessel_Minimum_MT,MATCH(AF66,Control!$E$11:$E$15,0),MATCH(Y66,Control!$E$11:$L$11,0))</f>
        <v>145000</v>
      </c>
      <c r="AE66" s="140">
        <f>AI66/$BL$15</f>
        <v>144964.56185567012</v>
      </c>
      <c r="AF66" s="147" t="s">
        <v>24</v>
      </c>
      <c r="AG66" s="142" t="s">
        <v>50</v>
      </c>
      <c r="AH66" s="142" t="str">
        <f>IF(AG66=Y66,"",CONCATENATE(CONCATENATE(VLOOKUP(Y66,Zones,2,FALSE),"/",VLOOKUP(AG66,Zones,2,FALSE))))</f>
        <v>LATAM EAST/Med</v>
      </c>
      <c r="AI66" s="141">
        <v>1000000</v>
      </c>
      <c r="AJ66" s="141">
        <v>0</v>
      </c>
      <c r="AK66" s="151">
        <v>65</v>
      </c>
      <c r="AL66" s="149">
        <f t="shared" si="161"/>
        <v>2.0235474999999998</v>
      </c>
      <c r="AM66" s="134">
        <v>2</v>
      </c>
      <c r="AN66" s="155">
        <f>INDEX('[1]Transit Time'!$A:$DC,MATCH(I66,'[1]Transit Time'!$A:$A,0),MATCH(N66,'[1]Transit Time'!$A$1:$DC$1,0))+INDEX('[1]Transit Time'!$A:$DC,MATCH(N66,'[1]Transit Time'!$A:$A,0),MATCH(Y66,'[1]Transit Time'!$A$1:$DC$1,0))+INDEX('[1]Transit Time'!$A:$DC,MATCH(Y66,'[1]Transit Time'!$A:$A,0),MATCH(AG66,'[1]Transit Time'!$A$1:$DC$1,0))-VLOOKUP($I66,Control!$Q$3:$T$29,4,FALSE)+VLOOKUP($AG66,Control!$Q$3:$T$58,4,FALSE)</f>
        <v>24</v>
      </c>
      <c r="AO66" s="143">
        <f>AM66*VLOOKUP($AF66,$BJ$17:$BM$21,3,FALSE)/$AI66</f>
        <v>0.09</v>
      </c>
      <c r="AP66" s="143">
        <f>IF(AN66&lt;0,0,$AN66*$BL$9)</f>
        <v>0.12</v>
      </c>
      <c r="AQ66" s="143">
        <f>IF($I66="Esmeraldas",$BL$8,0)</f>
        <v>0</v>
      </c>
      <c r="AR66" s="143">
        <v>0</v>
      </c>
      <c r="AS66" s="143">
        <v>0</v>
      </c>
      <c r="AT66" s="143">
        <f>$BL$10</f>
        <v>0.01</v>
      </c>
      <c r="AU66" s="143">
        <f>$BL$11</f>
        <v>0.01</v>
      </c>
      <c r="AV66" s="143">
        <f>IF(INDEX(Control!$Q$3:$S$36,MATCH($AG66,Control!$Q$3:$Q$36,0),MATCH(AV$6,Control!$Q$3:$S$3,0))=1,$BL$12*$BM$12,0)</f>
        <v>0</v>
      </c>
      <c r="AW66" s="143" t="e">
        <f>IF(INDEX(Control!$Q$3:$S$36,MATCH($AG66,Control!$Q$3:$Q$36,0),MATCH(AW$6,Control!$Q$3:$S$3,0))=1,$BL$13/$AI66,0)</f>
        <v>#N/A</v>
      </c>
      <c r="AX66" s="143">
        <f>$BL$14</f>
        <v>0</v>
      </c>
      <c r="AY66" s="143">
        <f t="shared" si="162"/>
        <v>0</v>
      </c>
      <c r="AZ66" s="149" t="e">
        <f t="shared" ref="AZ66" si="167">SUM(AO66:AY66)</f>
        <v>#N/A</v>
      </c>
      <c r="BA66" s="149" t="e">
        <f>+T66+AL66+AZ66</f>
        <v>#N/A</v>
      </c>
      <c r="BB66" s="149">
        <f t="shared" si="164"/>
        <v>-0.35</v>
      </c>
      <c r="BC66" s="145" t="e">
        <f t="shared" si="165"/>
        <v>#N/A</v>
      </c>
      <c r="BD66" s="152"/>
      <c r="BE66" s="153">
        <f>INDEX('[1]Transit Time'!$A:$DC,MATCH(I66,'[1]Transit Time'!$A:$A,0),MATCH(N66,'[1]Transit Time'!$A$1:$DC$1,0))+INDEX('[1]Transit Time'!$A:$DC,MATCH(N66,'[1]Transit Time'!$A:$A,0),MATCH(Y66,'[1]Transit Time'!$A$1:$DC$1,0))+INDEX('[1]Transit Time'!$A:$DC,MATCH(Y66,'[1]Transit Time'!$A:$A,0),MATCH(AG66,'[1]Transit Time'!$A$1:$DC$1,0))</f>
        <v>24</v>
      </c>
      <c r="BF66" s="152"/>
      <c r="BG66" s="163">
        <f>IF(ISBLANK(B66),"",B66+$BE66)</f>
        <v>43808</v>
      </c>
      <c r="BH66" s="163">
        <f t="shared" si="166"/>
        <v>43810</v>
      </c>
      <c r="BJ66" s="2"/>
      <c r="BK66" s="2"/>
      <c r="BL66" s="35"/>
      <c r="BM66" s="35"/>
    </row>
    <row r="67" spans="1:65" customFormat="1" ht="29.5" customHeight="1" x14ac:dyDescent="0.35"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33"/>
      <c r="AH67" s="2"/>
      <c r="AI67" s="2"/>
      <c r="AJ67" s="124"/>
    </row>
    <row r="68" spans="1:65" customFormat="1" x14ac:dyDescent="0.35"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33"/>
      <c r="AH68" s="2"/>
      <c r="AI68" s="2"/>
      <c r="AJ68" s="124"/>
      <c r="AL68">
        <v>0.25</v>
      </c>
    </row>
    <row r="69" spans="1:65" customFormat="1" x14ac:dyDescent="0.35"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33"/>
      <c r="AH69" s="2"/>
      <c r="AI69" s="2"/>
      <c r="AJ69" s="124"/>
      <c r="AL69">
        <v>-0.75</v>
      </c>
    </row>
    <row r="70" spans="1:65" x14ac:dyDescent="0.35">
      <c r="A70"/>
      <c r="B70"/>
      <c r="C70"/>
      <c r="Q70"/>
      <c r="R70"/>
      <c r="S70"/>
      <c r="AK70"/>
      <c r="AL70">
        <f>AL68+AL69</f>
        <v>-0.5</v>
      </c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 s="2"/>
      <c r="BJ70"/>
      <c r="BK70"/>
      <c r="BL70"/>
      <c r="BM70"/>
    </row>
    <row r="71" spans="1:65" x14ac:dyDescent="0.35">
      <c r="A71"/>
      <c r="B71"/>
      <c r="C71"/>
      <c r="Q71"/>
      <c r="R71"/>
      <c r="S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 s="2"/>
    </row>
    <row r="72" spans="1:65" x14ac:dyDescent="0.35">
      <c r="B72"/>
      <c r="C72"/>
      <c r="Q72"/>
      <c r="R72"/>
      <c r="S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 s="2"/>
    </row>
    <row r="73" spans="1:65" x14ac:dyDescent="0.35">
      <c r="B73"/>
      <c r="C73"/>
      <c r="Q73"/>
      <c r="R73"/>
      <c r="S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 s="2"/>
    </row>
    <row r="74" spans="1:65" x14ac:dyDescent="0.35">
      <c r="B74"/>
      <c r="C74"/>
      <c r="AJ74" s="3"/>
      <c r="AK74" s="2"/>
      <c r="AL74" s="2"/>
      <c r="AN74" s="2"/>
      <c r="AT74" s="133"/>
      <c r="BI74" s="2"/>
    </row>
    <row r="75" spans="1:65" x14ac:dyDescent="0.35">
      <c r="B75"/>
      <c r="C75"/>
      <c r="AJ75" s="3"/>
      <c r="AK75" s="2"/>
      <c r="AL75" s="2"/>
      <c r="AN75" s="2"/>
      <c r="AT75" s="133"/>
      <c r="BI75" s="2"/>
    </row>
    <row r="76" spans="1:65" x14ac:dyDescent="0.35">
      <c r="B76"/>
      <c r="C76"/>
      <c r="AJ76" s="3"/>
      <c r="AK76" s="2"/>
      <c r="AL76" s="2"/>
      <c r="AN76" s="2"/>
      <c r="AT76" s="133"/>
      <c r="BI76" s="2"/>
    </row>
    <row r="77" spans="1:65" x14ac:dyDescent="0.35">
      <c r="B77"/>
      <c r="C77"/>
      <c r="AJ77" s="3"/>
      <c r="AK77" s="2"/>
      <c r="AL77" s="2"/>
      <c r="AN77" s="2"/>
      <c r="AT77" s="133"/>
      <c r="BI77" s="2"/>
    </row>
    <row r="78" spans="1:65" x14ac:dyDescent="0.35">
      <c r="B78"/>
      <c r="C78"/>
      <c r="AK78" s="2"/>
      <c r="AL78" s="2"/>
      <c r="AN78" s="2"/>
      <c r="AT78" s="133"/>
      <c r="BI78" s="2"/>
    </row>
    <row r="79" spans="1:65" x14ac:dyDescent="0.35">
      <c r="B79"/>
      <c r="C79"/>
      <c r="AK79" s="2"/>
      <c r="AL79" s="2"/>
      <c r="AN79" s="2"/>
      <c r="AT79" s="133"/>
      <c r="BI79" s="2"/>
    </row>
    <row r="80" spans="1:65" x14ac:dyDescent="0.35">
      <c r="AK80" s="2"/>
      <c r="AL80" s="2"/>
      <c r="AN80" s="2"/>
      <c r="AT80" s="133"/>
      <c r="BI80" s="2"/>
    </row>
    <row r="81" spans="4:61" x14ac:dyDescent="0.35">
      <c r="AQ81" s="1"/>
      <c r="AR81" s="1"/>
      <c r="BI81" s="2"/>
    </row>
    <row r="82" spans="4:61" x14ac:dyDescent="0.35">
      <c r="AQ82" s="1"/>
      <c r="AR82" s="1"/>
      <c r="BI82" s="2"/>
    </row>
    <row r="83" spans="4:61" x14ac:dyDescent="0.35">
      <c r="AQ83" s="1"/>
      <c r="AR83" s="1"/>
      <c r="BI83" s="2"/>
    </row>
    <row r="84" spans="4:61" x14ac:dyDescent="0.35">
      <c r="AQ84" s="1"/>
      <c r="AR84" s="1"/>
      <c r="BI84" s="2"/>
    </row>
    <row r="85" spans="4:61" x14ac:dyDescent="0.35">
      <c r="AQ85" s="1"/>
      <c r="AR85" s="1"/>
      <c r="BI85" s="2"/>
    </row>
    <row r="86" spans="4:61" x14ac:dyDescent="0.35">
      <c r="AQ86" s="1"/>
      <c r="AR86" s="1"/>
      <c r="BI86" s="2"/>
    </row>
    <row r="87" spans="4:61" x14ac:dyDescent="0.35">
      <c r="D87" s="2"/>
      <c r="P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J87" s="2"/>
      <c r="AK87" s="2"/>
      <c r="AL87" s="2"/>
      <c r="AN87" s="2"/>
      <c r="AQ87" s="1"/>
      <c r="AR87" s="1"/>
      <c r="AZ87" s="2"/>
      <c r="BA87" s="2"/>
      <c r="BB87" s="2"/>
      <c r="BC87" s="2"/>
      <c r="BE87" s="2"/>
      <c r="BI87" s="2"/>
    </row>
    <row r="88" spans="4:61" x14ac:dyDescent="0.35">
      <c r="D88" s="2"/>
      <c r="P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J88" s="2"/>
      <c r="AK88" s="2"/>
      <c r="AL88" s="2"/>
      <c r="AN88" s="2"/>
      <c r="AQ88" s="1"/>
      <c r="AR88" s="1"/>
      <c r="AZ88" s="2"/>
      <c r="BA88" s="2"/>
      <c r="BB88" s="2"/>
      <c r="BC88" s="2"/>
      <c r="BE88" s="2"/>
      <c r="BI88" s="2"/>
    </row>
    <row r="89" spans="4:61" x14ac:dyDescent="0.35">
      <c r="D89" s="2"/>
      <c r="P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J89" s="2"/>
      <c r="AK89" s="2"/>
      <c r="AL89" s="2"/>
      <c r="AN89" s="2"/>
      <c r="AQ89" s="1"/>
      <c r="AR89" s="1"/>
      <c r="AZ89" s="2"/>
      <c r="BA89" s="2"/>
      <c r="BB89" s="2"/>
      <c r="BC89" s="2"/>
      <c r="BE89" s="2"/>
    </row>
  </sheetData>
  <customSheetViews>
    <customSheetView guid="{754F2B3C-051D-4D59-B458-9B82C17AD057}" scale="85" showGridLines="0" hiddenRows="1" hiddenColumns="1" topLeftCell="A2">
      <pane xSplit="1" ySplit="4" topLeftCell="B24" activePane="bottomRight" state="frozen"/>
      <selection pane="bottomRight" activeCell="BC47" sqref="BC47"/>
      <pageMargins left="0" right="0" top="0" bottom="0" header="0" footer="0"/>
      <pageSetup orientation="portrait" r:id="rId1"/>
    </customSheetView>
    <customSheetView guid="{8FAE2493-C53D-4522-BEA9-8F5F31F08801}" scale="85" showGridLines="0" hiddenRows="1" hiddenColumns="1" topLeftCell="A2">
      <pane xSplit="1" ySplit="4" topLeftCell="B6" activePane="bottomRight" state="frozen"/>
      <selection pane="bottomRight" activeCell="AK47" sqref="AK47"/>
      <pageMargins left="0" right="0" top="0" bottom="0" header="0" footer="0"/>
      <pageSetup orientation="portrait" r:id="rId2"/>
    </customSheetView>
  </customSheetViews>
  <mergeCells count="40">
    <mergeCell ref="B63:C63"/>
    <mergeCell ref="BG63:BH63"/>
    <mergeCell ref="E57:T57"/>
    <mergeCell ref="AF57:BC57"/>
    <mergeCell ref="B58:C58"/>
    <mergeCell ref="BG58:BH58"/>
    <mergeCell ref="E62:T62"/>
    <mergeCell ref="AF62:BC62"/>
    <mergeCell ref="BG50:BH50"/>
    <mergeCell ref="E53:T53"/>
    <mergeCell ref="AF53:BC53"/>
    <mergeCell ref="B54:C54"/>
    <mergeCell ref="BG54:BH54"/>
    <mergeCell ref="E49:T49"/>
    <mergeCell ref="AF49:BC49"/>
    <mergeCell ref="B50:C50"/>
    <mergeCell ref="E44:T44"/>
    <mergeCell ref="AF44:BC44"/>
    <mergeCell ref="B45:C45"/>
    <mergeCell ref="BG45:BH45"/>
    <mergeCell ref="B37:C37"/>
    <mergeCell ref="BG37:BH37"/>
    <mergeCell ref="B6:C6"/>
    <mergeCell ref="BG32:BH32"/>
    <mergeCell ref="E36:T36"/>
    <mergeCell ref="AF36:BC36"/>
    <mergeCell ref="AF15:BC15"/>
    <mergeCell ref="B16:C16"/>
    <mergeCell ref="BG16:BH16"/>
    <mergeCell ref="E20:T20"/>
    <mergeCell ref="AF20:BC20"/>
    <mergeCell ref="B21:C21"/>
    <mergeCell ref="BG21:BH21"/>
    <mergeCell ref="AF31:BC31"/>
    <mergeCell ref="B32:C32"/>
    <mergeCell ref="E2:BC2"/>
    <mergeCell ref="AJ4:AL4"/>
    <mergeCell ref="E5:T5"/>
    <mergeCell ref="AF5:BC5"/>
    <mergeCell ref="BG6:BH6"/>
  </mergeCells>
  <conditionalFormatting sqref="B7:C14 B33:C36 B46:C48">
    <cfRule type="expression" dxfId="92" priority="10">
      <formula>LEN(B7)=0</formula>
    </cfRule>
  </conditionalFormatting>
  <conditionalFormatting sqref="B17:C19 B51:C52">
    <cfRule type="expression" dxfId="91" priority="9">
      <formula>LEN(B17)=0</formula>
    </cfRule>
  </conditionalFormatting>
  <conditionalFormatting sqref="B22:C30">
    <cfRule type="expression" dxfId="90" priority="8">
      <formula>LEN(B22)=0</formula>
    </cfRule>
  </conditionalFormatting>
  <conditionalFormatting sqref="B38:C43">
    <cfRule type="expression" dxfId="89" priority="7">
      <formula>LEN(B38)=0</formula>
    </cfRule>
  </conditionalFormatting>
  <conditionalFormatting sqref="B55:C57">
    <cfRule type="expression" dxfId="88" priority="2">
      <formula>LEN(B55)=0</formula>
    </cfRule>
  </conditionalFormatting>
  <conditionalFormatting sqref="B59:C61">
    <cfRule type="expression" dxfId="87" priority="1">
      <formula>LEN(B59)=0</formula>
    </cfRule>
  </conditionalFormatting>
  <conditionalFormatting sqref="AM7:AM14 AM22:AM30">
    <cfRule type="cellIs" dxfId="86" priority="30" operator="greaterThan">
      <formula>2</formula>
    </cfRule>
  </conditionalFormatting>
  <conditionalFormatting sqref="AM17:AM19">
    <cfRule type="cellIs" dxfId="85" priority="16" operator="greaterThan">
      <formula>2</formula>
    </cfRule>
  </conditionalFormatting>
  <conditionalFormatting sqref="AM33:AM35">
    <cfRule type="cellIs" dxfId="84" priority="12" operator="greaterThan">
      <formula>2</formula>
    </cfRule>
  </conditionalFormatting>
  <conditionalFormatting sqref="AM38:AM43">
    <cfRule type="cellIs" dxfId="83" priority="29" operator="greaterThan">
      <formula>2</formula>
    </cfRule>
  </conditionalFormatting>
  <conditionalFormatting sqref="AM46:AM48">
    <cfRule type="cellIs" dxfId="82" priority="27" operator="greaterThan">
      <formula>2</formula>
    </cfRule>
  </conditionalFormatting>
  <conditionalFormatting sqref="AM51:AM52">
    <cfRule type="cellIs" dxfId="81" priority="23" operator="greaterThan">
      <formula>2</formula>
    </cfRule>
  </conditionalFormatting>
  <conditionalFormatting sqref="AM55:AM56">
    <cfRule type="cellIs" dxfId="80" priority="20" operator="greaterThan">
      <formula>2</formula>
    </cfRule>
  </conditionalFormatting>
  <conditionalFormatting sqref="AM59:AM61">
    <cfRule type="cellIs" dxfId="79" priority="4" operator="greaterThan">
      <formula>2</formula>
    </cfRule>
  </conditionalFormatting>
  <conditionalFormatting sqref="BG7:BH14 BG38:BH43 BG46:BH48">
    <cfRule type="expression" dxfId="78" priority="25">
      <formula>LEN(BG7)=0</formula>
    </cfRule>
  </conditionalFormatting>
  <conditionalFormatting sqref="BG17:BH19">
    <cfRule type="expression" dxfId="77" priority="15">
      <formula>LEN(BG17)=0</formula>
    </cfRule>
  </conditionalFormatting>
  <conditionalFormatting sqref="BG22:BH30">
    <cfRule type="expression" dxfId="76" priority="26">
      <formula>LEN(BG22)=0</formula>
    </cfRule>
  </conditionalFormatting>
  <conditionalFormatting sqref="BG33:BH35">
    <cfRule type="expression" dxfId="75" priority="11">
      <formula>LEN(BG33)=0</formula>
    </cfRule>
  </conditionalFormatting>
  <conditionalFormatting sqref="BG51:BH52">
    <cfRule type="expression" dxfId="74" priority="22">
      <formula>LEN(BG51)=0</formula>
    </cfRule>
  </conditionalFormatting>
  <conditionalFormatting sqref="BG55:BH56">
    <cfRule type="expression" dxfId="73" priority="19">
      <formula>LEN(BG55)=0</formula>
    </cfRule>
  </conditionalFormatting>
  <conditionalFormatting sqref="BG59:BH61">
    <cfRule type="expression" dxfId="72" priority="3">
      <formula>LEN(BG59)=0</formula>
    </cfRule>
  </conditionalFormatting>
  <dataValidations count="2">
    <dataValidation type="list" allowBlank="1" showInputMessage="1" showErrorMessage="1" sqref="W59:W61 W22:W30 W33:W35 W38:W43 W46:W48 W51:W52 W55:W56 W7:W14 W17:W19" xr:uid="{00000000-0002-0000-0400-000000000000}">
      <formula1>Overages</formula1>
    </dataValidation>
    <dataValidation type="list" allowBlank="1" showInputMessage="1" showErrorMessage="1" sqref="AG46:AG48 Y38:Y43 Y46:Y48 N46:N48 AG38:AG43 I38:I43 N55:N56 N38:N43 N51:N52 Y51:Y52 I51:I52 AG51:AG52 Y55:Y56 I55:I56 AG64:AG66 I46:I48 AG7:AG14 I7:I14 N7:N14 Y7:Y14 N33:N35 Y33:Y35 I33:I35 I22:I30 Y22:Y30 N22:N30 AG22:AG30 AG33:AG35 AG55:AG56 AG59:AG61 N59:N61 I59:I61 Y59:Y61 I17:I19 AG17:AG19 N17:N19 Y17:Y19" xr:uid="{00000000-0002-0000-0400-000001000000}">
      <formula1>Port_List</formula1>
    </dataValidation>
  </dataValidations>
  <pageMargins left="0.7" right="0.7" top="0.75" bottom="0.75" header="0.3" footer="0.3"/>
  <pageSetup orientation="portrait" r:id="rId3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4"/>
  <legacyDrawing r:id="rId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Control!$E$6:$E$9</xm:f>
          </x14:formula1>
          <xm:sqref>AF55:AF56 P17:P19 AF17:AF19 P38:P43 P59:P61 P55:P56 P22:P30 AF22:AF30 AF33:AF35 P7:P14 AF7:AF14 P46:P48 P33:P35 AF51:AF52 P51:P52 AF38:AF43 AF59:AF61 AF46:AF48</xm:sqref>
        </x14:dataValidation>
        <x14:dataValidation type="list" allowBlank="1" showInputMessage="1" showErrorMessage="1" xr:uid="{00000000-0002-0000-0400-000003000000}">
          <x14:formula1>
            <xm:f>Control!$E$2:$E$4</xm:f>
          </x14:formula1>
          <xm:sqref>E33:E35 E17:E19 E59:E61 E55:E56 E22:E30 E7:E14 E46:E48 E51:E52 E38:E43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F80B-F877-4FCB-9308-12DB868F8D3F}">
  <sheetPr codeName="Sheet9">
    <tabColor rgb="FFC00000"/>
    <outlinePr summaryRight="0"/>
  </sheetPr>
  <dimension ref="A1:BK73"/>
  <sheetViews>
    <sheetView showGridLines="0" topLeftCell="A2" zoomScale="80" zoomScaleNormal="80" workbookViewId="0">
      <pane xSplit="1" ySplit="7" topLeftCell="B9" activePane="bottomRight" state="frozen"/>
      <selection pane="topRight" activeCell="B2" sqref="B2"/>
      <selection pane="bottomLeft" activeCell="A8" sqref="A8"/>
      <selection pane="bottomRight" activeCell="B2" sqref="B2"/>
    </sheetView>
  </sheetViews>
  <sheetFormatPr defaultColWidth="8.81640625" defaultRowHeight="15.5" outlineLevelCol="1" x14ac:dyDescent="0.35"/>
  <cols>
    <col min="1" max="2" width="8.453125" style="2" bestFit="1" customWidth="1"/>
    <col min="3" max="3" width="1.1796875" customWidth="1"/>
    <col min="4" max="4" width="12.54296875" style="2" customWidth="1" collapsed="1"/>
    <col min="5" max="5" width="5.54296875" style="2" hidden="1" customWidth="1" outlineLevel="1"/>
    <col min="6" max="7" width="9.453125" style="2" hidden="1" customWidth="1" outlineLevel="1"/>
    <col min="8" max="8" width="18" style="2" hidden="1" customWidth="1" outlineLevel="1"/>
    <col min="9" max="9" width="14" style="124" hidden="1" customWidth="1" outlineLevel="1"/>
    <col min="10" max="10" width="15.81640625" style="2" hidden="1" customWidth="1" outlineLevel="1"/>
    <col min="11" max="11" width="14.54296875" style="2" hidden="1" customWidth="1" outlineLevel="1"/>
    <col min="12" max="12" width="11.453125" style="133" customWidth="1"/>
    <col min="13" max="13" width="12.54296875" style="2" bestFit="1" customWidth="1"/>
    <col min="14" max="14" width="10.453125" style="2" bestFit="1" customWidth="1"/>
    <col min="15" max="15" width="12.54296875" style="2" customWidth="1"/>
    <col min="16" max="16" width="12.54296875" customWidth="1"/>
    <col min="17" max="17" width="2.54296875" customWidth="1" collapsed="1"/>
    <col min="18" max="18" width="6.54296875" hidden="1" customWidth="1" outlineLevel="1"/>
    <col min="19" max="19" width="9.453125" hidden="1" customWidth="1" outlineLevel="1"/>
    <col min="20" max="20" width="17.453125" hidden="1" customWidth="1" outlineLevel="1"/>
    <col min="21" max="21" width="18" style="2" hidden="1" customWidth="1" outlineLevel="1"/>
    <col min="22" max="22" width="13.54296875" hidden="1" customWidth="1" outlineLevel="1"/>
    <col min="23" max="23" width="11.453125" customWidth="1"/>
    <col min="24" max="24" width="18.54296875" customWidth="1"/>
    <col min="25" max="25" width="18.453125" style="2" customWidth="1"/>
    <col min="26" max="26" width="13.453125" style="2" bestFit="1" customWidth="1"/>
    <col min="27" max="27" width="17.453125" style="124" bestFit="1" customWidth="1"/>
    <col min="28" max="28" width="16.1796875" style="124" customWidth="1"/>
    <col min="29" max="29" width="15.453125" style="21" customWidth="1"/>
    <col min="30" max="30" width="12.54296875" style="2" customWidth="1"/>
    <col min="31" max="31" width="12.54296875" style="124" bestFit="1" customWidth="1"/>
    <col min="32" max="32" width="9.1796875" style="2" customWidth="1"/>
    <col min="33" max="33" width="7.54296875" style="2" customWidth="1"/>
    <col min="34" max="34" width="9" style="2" bestFit="1" customWidth="1" collapsed="1"/>
    <col min="35" max="35" width="10.453125" style="2" hidden="1" customWidth="1" outlineLevel="1"/>
    <col min="36" max="36" width="16" style="2" hidden="1" customWidth="1" outlineLevel="1"/>
    <col min="37" max="37" width="11" style="2" hidden="1" customWidth="1" outlineLevel="1"/>
    <col min="38" max="38" width="11.54296875" style="2" hidden="1" customWidth="1" outlineLevel="1"/>
    <col min="39" max="39" width="17" style="2" hidden="1" customWidth="1" outlineLevel="1"/>
    <col min="40" max="40" width="9.54296875" style="2" hidden="1" customWidth="1" outlineLevel="1"/>
    <col min="41" max="41" width="11.54296875" style="2" hidden="1" customWidth="1" outlineLevel="1"/>
    <col min="42" max="42" width="12.54296875" style="2" hidden="1" customWidth="1" outlineLevel="1"/>
    <col min="43" max="43" width="11" style="21" customWidth="1"/>
    <col min="44" max="44" width="8.453125" style="21" customWidth="1"/>
    <col min="45" max="45" width="9.453125" style="21" customWidth="1"/>
    <col min="46" max="46" width="9" style="21" customWidth="1"/>
    <col min="47" max="47" width="9.54296875" style="6" customWidth="1"/>
    <col min="48" max="48" width="1.1796875" style="2" customWidth="1"/>
    <col min="49" max="49" width="13.81640625" style="43" bestFit="1" customWidth="1"/>
    <col min="50" max="50" width="1.1796875" style="2" customWidth="1"/>
    <col min="51" max="52" width="9" style="2" bestFit="1" customWidth="1"/>
    <col min="53" max="53" width="9.54296875" bestFit="1" customWidth="1"/>
    <col min="54" max="54" width="28.54296875" style="2" bestFit="1" customWidth="1"/>
    <col min="55" max="56" width="14.54296875" style="2" bestFit="1" customWidth="1"/>
    <col min="57" max="57" width="11.453125" style="2" bestFit="1" customWidth="1"/>
    <col min="58" max="58" width="8.81640625" style="2"/>
    <col min="59" max="59" width="12.54296875" style="2" bestFit="1" customWidth="1"/>
    <col min="60" max="60" width="10.453125" style="2" bestFit="1" customWidth="1"/>
    <col min="61" max="61" width="8.81640625" style="2"/>
    <col min="62" max="62" width="13.453125" style="2" bestFit="1" customWidth="1"/>
    <col min="63" max="63" width="11.453125" style="2" bestFit="1" customWidth="1"/>
  </cols>
  <sheetData>
    <row r="1" spans="1:63" ht="15.65" hidden="1" customHeight="1" x14ac:dyDescent="0.35">
      <c r="P1" s="20"/>
      <c r="Q1" s="2"/>
      <c r="R1" s="2"/>
      <c r="S1" s="2"/>
      <c r="T1" s="2"/>
      <c r="U1" s="2" t="e">
        <f>INDEX(Vessel_Minimum_MT,MATCH(W1,Control!$E$11:$E$15,0),MATCH(T1,Control!$E$11:$J$11,0))</f>
        <v>#N/A</v>
      </c>
      <c r="V1" s="2"/>
      <c r="W1" s="2"/>
      <c r="X1" s="2"/>
      <c r="AF1" s="2" t="e">
        <f>AD1*VLOOKUP($W1,$BF$9:$BH$13,3,FALSE)/$Z1</f>
        <v>#N/A</v>
      </c>
    </row>
    <row r="2" spans="1:63" ht="29" thickBot="1" x14ac:dyDescent="0.7">
      <c r="A2" s="386"/>
      <c r="B2"/>
      <c r="D2" s="1056" t="s">
        <v>321</v>
      </c>
      <c r="E2" s="1056"/>
      <c r="F2" s="1056"/>
      <c r="G2" s="1056"/>
      <c r="H2" s="1056"/>
      <c r="I2" s="1056"/>
      <c r="J2" s="1056"/>
      <c r="K2" s="1056"/>
      <c r="L2" s="1056"/>
      <c r="M2" s="1056"/>
      <c r="N2" s="1056"/>
      <c r="O2" s="1056"/>
      <c r="P2" s="1056"/>
      <c r="Q2" s="1056"/>
      <c r="R2" s="1056"/>
      <c r="S2" s="1056"/>
      <c r="T2" s="1056"/>
      <c r="U2" s="1056"/>
      <c r="V2" s="1056"/>
      <c r="W2" s="1056"/>
      <c r="X2" s="1056"/>
      <c r="Y2" s="1056"/>
      <c r="Z2" s="1056"/>
      <c r="AA2" s="1056"/>
      <c r="AB2" s="1056"/>
      <c r="AC2" s="1056"/>
      <c r="AD2" s="1056"/>
      <c r="AE2" s="1056"/>
      <c r="AF2" s="1056"/>
      <c r="AG2" s="1056"/>
      <c r="AH2" s="1056"/>
      <c r="AI2" s="1056"/>
      <c r="AJ2" s="1056"/>
      <c r="AK2" s="1056"/>
      <c r="AL2" s="1056"/>
      <c r="AM2" s="1056"/>
      <c r="AN2" s="1056"/>
      <c r="AO2" s="1056"/>
      <c r="AP2" s="1056"/>
      <c r="AQ2" s="1056"/>
      <c r="AR2" s="1056"/>
      <c r="AS2" s="1056"/>
      <c r="AT2" s="1056"/>
      <c r="AU2" s="1056"/>
      <c r="AW2"/>
      <c r="AY2" s="195" t="s">
        <v>322</v>
      </c>
      <c r="AZ2" s="201" t="e">
        <v>#N/A</v>
      </c>
      <c r="BA2" s="114"/>
      <c r="BB2" s="133" t="s">
        <v>151</v>
      </c>
      <c r="BC2" s="2">
        <f>BC21*$BC$4</f>
        <v>1.2</v>
      </c>
      <c r="BD2" s="268">
        <f>$BC$2*$BD$14/365/100</f>
        <v>3.2876712328767121E-3</v>
      </c>
    </row>
    <row r="3" spans="1:63" s="364" customFormat="1" ht="18" customHeight="1" thickBot="1" x14ac:dyDescent="0.4">
      <c r="A3" s="387"/>
      <c r="C3"/>
      <c r="D3" s="203" t="s">
        <v>154</v>
      </c>
      <c r="E3" s="204"/>
      <c r="F3" s="204"/>
      <c r="G3" s="205"/>
      <c r="H3" s="206"/>
      <c r="I3" s="207"/>
      <c r="J3" s="206"/>
      <c r="K3" s="206"/>
      <c r="L3" s="208">
        <v>-4.8</v>
      </c>
      <c r="M3" s="11"/>
      <c r="N3" s="193"/>
      <c r="O3" s="193"/>
      <c r="P3" s="193"/>
      <c r="Q3" s="37"/>
      <c r="R3" s="37"/>
      <c r="S3" s="126"/>
      <c r="T3" s="38"/>
      <c r="U3" s="126"/>
      <c r="V3" s="37"/>
      <c r="W3" s="193"/>
      <c r="X3" s="109"/>
      <c r="Y3" s="36" t="str">
        <f>IF(MONTH(A9)=MONTH(AZ9),0,IF(MONTH(A9)-MONTH(AZ9)&gt;=1,VLOOKUP("Spreads",$AQ$3:$AU$4,MATCH(EOMONTH(AZ9,-1),$AQ$3:$AU$3,0),FALSE),"dnd"))</f>
        <v>dnd</v>
      </c>
      <c r="Z3" s="22" t="e">
        <f>+MATCH(EOMONTH(AZ9,-1),$AQ$3:$AU$3,0)</f>
        <v>#N/A</v>
      </c>
      <c r="AA3" s="193"/>
      <c r="AB3" s="36"/>
      <c r="AC3" s="193"/>
      <c r="AD3" s="36"/>
      <c r="AE3" s="24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371"/>
      <c r="AQ3" s="307">
        <v>1</v>
      </c>
      <c r="AR3" s="373">
        <f>WTI!BD3</f>
        <v>46296</v>
      </c>
      <c r="AS3" s="374">
        <f>EOMONTH(AR3,1)</f>
        <v>46356</v>
      </c>
      <c r="AT3" s="374">
        <f>EOMONTH(AS3,1)</f>
        <v>46387</v>
      </c>
      <c r="AU3" s="374">
        <f>EOMONTH(AT3,1)</f>
        <v>46418</v>
      </c>
      <c r="AV3" s="2"/>
      <c r="AX3" s="365"/>
      <c r="AY3" s="366"/>
      <c r="AZ3" s="367"/>
      <c r="BA3" s="368"/>
      <c r="BB3" s="369"/>
      <c r="BC3" s="365"/>
      <c r="BD3" s="370"/>
      <c r="BE3" s="365"/>
      <c r="BF3" s="365"/>
      <c r="BG3" s="365"/>
      <c r="BH3" s="365"/>
      <c r="BI3" s="365"/>
      <c r="BJ3" s="365"/>
      <c r="BK3" s="365"/>
    </row>
    <row r="4" spans="1:63" ht="15.65" customHeight="1" x14ac:dyDescent="0.35">
      <c r="B4"/>
      <c r="L4" s="133" t="s">
        <v>159</v>
      </c>
      <c r="R4" t="s">
        <v>160</v>
      </c>
      <c r="S4" t="s">
        <v>161</v>
      </c>
      <c r="T4" t="s">
        <v>162</v>
      </c>
      <c r="X4" s="194"/>
      <c r="AD4" s="2" t="e">
        <f>+IF($AQ$3=1,HLOOKUP(EOMONTH(AZ30,0),$AR$3:$AT$6,4,FALSE),IF($AQ$3=2,-HLOOKUP(EOMONTH(AZ30,0),$AR$3:$AT$6,3,FALSE),0))</f>
        <v>#N/A</v>
      </c>
      <c r="AP4" s="21"/>
      <c r="AQ4" s="46" t="s">
        <v>164</v>
      </c>
      <c r="AR4" s="46">
        <f>WTI!BD4</f>
        <v>3.75</v>
      </c>
      <c r="AS4" s="46">
        <f>WTI!BE4</f>
        <v>2.9</v>
      </c>
      <c r="AT4" s="46">
        <f>WTI!BF4</f>
        <v>2.25</v>
      </c>
      <c r="AU4" s="46">
        <f>WTI!BG4</f>
        <v>1.9</v>
      </c>
      <c r="AV4" s="2">
        <v>2.2000000000000002</v>
      </c>
      <c r="AW4" s="195">
        <f>255-35</f>
        <v>220</v>
      </c>
      <c r="AY4" s="198" t="s">
        <v>323</v>
      </c>
      <c r="AZ4" s="114" t="e">
        <f>L3+AR35+AR4+AS4+AS6</f>
        <v>#N/A</v>
      </c>
      <c r="BA4" s="114"/>
      <c r="BC4" s="2">
        <v>1.2</v>
      </c>
      <c r="BJ4" s="132"/>
      <c r="BK4" s="127"/>
    </row>
    <row r="5" spans="1:63" ht="15" customHeight="1" thickBot="1" x14ac:dyDescent="0.4">
      <c r="E5" s="204"/>
      <c r="F5" s="204"/>
      <c r="G5" s="205"/>
      <c r="H5" s="206"/>
      <c r="I5" s="207"/>
      <c r="J5" s="206"/>
      <c r="K5" s="206"/>
      <c r="N5" s="3">
        <f>INDEX(Index,MATCH(T35,TVM_PortList,0),MATCH("Payment",Control!$Q$3:$U$3,0))</f>
        <v>30</v>
      </c>
      <c r="O5" s="406" t="e">
        <f>AR44-AR42</f>
        <v>#N/A</v>
      </c>
      <c r="P5" s="20"/>
      <c r="Q5" s="2"/>
      <c r="R5" s="194">
        <f>A8</f>
        <v>45031</v>
      </c>
      <c r="S5">
        <v>13</v>
      </c>
      <c r="T5" s="375">
        <f>R5+AW35+S5</f>
        <v>45095</v>
      </c>
      <c r="V5" s="2"/>
      <c r="W5" s="35">
        <f>DATE(YEAR(A8),MONTH(EOMONTH(A8,1)),20)</f>
        <v>45066</v>
      </c>
      <c r="X5" s="35">
        <f>IF(INDEX(Index,MATCH(X34,TVM_PortList,0),MATCH("Type",Control!$Q$3:$U$3,0))="BL",$A$8+INDEX(Index,MATCH(T18,TVM_PortList,0),MATCH("Payment",Control!$Q$3:$U$3,0)),$A$8+INDEX(Index,MATCH(X34,TVM_PortList,0),MATCH("Payment",Control!$Q$3:$U$3,0))+AW34)</f>
        <v>45092</v>
      </c>
      <c r="Y5" s="376">
        <f>X5-W5</f>
        <v>26</v>
      </c>
      <c r="Z5" s="52"/>
      <c r="AA5" s="1043" t="s">
        <v>288</v>
      </c>
      <c r="AB5" s="1043"/>
      <c r="AC5" s="1043"/>
      <c r="AD5" s="192"/>
      <c r="AP5" s="21"/>
      <c r="AQ5" s="203" t="s">
        <v>229</v>
      </c>
      <c r="AR5" s="208">
        <f>WTI!BD5</f>
        <v>13.5</v>
      </c>
      <c r="AS5" s="208">
        <f>WTI!BE5</f>
        <v>5.28</v>
      </c>
      <c r="AT5" s="208">
        <f>WTI!BF5</f>
        <v>3.98</v>
      </c>
      <c r="AU5" s="208">
        <f>WTI!BG5</f>
        <v>2.93</v>
      </c>
      <c r="AV5" s="2">
        <v>2.2000000000000002</v>
      </c>
      <c r="AW5" s="85"/>
      <c r="AY5" s="198"/>
      <c r="AZ5" s="3" t="e">
        <f>AZ4-AZ2</f>
        <v>#N/A</v>
      </c>
    </row>
    <row r="6" spans="1:63" ht="15" customHeight="1" thickBot="1" x14ac:dyDescent="0.4">
      <c r="E6" s="204"/>
      <c r="F6" s="204"/>
      <c r="G6" s="205"/>
      <c r="H6" s="206"/>
      <c r="I6" s="207"/>
      <c r="J6" s="206"/>
      <c r="K6" s="206"/>
      <c r="P6" s="20"/>
      <c r="Q6" s="2"/>
      <c r="T6" s="2"/>
      <c r="V6" s="2"/>
      <c r="W6" s="2"/>
      <c r="X6" s="2"/>
      <c r="Y6" s="52"/>
      <c r="Z6" s="52"/>
      <c r="AA6" s="192"/>
      <c r="AB6" s="192"/>
      <c r="AC6" s="192"/>
      <c r="AD6" s="192"/>
      <c r="AE6" s="383" t="s">
        <v>324</v>
      </c>
      <c r="AF6" s="384" t="s">
        <v>325</v>
      </c>
      <c r="AG6" s="384" t="s">
        <v>326</v>
      </c>
      <c r="AH6" s="382" t="s">
        <v>163</v>
      </c>
      <c r="AQ6" s="203" t="s">
        <v>254</v>
      </c>
      <c r="AR6" s="208">
        <f>WTI!BD6</f>
        <v>-5.25</v>
      </c>
      <c r="AS6" s="208">
        <f>WTI!BE6</f>
        <v>-1.7</v>
      </c>
      <c r="AT6" s="208">
        <f>WTI!BF6</f>
        <v>-0.9</v>
      </c>
      <c r="AU6" s="208">
        <f>WTI!BG6</f>
        <v>-0.7</v>
      </c>
      <c r="AV6" s="2">
        <v>3.35</v>
      </c>
      <c r="AW6" s="385"/>
      <c r="AY6" s="195"/>
      <c r="AZ6" s="3"/>
    </row>
    <row r="7" spans="1:63" ht="19" thickBot="1" x14ac:dyDescent="0.5">
      <c r="A7" s="1005" t="s">
        <v>167</v>
      </c>
      <c r="B7" s="1005"/>
      <c r="D7" s="1053" t="s">
        <v>327</v>
      </c>
      <c r="E7" s="1054"/>
      <c r="F7" s="1054"/>
      <c r="G7" s="1054"/>
      <c r="H7" s="1054"/>
      <c r="I7" s="1054"/>
      <c r="J7" s="1054"/>
      <c r="K7" s="1054"/>
      <c r="L7" s="1054"/>
      <c r="M7" s="1054"/>
      <c r="N7" s="1054"/>
      <c r="O7" s="1054"/>
      <c r="P7" s="1055"/>
      <c r="Q7" s="2"/>
      <c r="R7" s="9"/>
      <c r="S7" s="9"/>
      <c r="T7" s="9"/>
      <c r="U7" s="9"/>
      <c r="V7" s="9"/>
      <c r="W7" s="1053" t="s">
        <v>290</v>
      </c>
      <c r="X7" s="1054"/>
      <c r="Y7" s="1054"/>
      <c r="Z7" s="1054"/>
      <c r="AA7" s="1054"/>
      <c r="AB7" s="1054"/>
      <c r="AC7" s="1054"/>
      <c r="AD7" s="1054"/>
      <c r="AE7" s="1054"/>
      <c r="AF7" s="1054"/>
      <c r="AG7" s="1054"/>
      <c r="AH7" s="1054"/>
      <c r="AI7" s="1054"/>
      <c r="AJ7" s="1054"/>
      <c r="AK7" s="1054"/>
      <c r="AL7" s="1054"/>
      <c r="AM7" s="1054"/>
      <c r="AN7" s="1054"/>
      <c r="AO7" s="1054"/>
      <c r="AP7" s="1054"/>
      <c r="AQ7" s="1054"/>
      <c r="AR7" s="1054"/>
      <c r="AS7" s="1054"/>
      <c r="AT7" s="1054"/>
      <c r="AU7" s="1055"/>
      <c r="AW7" s="112"/>
      <c r="AY7" s="78"/>
      <c r="AZ7" s="76"/>
      <c r="BB7"/>
    </row>
    <row r="8" spans="1:63" ht="29.5" customHeight="1" thickBot="1" x14ac:dyDescent="0.4">
      <c r="A8" s="309">
        <v>45031</v>
      </c>
      <c r="B8" s="310">
        <f>A8+2</f>
        <v>45033</v>
      </c>
      <c r="D8" s="120" t="s">
        <v>276</v>
      </c>
      <c r="E8" s="152" t="s">
        <v>172</v>
      </c>
      <c r="F8" s="152" t="s">
        <v>2</v>
      </c>
      <c r="G8" s="152" t="s">
        <v>173</v>
      </c>
      <c r="H8" s="152" t="s">
        <v>174</v>
      </c>
      <c r="I8" s="125" t="s">
        <v>175</v>
      </c>
      <c r="J8" s="152" t="s">
        <v>177</v>
      </c>
      <c r="K8" s="152" t="s">
        <v>178</v>
      </c>
      <c r="L8" s="122" t="s">
        <v>176</v>
      </c>
      <c r="M8" s="120" t="s">
        <v>200</v>
      </c>
      <c r="N8" s="120" t="s">
        <v>277</v>
      </c>
      <c r="O8" s="121" t="s">
        <v>202</v>
      </c>
      <c r="P8" s="123" t="s">
        <v>278</v>
      </c>
      <c r="Q8" s="2"/>
      <c r="R8" s="120" t="s">
        <v>172</v>
      </c>
      <c r="S8" s="120" t="s">
        <v>2</v>
      </c>
      <c r="T8" s="120" t="s">
        <v>173</v>
      </c>
      <c r="U8" s="152" t="s">
        <v>174</v>
      </c>
      <c r="V8" s="120" t="s">
        <v>175</v>
      </c>
      <c r="W8" s="120" t="s">
        <v>176</v>
      </c>
      <c r="X8" s="120" t="s">
        <v>177</v>
      </c>
      <c r="Y8" s="120" t="s">
        <v>178</v>
      </c>
      <c r="Z8" s="120" t="s">
        <v>179</v>
      </c>
      <c r="AA8" s="146" t="s">
        <v>180</v>
      </c>
      <c r="AB8" s="128" t="s">
        <v>181</v>
      </c>
      <c r="AC8" s="150" t="s">
        <v>182</v>
      </c>
      <c r="AD8" s="136" t="s">
        <v>183</v>
      </c>
      <c r="AE8" s="146" t="s">
        <v>279</v>
      </c>
      <c r="AF8" s="136" t="s">
        <v>184</v>
      </c>
      <c r="AG8" s="136" t="s">
        <v>140</v>
      </c>
      <c r="AH8" s="136" t="s">
        <v>98</v>
      </c>
      <c r="AI8" s="136" t="s">
        <v>186</v>
      </c>
      <c r="AJ8" s="136" t="s">
        <v>187</v>
      </c>
      <c r="AK8" s="136" t="s">
        <v>141</v>
      </c>
      <c r="AL8" s="136" t="s">
        <v>188</v>
      </c>
      <c r="AM8" s="136" t="s">
        <v>17</v>
      </c>
      <c r="AN8" s="136" t="s">
        <v>207</v>
      </c>
      <c r="AO8" s="136" t="s">
        <v>189</v>
      </c>
      <c r="AP8" s="136" t="s">
        <v>152</v>
      </c>
      <c r="AQ8" s="150" t="s">
        <v>190</v>
      </c>
      <c r="AR8" s="150" t="s">
        <v>191</v>
      </c>
      <c r="AS8" s="150" t="s">
        <v>192</v>
      </c>
      <c r="AT8" s="150" t="s">
        <v>193</v>
      </c>
      <c r="AU8" s="137" t="s">
        <v>194</v>
      </c>
      <c r="AW8" s="137" t="s">
        <v>195</v>
      </c>
      <c r="AY8" s="1011" t="s">
        <v>196</v>
      </c>
      <c r="AZ8" s="1011"/>
      <c r="BB8" s="118" t="s">
        <v>135</v>
      </c>
      <c r="BJ8" s="132"/>
      <c r="BK8" s="127"/>
    </row>
    <row r="9" spans="1:63" x14ac:dyDescent="0.35">
      <c r="A9" s="82">
        <f>+$A$8</f>
        <v>45031</v>
      </c>
      <c r="B9" s="82">
        <f t="shared" ref="B9:B15" si="0">IF(ISBLANK(A9),"",A9+2)</f>
        <v>45033</v>
      </c>
      <c r="D9" s="16"/>
      <c r="E9" s="138">
        <f>INDEX('[2]Flat Rates 2023'!$A:$DB,MATCH(G9,'[2]Flat Rates 2023'!$A:$A,0),MATCH(J9,'[2]Flat Rates 2023'!$A$1:$DB$1,0))</f>
        <v>0</v>
      </c>
      <c r="F9" s="138">
        <f>INDEX(Control!$E$17:$J$21,MATCH(L9,Control!$E$17:$E$21,0),MATCH(G9,Control!$E$17:$J$17,0))</f>
        <v>0</v>
      </c>
      <c r="G9" s="138" t="s">
        <v>45</v>
      </c>
      <c r="H9" s="116">
        <f>INDEX(Vessel_Minimum_MT,MATCH(L9,Control!$E$11:$E$15,0),MATCH(G9,Control!$E$11:$J$11,0))</f>
        <v>70000</v>
      </c>
      <c r="I9" s="116">
        <f t="shared" ref="I9:I15" si="1">M9/$BD$17</f>
        <v>90096.96796338672</v>
      </c>
      <c r="J9" s="138" t="s">
        <v>55</v>
      </c>
      <c r="K9" s="138" t="str">
        <f t="shared" ref="K9:K15" si="2">IF(J9=G9,"",CONCATENATE(CONCATENATE(VLOOKUP(G9,Zones,2,FALSE),"/",VLOOKUP(J9,Zones,2,FALSE))))</f>
        <v>USGC/CARIBS</v>
      </c>
      <c r="L9" s="147" t="s">
        <v>23</v>
      </c>
      <c r="M9" s="15">
        <v>700000</v>
      </c>
      <c r="N9" s="17">
        <v>170</v>
      </c>
      <c r="O9" s="18">
        <v>85</v>
      </c>
      <c r="P9" s="149">
        <f t="shared" ref="P9:P15" si="3">IF($G9="Esmeraldas",IF(N9&gt;1000,IF(O9=0,N9,O9)/M9*1.1,((H9*E9*(IF(O9=0,N9,O9)/100))+IF(I9&lt;H9,0,(I9-H9)*E9*IF(O9=0,N9,O9)/100*F9))/M9*1.1),IF(N9&gt;1000,IF(O9=0,N9,O9)/M9,((H9*E9*(IF(O9=0,N9,O9)/100))+IF(I9&lt;H9,0,(I9-H9)*E9*IF(O9=0,N9,O9)/100*F9)))/M9)</f>
        <v>0</v>
      </c>
      <c r="Q9" s="2"/>
      <c r="R9" s="165">
        <f>INDEX('[2]Flat Rates 2023'!$A:$DZ,MATCH(T9,'[2]Flat Rates 2023'!$A:$A,0),MATCH(X9,'[2]Flat Rates 2023'!$A$1:$DZ$1,0))</f>
        <v>10.63</v>
      </c>
      <c r="S9" s="138">
        <f>INDEX(Control!$E$17:$O$21,MATCH(W9,Control!$E$17:$E$21,0),MATCH(T9,Control!$E$17:$O$17,0))</f>
        <v>0.5</v>
      </c>
      <c r="T9" s="138" t="s">
        <v>63</v>
      </c>
      <c r="U9" s="116">
        <f>INDEX(Vessel_Minimum_MT,MATCH(W9,Control!$E$11:$E$15,0),MATCH(T9,Control!$E$11:$O$11,0))</f>
        <v>50000</v>
      </c>
      <c r="V9" s="140">
        <f t="shared" ref="V9:V15" si="4">Z9/$BD$17</f>
        <v>62424.327803203661</v>
      </c>
      <c r="W9" s="147" t="s">
        <v>22</v>
      </c>
      <c r="X9" s="164" t="s">
        <v>110</v>
      </c>
      <c r="Y9" s="142" t="str">
        <f t="shared" ref="Y9:Y15" si="5">IF(X9=T9,"",CONCATENATE(CONCATENATE(VLOOKUP(T9,Zones,2,FALSE),"/",VLOOKUP(X9,Zones,2,FALSE))))</f>
        <v>Panama WC/LATAM WEST</v>
      </c>
      <c r="Z9" s="141">
        <v>485000</v>
      </c>
      <c r="AA9" s="141">
        <v>245</v>
      </c>
      <c r="AB9" s="151">
        <v>100</v>
      </c>
      <c r="AC9" s="149">
        <f>IF(AB9&gt;1000,IF(AB9=0,AB9,AB9)/Z9,((U9*R9*(IF(AB9=0,AB9,AB9)/100))+IF(V9&lt;U9,0,(V9-U9)*R9*IF(AB9=0,AB9,AB9)/100*S9))/Z9)</f>
        <v>1.2320315510804691</v>
      </c>
      <c r="AD9" s="144">
        <v>5</v>
      </c>
      <c r="AE9" s="155">
        <f>IF(INDEX(Index,MATCH(X9,TVM_PortList,0),MATCH("Type",Control!$Q$3:$U$3,0))="BL",INDEX(Index,MATCH(X9,TVM_PortList,0),MATCH("Payment",Control!$Q$3:$U$3,0))-INDEX(Index,MATCH(T9,TVM_PortList,0),MATCH("Payment",Control!$Q$3:$U$3,0)),AW9+INDEX(Index,MATCH(X9,TVM_PortList,0),MATCH("Payment",Control!$Q$3:$U$3,0))-INDEX(Index,MATCH(T9,TVM_PortList,0),MATCH("Payment",Control!$Q$3:$U$3,0)))</f>
        <v>15</v>
      </c>
      <c r="AF9" s="143">
        <f t="shared" ref="AF9:AF15" si="6">AD9*VLOOKUP($W9,$BF$9:$BH$13,3,FALSE)/$Z9</f>
        <v>0.19072164948453607</v>
      </c>
      <c r="AG9" s="143">
        <f t="shared" ref="AG9:AG15" si="7">IF(AE9&lt;0,0,$AE9*$BD$11)</f>
        <v>4.1095890410958902E-2</v>
      </c>
      <c r="AH9" s="143">
        <f>INDEX(Lightering,MATCH($T9,Control!$AB$3:$AB$29,0),MATCH(MARS!$W9,Control!$AB$3:$AF$3,0))*($Z9/$BD$18)*$BH$15/$Z9</f>
        <v>0</v>
      </c>
      <c r="AI9" s="143">
        <f t="shared" ref="AI9:AI15" si="8">IF(G9="Corpus Christi",$BD$10,0)</f>
        <v>0</v>
      </c>
      <c r="AJ9" s="143">
        <v>0</v>
      </c>
      <c r="AK9" s="143">
        <f t="shared" ref="AK9:AK15" si="9">$BD$12</f>
        <v>5.0000000000000001E-3</v>
      </c>
      <c r="AL9" s="143">
        <f t="shared" ref="AL9:AL15" si="10">$BD$13</f>
        <v>6.7299999999999999E-2</v>
      </c>
      <c r="AM9" s="143">
        <f>IF(INDEX(Control!$Q$3:$S$62,MATCH($X9,Control!$Q$3:$Q$62,0),MATCH(AM$8,Control!$Q$3:$S$3,0))=1,$BD$14*$BE$14,0)</f>
        <v>0</v>
      </c>
      <c r="AN9" s="143" t="e">
        <f>IF(INDEX(Control!$Q$3:$S$62,MATCH($X9,Control!$Q$3:$Q$62,0),MATCH(AN$8,Control!$Q$3:$S$3,0))=1,$BD$15/$Z9,0)</f>
        <v>#N/A</v>
      </c>
      <c r="AO9" s="143">
        <f t="shared" ref="AO9:AO15" si="11">$BD$16</f>
        <v>0</v>
      </c>
      <c r="AP9" s="143">
        <f t="shared" ref="AP9:AP15" si="12">IF(AND(J9="Chiriqui Grande",T9="Puerto Armuelles"),$BG$18,0)</f>
        <v>0.55000000000000004</v>
      </c>
      <c r="AQ9" s="149" t="e">
        <f>SUM(AF9:AP9)</f>
        <v>#N/A</v>
      </c>
      <c r="AR9" s="149" t="e">
        <f t="shared" ref="AR9:AR15" si="13">+P9+AC9+AQ9</f>
        <v>#N/A</v>
      </c>
      <c r="AS9" s="149" t="e">
        <f t="shared" ref="AS9:AS15" si="14">IF(MONTH(A9)=MONTH(AZ9),0,IF(MONTH(AZ9)-MONTH(A9)&gt;1,VLOOKUP("Spreads",$AQ$3:$AU$4,MATCH(EOMONTH(AZ9,0),$AQ$3:$AU$3,0),FALSE)+VLOOKUP("Spreads",$AQ$3:$AU$4,MATCH(EOMONTH(AZ9,-1),$AQ$3:$AU$3,0),FALSE),VLOOKUP("Spreads",$AQ$3:$AU$4,MATCH(EOMONTH(AZ9,0),$AQ$3:$AU$3,0))))</f>
        <v>#N/A</v>
      </c>
      <c r="AT9" s="149">
        <v>0</v>
      </c>
      <c r="AU9" s="135" t="e">
        <f t="shared" ref="AU9:AU15" si="15">$L$3+AR9+AS9+AT9</f>
        <v>#N/A</v>
      </c>
      <c r="AW9" s="153">
        <f>INDEX('[1]Transit Time'!$A:$DZ,MATCH(G9,'[1]Transit Time'!$A:$A,0),MATCH(J9,'[1]Transit Time'!$A$1:$DZ$1,0))+INDEX('[1]Transit Time'!$A:$DZ,MATCH(J9,'[1]Transit Time'!$A:$A,0),MATCH(T9,'[1]Transit Time'!$A$1:$DZ$1,0))+INDEX('[1]Transit Time'!$A:$DZ,MATCH(T9,'[1]Transit Time'!$A:$A,0),MATCH(X9,'[1]Transit Time'!$A$1:$DZ$1,0))</f>
        <v>25</v>
      </c>
      <c r="AY9" s="163">
        <f t="shared" ref="AY9:AZ15" si="16">IF(ISBLANK(A9),"",A9+$AW9)</f>
        <v>45056</v>
      </c>
      <c r="AZ9" s="163">
        <f t="shared" si="16"/>
        <v>45058</v>
      </c>
      <c r="BB9" s="118" t="s">
        <v>136</v>
      </c>
      <c r="BC9"/>
      <c r="BD9" s="2">
        <v>43.3</v>
      </c>
      <c r="BE9"/>
      <c r="BF9" s="185" t="s">
        <v>137</v>
      </c>
      <c r="BG9" s="185"/>
      <c r="BH9" s="186" t="s">
        <v>138</v>
      </c>
      <c r="BJ9" s="118" t="s">
        <v>102</v>
      </c>
    </row>
    <row r="10" spans="1:63" x14ac:dyDescent="0.35">
      <c r="A10" s="209">
        <f>+$A$9</f>
        <v>45031</v>
      </c>
      <c r="B10" s="209">
        <f t="shared" si="0"/>
        <v>45033</v>
      </c>
      <c r="D10" s="211"/>
      <c r="E10" s="212">
        <f>INDEX('[2]Flat Rates 2023'!$A:$DB,MATCH(G10,'[2]Flat Rates 2023'!$A:$A,0),MATCH(J10,'[2]Flat Rates 2023'!$A$1:$DB$1,0))</f>
        <v>0</v>
      </c>
      <c r="F10" s="212">
        <f>INDEX(Control!$E$17:$J$21,MATCH(L10,Control!$E$17:$E$21,0),MATCH(G10,Control!$E$17:$J$17,0))</f>
        <v>0</v>
      </c>
      <c r="G10" s="212" t="s">
        <v>45</v>
      </c>
      <c r="H10" s="213">
        <f>INDEX(Vessel_Minimum_MT,MATCH(L10,Control!$E$11:$E$15,0),MATCH(G10,Control!$E$11:$J$11,0))</f>
        <v>70000</v>
      </c>
      <c r="I10" s="214">
        <f t="shared" si="1"/>
        <v>90096.96796338672</v>
      </c>
      <c r="J10" s="212" t="s">
        <v>55</v>
      </c>
      <c r="K10" s="212" t="str">
        <f t="shared" si="2"/>
        <v>USGC/CARIBS</v>
      </c>
      <c r="L10" s="215" t="s">
        <v>23</v>
      </c>
      <c r="M10" s="216">
        <v>700000</v>
      </c>
      <c r="N10" s="217">
        <v>170</v>
      </c>
      <c r="O10" s="218">
        <v>85</v>
      </c>
      <c r="P10" s="219">
        <f t="shared" si="3"/>
        <v>0</v>
      </c>
      <c r="Q10" s="2"/>
      <c r="R10" s="220">
        <f>INDEX('[2]Flat Rates 2023'!$A:$DZ,MATCH(T10,'[2]Flat Rates 2023'!$A:$A,0),MATCH(X10,'[2]Flat Rates 2023'!$A$1:$DZ$1,0))</f>
        <v>10.63</v>
      </c>
      <c r="S10" s="220">
        <f>INDEX(Control!$E$17:$O$21,MATCH(W10,Control!$E$17:$E$21,0),MATCH(T10,Control!$E$17:$O$17,0))</f>
        <v>0.5</v>
      </c>
      <c r="T10" s="220" t="s">
        <v>63</v>
      </c>
      <c r="U10" s="213">
        <f>INDEX(Vessel_Minimum_MT,MATCH(W10,Control!$E$11:$E$15,0),MATCH(T10,Control!$E$11:$O$11,0))</f>
        <v>70000</v>
      </c>
      <c r="V10" s="222">
        <f t="shared" si="4"/>
        <v>96532.465675057203</v>
      </c>
      <c r="W10" s="215" t="s">
        <v>23</v>
      </c>
      <c r="X10" s="223" t="s">
        <v>110</v>
      </c>
      <c r="Y10" s="212" t="str">
        <f t="shared" si="5"/>
        <v>Panama WC/LATAM WEST</v>
      </c>
      <c r="Z10" s="214">
        <v>750000</v>
      </c>
      <c r="AA10" s="214">
        <v>155</v>
      </c>
      <c r="AB10" s="224"/>
      <c r="AC10" s="225">
        <f t="shared" ref="AC10:AC15" si="17">IF(AA10&gt;1000,IF(AB10=0,AA10,AB10)/Z10,((U10*R10*(IF(AB10=0,AA10,AB10)/100))+IF(V10&lt;U10,0,(V10-U10)*R10*IF(AB10=0,AA10,AB10)/100*S10))/Z10)</f>
        <v>1.82924811379672</v>
      </c>
      <c r="AD10" s="226">
        <v>0</v>
      </c>
      <c r="AE10" s="214">
        <f>IF(INDEX(Index,MATCH(X10,TVM_PortList,0),MATCH("Type",Control!$Q$3:$U$3,0))="BL",INDEX(Index,MATCH(X10,TVM_PortList,0),MATCH("Payment",Control!$Q$3:$U$3,0))-INDEX(Index,MATCH(T10,TVM_PortList,0),MATCH("Payment",Control!$Q$3:$U$3,0)),AW10+INDEX(Index,MATCH(X10,TVM_PortList,0),MATCH("Payment",Control!$Q$3:$U$3,0))-INDEX(Index,MATCH(T10,TVM_PortList,0),MATCH("Payment",Control!$Q$3:$U$3,0)))</f>
        <v>15</v>
      </c>
      <c r="AF10" s="227">
        <f t="shared" si="6"/>
        <v>0</v>
      </c>
      <c r="AG10" s="227">
        <f t="shared" si="7"/>
        <v>4.1095890410958902E-2</v>
      </c>
      <c r="AH10" s="227">
        <f>INDEX(Lightering,MATCH($T10,Control!$AB$3:$AB$29,0),MATCH(MARS!$W10,Control!$AB$3:$AF$3,0))*($Z10/$BD$18)*$BH$15/$Z10</f>
        <v>0</v>
      </c>
      <c r="AI10" s="227">
        <f t="shared" si="8"/>
        <v>0</v>
      </c>
      <c r="AJ10" s="227">
        <v>0</v>
      </c>
      <c r="AK10" s="227">
        <f t="shared" si="9"/>
        <v>5.0000000000000001E-3</v>
      </c>
      <c r="AL10" s="227">
        <f t="shared" si="10"/>
        <v>6.7299999999999999E-2</v>
      </c>
      <c r="AM10" s="227">
        <f>IF(INDEX(Control!$Q$3:$S$62,MATCH($X10,Control!$Q$3:$Q$62,0),MATCH(AM$8,Control!$Q$3:$S$3,0))=1,$BD$14*$BE$14,0)</f>
        <v>0</v>
      </c>
      <c r="AN10" s="227" t="e">
        <f>IF(INDEX(Control!$Q$3:$S$62,MATCH($X10,Control!$Q$3:$Q$62,0),MATCH(AN$8,Control!$Q$3:$S$3,0))=1,$BD$15/$Z10,0)</f>
        <v>#N/A</v>
      </c>
      <c r="AO10" s="227">
        <f t="shared" si="11"/>
        <v>0</v>
      </c>
      <c r="AP10" s="227">
        <f t="shared" si="12"/>
        <v>0.55000000000000004</v>
      </c>
      <c r="AQ10" s="225" t="e">
        <f t="shared" ref="AQ10:AQ15" si="18">SUM(AF10:AP10)</f>
        <v>#N/A</v>
      </c>
      <c r="AR10" s="225" t="e">
        <f t="shared" si="13"/>
        <v>#N/A</v>
      </c>
      <c r="AS10" s="225" t="e">
        <f t="shared" si="14"/>
        <v>#N/A</v>
      </c>
      <c r="AT10" s="225">
        <v>0</v>
      </c>
      <c r="AU10" s="228" t="e">
        <f t="shared" si="15"/>
        <v>#N/A</v>
      </c>
      <c r="AV10" s="220"/>
      <c r="AW10" s="229">
        <f>INDEX('[1]Transit Time'!$A:$DZ,MATCH(G10,'[1]Transit Time'!$A:$A,0),MATCH(J10,'[1]Transit Time'!$A$1:$DZ$1,0))+INDEX('[1]Transit Time'!$A:$DZ,MATCH(J10,'[1]Transit Time'!$A:$A,0),MATCH(T10,'[1]Transit Time'!$A$1:$DZ$1,0))+INDEX('[1]Transit Time'!$A:$DZ,MATCH(T10,'[1]Transit Time'!$A:$A,0),MATCH(X10,'[1]Transit Time'!$A$1:$DZ$1,0))</f>
        <v>25</v>
      </c>
      <c r="AX10" s="220"/>
      <c r="AY10" s="230">
        <f t="shared" si="16"/>
        <v>45056</v>
      </c>
      <c r="AZ10" s="230">
        <f t="shared" ref="AZ10:AZ15" si="19">IFERROR(IF(ISBLANK(B10),"",B10+$AW10),"")</f>
        <v>45058</v>
      </c>
      <c r="BB10" s="183" t="s">
        <v>139</v>
      </c>
      <c r="BC10" s="183"/>
      <c r="BD10" s="184"/>
      <c r="BE10" s="181"/>
      <c r="BF10" s="133" t="s">
        <v>22</v>
      </c>
      <c r="BG10" s="133"/>
      <c r="BH10" s="154">
        <v>18500</v>
      </c>
      <c r="BI10" s="165"/>
      <c r="BJ10" s="2" t="s">
        <v>22</v>
      </c>
      <c r="BK10" s="267">
        <v>490000</v>
      </c>
    </row>
    <row r="11" spans="1:63" x14ac:dyDescent="0.35">
      <c r="A11" s="163">
        <f t="shared" ref="A11:A15" si="20">+$A$9</f>
        <v>45031</v>
      </c>
      <c r="B11" s="163">
        <f t="shared" si="0"/>
        <v>45033</v>
      </c>
      <c r="D11" s="8"/>
      <c r="E11" s="142">
        <f>INDEX('[2]Flat Rates 2023'!$A:$DB,MATCH(G11,'[2]Flat Rates 2023'!$A:$A,0),MATCH(J11,'[2]Flat Rates 2023'!$A$1:$DB$1,0))</f>
        <v>0</v>
      </c>
      <c r="F11" s="142">
        <f>INDEX(Control!$E$17:$J$21,MATCH(L11,Control!$E$17:$E$21,0),MATCH(G11,Control!$E$17:$J$17,0))</f>
        <v>0</v>
      </c>
      <c r="G11" s="142" t="str">
        <f>$G$9</f>
        <v>Corpus Christi</v>
      </c>
      <c r="H11" s="116">
        <f>INDEX(Vessel_Minimum_MT,MATCH(L11,Control!$E$11:$E$15,0),MATCH(G11,Control!$E$11:$J$11,0))</f>
        <v>70000</v>
      </c>
      <c r="I11" s="141">
        <f t="shared" si="1"/>
        <v>90096.96796338672</v>
      </c>
      <c r="J11" s="142" t="s">
        <v>55</v>
      </c>
      <c r="K11" s="142" t="str">
        <f t="shared" si="2"/>
        <v>USGC/CARIBS</v>
      </c>
      <c r="L11" s="147" t="s">
        <v>23</v>
      </c>
      <c r="M11" s="15">
        <v>700000</v>
      </c>
      <c r="N11" s="13">
        <v>170</v>
      </c>
      <c r="O11" s="14">
        <v>85</v>
      </c>
      <c r="P11" s="259">
        <f t="shared" si="3"/>
        <v>0</v>
      </c>
      <c r="Q11" s="2"/>
      <c r="R11" s="191">
        <f>INDEX('[2]Flat Rates 2023'!$A:$DZ,MATCH(T11,'[2]Flat Rates 2023'!$A:$A,0),MATCH(X11,'[2]Flat Rates 2023'!$A$1:$DZ$1,0))</f>
        <v>10.63</v>
      </c>
      <c r="S11" s="138">
        <f>INDEX(Control!$E$17:$O$21,MATCH(W11,Control!$E$17:$E$21,0),MATCH(T11,Control!$E$17:$O$17,0))</f>
        <v>0.5</v>
      </c>
      <c r="T11" s="138" t="s">
        <v>63</v>
      </c>
      <c r="U11" s="116">
        <f>INDEX(Vessel_Minimum_MT,MATCH(W11,Control!$E$11:$E$15,0),MATCH(T11,Control!$E$11:$O$11,0))</f>
        <v>145000</v>
      </c>
      <c r="V11" s="140">
        <f t="shared" si="4"/>
        <v>128709.9542334096</v>
      </c>
      <c r="W11" s="147" t="s">
        <v>24</v>
      </c>
      <c r="X11" s="164" t="s">
        <v>110</v>
      </c>
      <c r="Y11" s="142" t="str">
        <f t="shared" si="5"/>
        <v>Panama WC/LATAM WEST</v>
      </c>
      <c r="Z11" s="141">
        <v>1000000</v>
      </c>
      <c r="AA11" s="141">
        <v>110</v>
      </c>
      <c r="AB11" s="151"/>
      <c r="AC11" s="149">
        <f t="shared" si="17"/>
        <v>1.6954850000000001</v>
      </c>
      <c r="AD11" s="144">
        <v>0</v>
      </c>
      <c r="AE11" s="141">
        <f>IF(INDEX(Index,MATCH(X11,TVM_PortList,0),MATCH("Type",Control!$Q$3:$U$3,0))="BL",INDEX(Index,MATCH(X11,TVM_PortList,0),MATCH("Payment",Control!$Q$3:$U$3,0))-INDEX(Index,MATCH(T11,TVM_PortList,0),MATCH("Payment",Control!$Q$3:$U$3,0)),AW11+INDEX(Index,MATCH(X11,TVM_PortList,0),MATCH("Payment",Control!$Q$3:$U$3,0))-INDEX(Index,MATCH(T11,TVM_PortList,0),MATCH("Payment",Control!$Q$3:$U$3,0)))</f>
        <v>15</v>
      </c>
      <c r="AF11" s="143">
        <f t="shared" si="6"/>
        <v>0</v>
      </c>
      <c r="AG11" s="143">
        <f t="shared" si="7"/>
        <v>4.1095890410958902E-2</v>
      </c>
      <c r="AH11" s="143">
        <f>INDEX(Lightering,MATCH($T11,Control!$AB$3:$AB$29,0),MATCH(MARS!$W11,Control!$AB$3:$AF$3,0))*($Z11/$BD$18)*$BH$15/$Z11</f>
        <v>0</v>
      </c>
      <c r="AI11" s="143">
        <f t="shared" si="8"/>
        <v>0</v>
      </c>
      <c r="AJ11" s="143">
        <v>0</v>
      </c>
      <c r="AK11" s="143">
        <f t="shared" si="9"/>
        <v>5.0000000000000001E-3</v>
      </c>
      <c r="AL11" s="143">
        <f t="shared" si="10"/>
        <v>6.7299999999999999E-2</v>
      </c>
      <c r="AM11" s="143">
        <f>IF(INDEX(Control!$Q$3:$S$62,MATCH($X11,Control!$Q$3:$Q$62,0),MATCH(AM$8,Control!$Q$3:$S$3,0))=1,$BD$14*$BE$14,0)</f>
        <v>0</v>
      </c>
      <c r="AN11" s="143" t="e">
        <f>IF(INDEX(Control!$Q$3:$S$62,MATCH($X11,Control!$Q$3:$Q$62,0),MATCH(AN$8,Control!$Q$3:$S$3,0))=1,$BD$15/$Z11,0)</f>
        <v>#N/A</v>
      </c>
      <c r="AO11" s="143">
        <f t="shared" si="11"/>
        <v>0</v>
      </c>
      <c r="AP11" s="143">
        <f t="shared" si="12"/>
        <v>0.55000000000000004</v>
      </c>
      <c r="AQ11" s="149" t="e">
        <f t="shared" si="18"/>
        <v>#N/A</v>
      </c>
      <c r="AR11" s="149" t="e">
        <f t="shared" si="13"/>
        <v>#N/A</v>
      </c>
      <c r="AS11" s="149" t="e">
        <f t="shared" si="14"/>
        <v>#N/A</v>
      </c>
      <c r="AT11" s="149">
        <v>0</v>
      </c>
      <c r="AU11" s="145" t="e">
        <f t="shared" si="15"/>
        <v>#N/A</v>
      </c>
      <c r="AW11" s="153">
        <f>INDEX('[1]Transit Time'!$A:$DZ,MATCH(G11,'[1]Transit Time'!$A:$A,0),MATCH(J11,'[1]Transit Time'!$A$1:$DZ$1,0))+INDEX('[1]Transit Time'!$A:$DZ,MATCH(J11,'[1]Transit Time'!$A:$A,0),MATCH(T11,'[1]Transit Time'!$A$1:$DZ$1,0))+INDEX('[1]Transit Time'!$A:$DZ,MATCH(T11,'[1]Transit Time'!$A:$A,0),MATCH(X11,'[1]Transit Time'!$A$1:$DZ$1,0))</f>
        <v>25</v>
      </c>
      <c r="AY11" s="163">
        <f t="shared" si="16"/>
        <v>45056</v>
      </c>
      <c r="AZ11" s="163">
        <f t="shared" si="19"/>
        <v>45058</v>
      </c>
      <c r="BB11" s="133" t="s">
        <v>140</v>
      </c>
      <c r="BC11" s="133"/>
      <c r="BD11" s="119">
        <f>BD21</f>
        <v>2.7397260273972603E-3</v>
      </c>
      <c r="BE11"/>
      <c r="BF11" s="133" t="s">
        <v>23</v>
      </c>
      <c r="BG11" s="133"/>
      <c r="BH11" s="154">
        <v>30000</v>
      </c>
      <c r="BJ11" s="2" t="s">
        <v>23</v>
      </c>
      <c r="BK11" s="267">
        <v>750000</v>
      </c>
    </row>
    <row r="12" spans="1:63" x14ac:dyDescent="0.35">
      <c r="A12" s="230">
        <f t="shared" si="20"/>
        <v>45031</v>
      </c>
      <c r="B12" s="230">
        <f t="shared" si="0"/>
        <v>45033</v>
      </c>
      <c r="D12" s="211"/>
      <c r="E12" s="212">
        <f>INDEX('[2]Flat Rates 2023'!$A:$DB,MATCH(G12,'[2]Flat Rates 2023'!$A:$A,0),MATCH(J12,'[2]Flat Rates 2023'!$A$1:$DB$1,0))</f>
        <v>0</v>
      </c>
      <c r="F12" s="212">
        <f>INDEX(Control!$E$17:$J$21,MATCH(L12,Control!$E$17:$E$21,0),MATCH(G12,Control!$E$17:$J$17,0))</f>
        <v>0</v>
      </c>
      <c r="G12" s="212" t="str">
        <f>$G$9</f>
        <v>Corpus Christi</v>
      </c>
      <c r="H12" s="213">
        <f>INDEX(Vessel_Minimum_MT,MATCH(L12,Control!$E$11:$E$15,0),MATCH(G12,Control!$E$11:$J$11,0))</f>
        <v>70000</v>
      </c>
      <c r="I12" s="214">
        <f t="shared" si="1"/>
        <v>90096.96796338672</v>
      </c>
      <c r="J12" s="212" t="s">
        <v>55</v>
      </c>
      <c r="K12" s="212" t="str">
        <f t="shared" si="2"/>
        <v>USGC/CARIBS</v>
      </c>
      <c r="L12" s="215" t="s">
        <v>23</v>
      </c>
      <c r="M12" s="216">
        <v>700000</v>
      </c>
      <c r="N12" s="217">
        <v>170</v>
      </c>
      <c r="O12" s="218">
        <v>85</v>
      </c>
      <c r="P12" s="219">
        <f t="shared" si="3"/>
        <v>0</v>
      </c>
      <c r="Q12" s="2"/>
      <c r="R12" s="220">
        <f>INDEX('[2]Flat Rates 2023'!$A:$DZ,MATCH(T12,'[2]Flat Rates 2023'!$A:$A,0),MATCH(X12,'[2]Flat Rates 2023'!$A$1:$DZ$1,0))</f>
        <v>5.93</v>
      </c>
      <c r="S12" s="220">
        <f>INDEX(Control!$E$17:$O$21,MATCH(W12,Control!$E$17:$E$21,0),MATCH(T12,Control!$E$17:$O$17,0))</f>
        <v>0.5</v>
      </c>
      <c r="T12" s="220" t="s">
        <v>63</v>
      </c>
      <c r="U12" s="213">
        <f>INDEX(Vessel_Minimum_MT,MATCH(W12,Control!$E$11:$E$15,0),MATCH(T12,Control!$E$11:$O$11,0))</f>
        <v>50000</v>
      </c>
      <c r="V12" s="222">
        <f t="shared" si="4"/>
        <v>61137.22826086956</v>
      </c>
      <c r="W12" s="215" t="s">
        <v>22</v>
      </c>
      <c r="X12" s="223" t="s">
        <v>94</v>
      </c>
      <c r="Y12" s="212" t="str">
        <f t="shared" si="5"/>
        <v>Panama WC/PAMPILLA</v>
      </c>
      <c r="Z12" s="214">
        <v>475000</v>
      </c>
      <c r="AA12" s="214">
        <v>1001</v>
      </c>
      <c r="AB12" s="224">
        <v>700000</v>
      </c>
      <c r="AC12" s="225">
        <f t="shared" si="17"/>
        <v>1.4736842105263157</v>
      </c>
      <c r="AD12" s="226">
        <v>0</v>
      </c>
      <c r="AE12" s="214">
        <f>IF(INDEX(Index,MATCH(X12,TVM_PortList,0),MATCH("Type",Control!$Q$3:$U$3,0))="BL",INDEX(Index,MATCH(X12,TVM_PortList,0),MATCH("Payment",Control!$Q$3:$U$3,0))-INDEX(Index,MATCH(T12,TVM_PortList,0),MATCH("Payment",Control!$Q$3:$U$3,0)),AW12+INDEX(Index,MATCH(X12,TVM_PortList,0),MATCH("Payment",Control!$Q$3:$U$3,0))-INDEX(Index,MATCH(T12,TVM_PortList,0),MATCH("Payment",Control!$Q$3:$U$3,0)))</f>
        <v>19</v>
      </c>
      <c r="AF12" s="227">
        <f t="shared" si="6"/>
        <v>0</v>
      </c>
      <c r="AG12" s="227">
        <f t="shared" si="7"/>
        <v>5.2054794520547946E-2</v>
      </c>
      <c r="AH12" s="227">
        <f>INDEX(Lightering,MATCH($T12,Control!$AB$3:$AB$29,0),MATCH(MARS!$W12,Control!$AB$3:$AF$3,0))*($Z12/$BD$18)*$BH$15/$Z12</f>
        <v>0</v>
      </c>
      <c r="AI12" s="227">
        <f t="shared" si="8"/>
        <v>0</v>
      </c>
      <c r="AJ12" s="227">
        <v>0</v>
      </c>
      <c r="AK12" s="227">
        <f t="shared" si="9"/>
        <v>5.0000000000000001E-3</v>
      </c>
      <c r="AL12" s="227">
        <f t="shared" si="10"/>
        <v>6.7299999999999999E-2</v>
      </c>
      <c r="AM12" s="227">
        <f>IF(INDEX(Control!$Q$3:$S$62,MATCH($X12,Control!$Q$3:$Q$62,0),MATCH(AM$8,Control!$Q$3:$S$3,0))=1,$BD$14*$BE$14,0)</f>
        <v>0</v>
      </c>
      <c r="AN12" s="227" t="e">
        <f>IF(INDEX(Control!$Q$3:$S$62,MATCH($X12,Control!$Q$3:$Q$62,0),MATCH(AN$8,Control!$Q$3:$S$3,0))=1,$BD$15/$Z12,0)</f>
        <v>#N/A</v>
      </c>
      <c r="AO12" s="227">
        <f t="shared" si="11"/>
        <v>0</v>
      </c>
      <c r="AP12" s="227">
        <f t="shared" si="12"/>
        <v>0.55000000000000004</v>
      </c>
      <c r="AQ12" s="225" t="e">
        <f t="shared" si="18"/>
        <v>#N/A</v>
      </c>
      <c r="AR12" s="225" t="e">
        <f t="shared" si="13"/>
        <v>#N/A</v>
      </c>
      <c r="AS12" s="225" t="e">
        <f t="shared" si="14"/>
        <v>#N/A</v>
      </c>
      <c r="AT12" s="225">
        <v>0</v>
      </c>
      <c r="AU12" s="228" t="e">
        <f t="shared" si="15"/>
        <v>#N/A</v>
      </c>
      <c r="AV12" s="220"/>
      <c r="AW12" s="229">
        <f>INDEX('[1]Transit Time'!$A:$DZ,MATCH(G12,'[1]Transit Time'!$A:$A,0),MATCH(J12,'[1]Transit Time'!$A$1:$DZ$1,0))+INDEX('[1]Transit Time'!$A:$DZ,MATCH(J12,'[1]Transit Time'!$A:$A,0),MATCH(T12,'[1]Transit Time'!$A$1:$DZ$1,0))+INDEX('[1]Transit Time'!$A:$DZ,MATCH(T12,'[1]Transit Time'!$A:$A,0),MATCH(X12,'[1]Transit Time'!$A$1:$DZ$1,0))</f>
        <v>21</v>
      </c>
      <c r="AX12" s="220"/>
      <c r="AY12" s="230">
        <f t="shared" si="16"/>
        <v>45052</v>
      </c>
      <c r="AZ12" s="230">
        <f t="shared" si="19"/>
        <v>45054</v>
      </c>
      <c r="BB12" s="183" t="s">
        <v>328</v>
      </c>
      <c r="BC12" s="183"/>
      <c r="BD12" s="184">
        <f>0.005</f>
        <v>5.0000000000000001E-3</v>
      </c>
      <c r="BE12" s="181"/>
      <c r="BF12" s="118" t="s">
        <v>24</v>
      </c>
      <c r="BH12" s="154">
        <v>40000</v>
      </c>
      <c r="BI12" s="165"/>
      <c r="BJ12" s="165" t="s">
        <v>24</v>
      </c>
      <c r="BK12" s="267">
        <v>1000000</v>
      </c>
    </row>
    <row r="13" spans="1:63" x14ac:dyDescent="0.35">
      <c r="A13" s="163">
        <f t="shared" si="20"/>
        <v>45031</v>
      </c>
      <c r="B13" s="163">
        <f t="shared" si="0"/>
        <v>45033</v>
      </c>
      <c r="D13" s="8"/>
      <c r="E13" s="142">
        <f>INDEX('[2]Flat Rates 2023'!$A:$DB,MATCH(G13,'[2]Flat Rates 2023'!$A:$A,0),MATCH(J13,'[2]Flat Rates 2023'!$A$1:$DB$1,0))</f>
        <v>0</v>
      </c>
      <c r="F13" s="142">
        <f>INDEX(Control!$E$17:$J$21,MATCH(L13,Control!$E$17:$E$21,0),MATCH(G13,Control!$E$17:$J$17,0))</f>
        <v>0</v>
      </c>
      <c r="G13" s="142" t="str">
        <f>$G$9</f>
        <v>Corpus Christi</v>
      </c>
      <c r="H13" s="116">
        <f>INDEX(Vessel_Minimum_MT,MATCH(L13,Control!$E$11:$E$15,0),MATCH(G13,Control!$E$11:$J$11,0))</f>
        <v>70000</v>
      </c>
      <c r="I13" s="141">
        <f t="shared" si="1"/>
        <v>90096.96796338672</v>
      </c>
      <c r="J13" s="142" t="s">
        <v>55</v>
      </c>
      <c r="K13" s="142" t="str">
        <f t="shared" si="2"/>
        <v>USGC/CARIBS</v>
      </c>
      <c r="L13" s="147" t="s">
        <v>23</v>
      </c>
      <c r="M13" s="15">
        <v>700000</v>
      </c>
      <c r="N13" s="13">
        <v>170</v>
      </c>
      <c r="O13" s="14">
        <v>85</v>
      </c>
      <c r="P13" s="148">
        <f t="shared" si="3"/>
        <v>0</v>
      </c>
      <c r="Q13" s="2"/>
      <c r="R13" s="138">
        <f>INDEX('[2]Flat Rates 2023'!$A:$DZ,MATCH(T13,'[2]Flat Rates 2023'!$A:$A,0),MATCH(X13,'[2]Flat Rates 2023'!$A$1:$DZ$1,0))</f>
        <v>5.93</v>
      </c>
      <c r="S13" s="138">
        <f>INDEX(Control!$E$17:$O$21,MATCH(W13,Control!$E$17:$E$21,0),MATCH(T13,Control!$E$17:$O$17,0))</f>
        <v>0.5</v>
      </c>
      <c r="T13" s="138" t="s">
        <v>63</v>
      </c>
      <c r="U13" s="116">
        <f>INDEX(Vessel_Minimum_MT,MATCH(W13,Control!$E$11:$E$15,0),MATCH(T13,Control!$E$11:$O$11,0))</f>
        <v>70000</v>
      </c>
      <c r="V13" s="140">
        <f t="shared" si="4"/>
        <v>84948.569794050345</v>
      </c>
      <c r="W13" s="147" t="s">
        <v>23</v>
      </c>
      <c r="X13" s="164" t="s">
        <v>94</v>
      </c>
      <c r="Y13" s="142" t="str">
        <f t="shared" si="5"/>
        <v>Panama WC/PAMPILLA</v>
      </c>
      <c r="Z13" s="141">
        <v>660000</v>
      </c>
      <c r="AA13" s="141">
        <v>205</v>
      </c>
      <c r="AB13" s="151">
        <v>0</v>
      </c>
      <c r="AC13" s="149">
        <f t="shared" si="17"/>
        <v>1.4269941581071006</v>
      </c>
      <c r="AD13" s="144">
        <v>0</v>
      </c>
      <c r="AE13" s="141">
        <f>IF(INDEX(Index,MATCH(X13,TVM_PortList,0),MATCH("Type",Control!$Q$3:$U$3,0))="BL",INDEX(Index,MATCH(X13,TVM_PortList,0),MATCH("Payment",Control!$Q$3:$U$3,0))-INDEX(Index,MATCH(T13,TVM_PortList,0),MATCH("Payment",Control!$Q$3:$U$3,0)),AW13+INDEX(Index,MATCH(X13,TVM_PortList,0),MATCH("Payment",Control!$Q$3:$U$3,0))-INDEX(Index,MATCH(T13,TVM_PortList,0),MATCH("Payment",Control!$Q$3:$U$3,0)))</f>
        <v>19</v>
      </c>
      <c r="AF13" s="143">
        <f t="shared" si="6"/>
        <v>0</v>
      </c>
      <c r="AG13" s="143">
        <f t="shared" si="7"/>
        <v>5.2054794520547946E-2</v>
      </c>
      <c r="AH13" s="143">
        <f>INDEX(Lightering,MATCH($T13,Control!$AB$3:$AB$29,0),MATCH(MARS!$W13,Control!$AB$3:$AF$3,0))*($Z13/$BD$18)*$BH$15/$Z13</f>
        <v>0</v>
      </c>
      <c r="AI13" s="143">
        <f t="shared" si="8"/>
        <v>0</v>
      </c>
      <c r="AJ13" s="143">
        <v>0</v>
      </c>
      <c r="AK13" s="143">
        <f t="shared" si="9"/>
        <v>5.0000000000000001E-3</v>
      </c>
      <c r="AL13" s="143">
        <f t="shared" si="10"/>
        <v>6.7299999999999999E-2</v>
      </c>
      <c r="AM13" s="143">
        <f>IF(INDEX(Control!$Q$3:$S$62,MATCH($X13,Control!$Q$3:$Q$62,0),MATCH(AM$8,Control!$Q$3:$S$3,0))=1,$BD$14*$BE$14,0)</f>
        <v>0</v>
      </c>
      <c r="AN13" s="143" t="e">
        <f>IF(INDEX(Control!$Q$3:$S$62,MATCH($X13,Control!$Q$3:$Q$62,0),MATCH(AN$8,Control!$Q$3:$S$3,0))=1,$BD$15/$Z13,0)</f>
        <v>#N/A</v>
      </c>
      <c r="AO13" s="143">
        <f t="shared" si="11"/>
        <v>0</v>
      </c>
      <c r="AP13" s="143">
        <f t="shared" si="12"/>
        <v>0.55000000000000004</v>
      </c>
      <c r="AQ13" s="149" t="e">
        <f t="shared" si="18"/>
        <v>#N/A</v>
      </c>
      <c r="AR13" s="149" t="e">
        <f t="shared" si="13"/>
        <v>#N/A</v>
      </c>
      <c r="AS13" s="149" t="e">
        <f t="shared" si="14"/>
        <v>#N/A</v>
      </c>
      <c r="AT13" s="149">
        <v>0</v>
      </c>
      <c r="AU13" s="145" t="e">
        <f t="shared" si="15"/>
        <v>#N/A</v>
      </c>
      <c r="AW13" s="153">
        <f>INDEX('[1]Transit Time'!$A:$DZ,MATCH(G13,'[1]Transit Time'!$A:$A,0),MATCH(J13,'[1]Transit Time'!$A$1:$DZ$1,0))+INDEX('[1]Transit Time'!$A:$DZ,MATCH(J13,'[1]Transit Time'!$A:$A,0),MATCH(T13,'[1]Transit Time'!$A$1:$DZ$1,0))+INDEX('[1]Transit Time'!$A:$DZ,MATCH(T13,'[1]Transit Time'!$A:$A,0),MATCH(X13,'[1]Transit Time'!$A$1:$DZ$1,0))</f>
        <v>21</v>
      </c>
      <c r="AY13" s="163">
        <f t="shared" si="16"/>
        <v>45052</v>
      </c>
      <c r="AZ13" s="163">
        <f t="shared" si="19"/>
        <v>45054</v>
      </c>
      <c r="BB13" s="2" t="s">
        <v>142</v>
      </c>
      <c r="BC13"/>
      <c r="BD13" s="117">
        <f>0.0003+0.05+0.004+0.013</f>
        <v>6.7299999999999999E-2</v>
      </c>
      <c r="BE13"/>
      <c r="BF13" s="133" t="s">
        <v>25</v>
      </c>
      <c r="BG13" s="133"/>
      <c r="BH13" s="154">
        <v>50000</v>
      </c>
      <c r="BJ13" s="2" t="s">
        <v>25</v>
      </c>
      <c r="BK13" s="267">
        <v>2000000</v>
      </c>
    </row>
    <row r="14" spans="1:63" x14ac:dyDescent="0.35">
      <c r="A14" s="230">
        <f t="shared" si="20"/>
        <v>45031</v>
      </c>
      <c r="B14" s="230">
        <f t="shared" si="0"/>
        <v>45033</v>
      </c>
      <c r="D14" s="211"/>
      <c r="E14" s="212">
        <f>INDEX('[2]Flat Rates 2023'!$A:$DB,MATCH(G14,'[2]Flat Rates 2023'!$A:$A,0),MATCH(J14,'[2]Flat Rates 2023'!$A$1:$DB$1,0))</f>
        <v>0</v>
      </c>
      <c r="F14" s="212">
        <f>INDEX(Control!$E$17:$J$21,MATCH(L14,Control!$E$17:$E$21,0),MATCH(G14,Control!$E$17:$J$17,0))</f>
        <v>0</v>
      </c>
      <c r="G14" s="212" t="str">
        <f>$G$9</f>
        <v>Corpus Christi</v>
      </c>
      <c r="H14" s="213">
        <f>INDEX(Vessel_Minimum_MT,MATCH(L14,Control!$E$11:$E$15,0),MATCH(G14,Control!$E$11:$J$11,0))</f>
        <v>70000</v>
      </c>
      <c r="I14" s="214">
        <f t="shared" si="1"/>
        <v>90096.96796338672</v>
      </c>
      <c r="J14" s="212" t="s">
        <v>55</v>
      </c>
      <c r="K14" s="212" t="str">
        <f t="shared" si="2"/>
        <v>USGC/CARIBS</v>
      </c>
      <c r="L14" s="215" t="s">
        <v>23</v>
      </c>
      <c r="M14" s="216">
        <v>700000</v>
      </c>
      <c r="N14" s="217">
        <v>170</v>
      </c>
      <c r="O14" s="218">
        <v>85</v>
      </c>
      <c r="P14" s="219">
        <f t="shared" si="3"/>
        <v>0</v>
      </c>
      <c r="Q14" s="2"/>
      <c r="R14" s="220" t="e">
        <f>INDEX('[2]Flat Rates 2023'!$A:$DZ,MATCH(T14,'[2]Flat Rates 2023'!$A:$A,0),MATCH(X14,'[2]Flat Rates 2023'!$A$1:$DZ$1,0))</f>
        <v>#N/A</v>
      </c>
      <c r="S14" s="220">
        <f>INDEX(Control!$E$17:$O$21,MATCH(W14,Control!$E$17:$E$21,0),MATCH(T14,Control!$E$17:$O$17,0))</f>
        <v>0.5</v>
      </c>
      <c r="T14" s="220" t="s">
        <v>63</v>
      </c>
      <c r="U14" s="213">
        <f>INDEX(Vessel_Minimum_MT,MATCH(W14,Control!$E$11:$E$15,0),MATCH(T14,Control!$E$11:$O$11,0))</f>
        <v>50000</v>
      </c>
      <c r="V14" s="222">
        <f t="shared" si="4"/>
        <v>51355.271739130432</v>
      </c>
      <c r="W14" s="215" t="s">
        <v>22</v>
      </c>
      <c r="X14" s="223" t="s">
        <v>199</v>
      </c>
      <c r="Y14" s="212" t="e">
        <f t="shared" si="5"/>
        <v>#N/A</v>
      </c>
      <c r="Z14" s="214">
        <v>399000</v>
      </c>
      <c r="AA14" s="214">
        <v>1001</v>
      </c>
      <c r="AB14" s="224">
        <v>700000</v>
      </c>
      <c r="AC14" s="225">
        <f t="shared" si="17"/>
        <v>1.7543859649122806</v>
      </c>
      <c r="AD14" s="226">
        <v>0</v>
      </c>
      <c r="AE14" s="214" t="e">
        <f>IF(INDEX(Index,MATCH(X14,TVM_PortList,0),MATCH("Type",Control!$Q$3:$U$3,0))="BL",INDEX(Index,MATCH(X14,TVM_PortList,0),MATCH("Payment",Control!$Q$3:$U$3,0))-INDEX(Index,MATCH(T14,TVM_PortList,0),MATCH("Payment",Control!$Q$3:$U$3,0)),AW14+INDEX(Index,MATCH(X14,TVM_PortList,0),MATCH("Payment",Control!$Q$3:$U$3,0))-INDEX(Index,MATCH(T14,TVM_PortList,0),MATCH("Payment",Control!$Q$3:$U$3,0)))</f>
        <v>#N/A</v>
      </c>
      <c r="AF14" s="227">
        <f t="shared" si="6"/>
        <v>0</v>
      </c>
      <c r="AG14" s="227" t="e">
        <f t="shared" si="7"/>
        <v>#N/A</v>
      </c>
      <c r="AH14" s="227">
        <f>INDEX(Lightering,MATCH($T14,Control!$AB$3:$AB$29,0),MATCH(MARS!$W14,Control!$AB$3:$AF$3,0))*($Z14/$BD$18)*$BH$15/$Z14</f>
        <v>0</v>
      </c>
      <c r="AI14" s="227">
        <f t="shared" si="8"/>
        <v>0</v>
      </c>
      <c r="AJ14" s="227">
        <v>0</v>
      </c>
      <c r="AK14" s="227">
        <f t="shared" si="9"/>
        <v>5.0000000000000001E-3</v>
      </c>
      <c r="AL14" s="227">
        <f t="shared" si="10"/>
        <v>6.7299999999999999E-2</v>
      </c>
      <c r="AM14" s="227" t="e">
        <f>IF(INDEX(Control!$Q$3:$S$62,MATCH($X14,Control!$Q$3:$Q$62,0),MATCH(AM$8,Control!$Q$3:$S$3,0))=1,$BD$14*$BE$14,0)</f>
        <v>#N/A</v>
      </c>
      <c r="AN14" s="227" t="e">
        <f>IF(INDEX(Control!$Q$3:$S$62,MATCH($X14,Control!$Q$3:$Q$62,0),MATCH(AN$8,Control!$Q$3:$S$3,0))=1,$BD$15/$Z14,0)</f>
        <v>#N/A</v>
      </c>
      <c r="AO14" s="227">
        <f t="shared" si="11"/>
        <v>0</v>
      </c>
      <c r="AP14" s="227">
        <f t="shared" si="12"/>
        <v>0.55000000000000004</v>
      </c>
      <c r="AQ14" s="225" t="e">
        <f t="shared" si="18"/>
        <v>#N/A</v>
      </c>
      <c r="AR14" s="225" t="e">
        <f t="shared" si="13"/>
        <v>#N/A</v>
      </c>
      <c r="AS14" s="225" t="e">
        <f t="shared" si="14"/>
        <v>#VALUE!</v>
      </c>
      <c r="AT14" s="225">
        <v>0</v>
      </c>
      <c r="AU14" s="228" t="e">
        <f t="shared" si="15"/>
        <v>#N/A</v>
      </c>
      <c r="AV14" s="220"/>
      <c r="AW14" s="229" t="e">
        <f>INDEX('[1]Transit Time'!$A:$DZ,MATCH(G14,'[1]Transit Time'!$A:$A,0),MATCH(J14,'[1]Transit Time'!$A$1:$DZ$1,0))+INDEX('[1]Transit Time'!$A:$DZ,MATCH(J14,'[1]Transit Time'!$A:$A,0),MATCH(T14,'[1]Transit Time'!$A$1:$DZ$1,0))+INDEX('[1]Transit Time'!$A:$DZ,MATCH(T14,'[1]Transit Time'!$A:$A,0),MATCH(X14,'[1]Transit Time'!$A$1:$DZ$1,0))</f>
        <v>#N/A</v>
      </c>
      <c r="AX14" s="220"/>
      <c r="AY14" s="230" t="e">
        <f t="shared" si="16"/>
        <v>#N/A</v>
      </c>
      <c r="AZ14" s="230" t="str">
        <f t="shared" si="19"/>
        <v/>
      </c>
      <c r="BB14" s="183" t="s">
        <v>17</v>
      </c>
      <c r="BC14" s="183"/>
      <c r="BD14" s="182">
        <v>100</v>
      </c>
      <c r="BE14" s="190">
        <v>1.1000000000000001E-3</v>
      </c>
      <c r="BF14" s="185" t="s">
        <v>149</v>
      </c>
      <c r="BG14" s="185"/>
      <c r="BH14" s="186" t="s">
        <v>138</v>
      </c>
      <c r="BI14" s="166"/>
      <c r="BJ14" s="165"/>
      <c r="BK14" s="78">
        <v>2000000</v>
      </c>
    </row>
    <row r="15" spans="1:63" ht="16" thickBot="1" x14ac:dyDescent="0.4">
      <c r="A15" s="163">
        <f t="shared" si="20"/>
        <v>45031</v>
      </c>
      <c r="B15" s="163">
        <f t="shared" si="0"/>
        <v>45033</v>
      </c>
      <c r="D15" s="8"/>
      <c r="E15" s="142">
        <f>INDEX('[2]Flat Rates 2023'!$A:$DB,MATCH(G15,'[2]Flat Rates 2023'!$A:$A,0),MATCH(J15,'[2]Flat Rates 2023'!$A$1:$DB$1,0))</f>
        <v>0</v>
      </c>
      <c r="F15" s="142">
        <f>INDEX(Control!$E$17:$J$21,MATCH(L15,Control!$E$17:$E$21,0),MATCH(G15,Control!$E$17:$J$17,0))</f>
        <v>0</v>
      </c>
      <c r="G15" s="142" t="str">
        <f>$G$9</f>
        <v>Corpus Christi</v>
      </c>
      <c r="H15" s="116">
        <f>INDEX(Vessel_Minimum_MT,MATCH(L15,Control!$E$11:$E$15,0),MATCH(G15,Control!$E$11:$J$11,0))</f>
        <v>70000</v>
      </c>
      <c r="I15" s="141">
        <f t="shared" si="1"/>
        <v>90096.96796338672</v>
      </c>
      <c r="J15" s="142" t="s">
        <v>55</v>
      </c>
      <c r="K15" s="142" t="str">
        <f t="shared" si="2"/>
        <v>USGC/CARIBS</v>
      </c>
      <c r="L15" s="147" t="s">
        <v>23</v>
      </c>
      <c r="M15" s="15">
        <v>700000</v>
      </c>
      <c r="N15" s="13">
        <v>170</v>
      </c>
      <c r="O15" s="14">
        <v>85</v>
      </c>
      <c r="P15" s="148">
        <f t="shared" si="3"/>
        <v>0</v>
      </c>
      <c r="Q15" s="2"/>
      <c r="R15" s="138">
        <f>INDEX('[2]Flat Rates 2023'!$A:$DZ,MATCH(T15,'[2]Flat Rates 2023'!$A:$A,0),MATCH(X15,'[2]Flat Rates 2023'!$A$1:$DZ$1,0))</f>
        <v>3.99</v>
      </c>
      <c r="S15" s="138">
        <f>INDEX(Control!$E$17:$O$21,MATCH(W15,Control!$E$17:$E$21,0),MATCH(T15,Control!$E$17:$O$17,0))</f>
        <v>0</v>
      </c>
      <c r="T15" s="138" t="s">
        <v>55</v>
      </c>
      <c r="U15" s="116">
        <f>INDEX(Vessel_Minimum_MT,MATCH(W15,Control!$E$11:$E$15,0),MATCH(T15,Control!$E$11:$O$11,0))</f>
        <v>70000</v>
      </c>
      <c r="V15" s="140">
        <f t="shared" si="4"/>
        <v>64354.977116704802</v>
      </c>
      <c r="W15" s="147" t="s">
        <v>23</v>
      </c>
      <c r="X15" s="164" t="s">
        <v>112</v>
      </c>
      <c r="Y15" s="142" t="str">
        <f t="shared" si="5"/>
        <v>CARIBS/CARIBS</v>
      </c>
      <c r="Z15" s="141">
        <v>500000</v>
      </c>
      <c r="AA15" s="141">
        <v>180</v>
      </c>
      <c r="AB15" s="151">
        <v>325</v>
      </c>
      <c r="AC15" s="149">
        <f t="shared" si="17"/>
        <v>1.81545</v>
      </c>
      <c r="AD15" s="144">
        <v>0</v>
      </c>
      <c r="AE15" s="141">
        <f>IF(INDEX(Index,MATCH(X15,TVM_PortList,0),MATCH("Type",Control!$Q$3:$U$3,0))="BL",INDEX(Index,MATCH(X15,TVM_PortList,0),MATCH("Payment",Control!$Q$3:$U$3,0))-INDEX(Index,MATCH(T15,TVM_PortList,0),MATCH("Payment",Control!$Q$3:$U$3,0)),AW15+INDEX(Index,MATCH(X15,TVM_PortList,0),MATCH("Payment",Control!$Q$3:$U$3,0))-INDEX(Index,MATCH(T15,TVM_PortList,0),MATCH("Payment",Control!$Q$3:$U$3,0)))</f>
        <v>7</v>
      </c>
      <c r="AF15" s="143">
        <f t="shared" si="6"/>
        <v>0</v>
      </c>
      <c r="AG15" s="143">
        <f t="shared" si="7"/>
        <v>1.9178082191780823E-2</v>
      </c>
      <c r="AH15" s="143">
        <f>INDEX(Lightering,MATCH($T15,Control!$AB$3:$AB$29,0),MATCH(MARS!$W15,Control!$AB$3:$AF$3,0))*($Z15/$BD$18)*$BH$15/$Z15</f>
        <v>0</v>
      </c>
      <c r="AI15" s="143">
        <f t="shared" si="8"/>
        <v>0</v>
      </c>
      <c r="AJ15" s="143">
        <v>0</v>
      </c>
      <c r="AK15" s="143">
        <f t="shared" si="9"/>
        <v>5.0000000000000001E-3</v>
      </c>
      <c r="AL15" s="143">
        <f t="shared" si="10"/>
        <v>6.7299999999999999E-2</v>
      </c>
      <c r="AM15" s="143">
        <f>IF(INDEX(Control!$Q$3:$S$62,MATCH($X15,Control!$Q$3:$Q$62,0),MATCH(AM$8,Control!$Q$3:$S$3,0))=1,$BD$14*$BE$14,0)</f>
        <v>0.11</v>
      </c>
      <c r="AN15" s="143" t="e">
        <f>IF(INDEX(Control!$Q$3:$S$62,MATCH($X15,Control!$Q$3:$Q$62,0),MATCH(AN$8,Control!$Q$3:$S$3,0))=1,$BD$15/$Z15,0)</f>
        <v>#N/A</v>
      </c>
      <c r="AO15" s="143">
        <f t="shared" si="11"/>
        <v>0</v>
      </c>
      <c r="AP15" s="143">
        <f t="shared" si="12"/>
        <v>0</v>
      </c>
      <c r="AQ15" s="149" t="e">
        <f t="shared" si="18"/>
        <v>#N/A</v>
      </c>
      <c r="AR15" s="149" t="e">
        <f t="shared" si="13"/>
        <v>#N/A</v>
      </c>
      <c r="AS15" s="149">
        <f t="shared" si="14"/>
        <v>0</v>
      </c>
      <c r="AT15" s="149">
        <v>0</v>
      </c>
      <c r="AU15" s="145" t="e">
        <f t="shared" si="15"/>
        <v>#N/A</v>
      </c>
      <c r="AW15" s="153">
        <f>INDEX('[1]Transit Time'!$A:$DZ,MATCH(G15,'[1]Transit Time'!$A:$A,0),MATCH(J15,'[1]Transit Time'!$A$1:$DZ$1,0))+INDEX('[1]Transit Time'!$A:$DZ,MATCH(J15,'[1]Transit Time'!$A:$A,0),MATCH(T15,'[1]Transit Time'!$A$1:$DZ$1,0))+INDEX('[1]Transit Time'!$A:$DZ,MATCH(T15,'[1]Transit Time'!$A:$A,0),MATCH(X15,'[1]Transit Time'!$A$1:$DZ$1,0))</f>
        <v>7</v>
      </c>
      <c r="AY15" s="163">
        <f t="shared" si="16"/>
        <v>45038</v>
      </c>
      <c r="AZ15" s="163">
        <f t="shared" si="19"/>
        <v>45040</v>
      </c>
      <c r="BB15" s="133" t="s">
        <v>207</v>
      </c>
      <c r="BC15" s="133"/>
      <c r="BD15" s="124">
        <v>20000</v>
      </c>
      <c r="BE15"/>
      <c r="BF15" s="167"/>
      <c r="BG15" s="168"/>
      <c r="BH15" s="169">
        <v>275000</v>
      </c>
      <c r="BI15" s="132"/>
    </row>
    <row r="16" spans="1:63" ht="17.25" customHeight="1" thickBot="1" x14ac:dyDescent="0.5">
      <c r="A16"/>
      <c r="B16"/>
      <c r="D16" s="1053" t="s">
        <v>293</v>
      </c>
      <c r="E16" s="1054"/>
      <c r="F16" s="1054"/>
      <c r="G16" s="1054"/>
      <c r="H16" s="1054"/>
      <c r="I16" s="1054"/>
      <c r="J16" s="1054"/>
      <c r="K16" s="1054"/>
      <c r="L16" s="1054"/>
      <c r="M16" s="1054"/>
      <c r="N16" s="1054"/>
      <c r="O16" s="1054"/>
      <c r="P16" s="1055"/>
      <c r="Q16" s="2"/>
      <c r="R16" s="9"/>
      <c r="S16" s="9"/>
      <c r="T16" s="9"/>
      <c r="U16" s="9"/>
      <c r="V16" s="9"/>
      <c r="W16" s="1053" t="s">
        <v>329</v>
      </c>
      <c r="X16" s="1054"/>
      <c r="Y16" s="1054"/>
      <c r="Z16" s="1054"/>
      <c r="AA16" s="1054"/>
      <c r="AB16" s="1054"/>
      <c r="AC16" s="1054"/>
      <c r="AD16" s="1054"/>
      <c r="AE16" s="1054"/>
      <c r="AF16" s="1054"/>
      <c r="AG16" s="1054"/>
      <c r="AH16" s="1054"/>
      <c r="AI16" s="1054"/>
      <c r="AJ16" s="1054"/>
      <c r="AK16" s="1054"/>
      <c r="AL16" s="1054"/>
      <c r="AM16" s="1054"/>
      <c r="AN16" s="1054"/>
      <c r="AO16" s="1054"/>
      <c r="AP16" s="1054"/>
      <c r="AQ16" s="1054"/>
      <c r="AR16" s="1054"/>
      <c r="AS16" s="1054"/>
      <c r="AT16" s="1054"/>
      <c r="AU16" s="1055"/>
      <c r="AW16"/>
      <c r="AY16"/>
      <c r="AZ16"/>
      <c r="BB16" s="133" t="s">
        <v>282</v>
      </c>
      <c r="BC16" s="133"/>
      <c r="BD16" s="3"/>
      <c r="BE16"/>
      <c r="BF16"/>
      <c r="BG16"/>
      <c r="BH16"/>
      <c r="BK16" s="3"/>
    </row>
    <row r="17" spans="1:63" ht="29.5" customHeight="1" thickBot="1" x14ac:dyDescent="0.4">
      <c r="A17" s="1005" t="s">
        <v>167</v>
      </c>
      <c r="B17" s="1005"/>
      <c r="D17" s="120" t="s">
        <v>276</v>
      </c>
      <c r="E17" s="152" t="s">
        <v>172</v>
      </c>
      <c r="F17" s="152" t="s">
        <v>2</v>
      </c>
      <c r="G17" s="152" t="s">
        <v>173</v>
      </c>
      <c r="H17" s="152" t="s">
        <v>174</v>
      </c>
      <c r="I17" s="125" t="s">
        <v>175</v>
      </c>
      <c r="J17" s="152" t="s">
        <v>177</v>
      </c>
      <c r="K17" s="152" t="s">
        <v>178</v>
      </c>
      <c r="L17" s="122" t="s">
        <v>176</v>
      </c>
      <c r="M17" s="120" t="s">
        <v>200</v>
      </c>
      <c r="N17" s="120" t="s">
        <v>277</v>
      </c>
      <c r="O17" s="121" t="s">
        <v>202</v>
      </c>
      <c r="P17" s="123" t="s">
        <v>278</v>
      </c>
      <c r="Q17" s="2"/>
      <c r="R17" s="120" t="s">
        <v>172</v>
      </c>
      <c r="S17" s="120" t="s">
        <v>2</v>
      </c>
      <c r="T17" s="120" t="s">
        <v>173</v>
      </c>
      <c r="U17" s="152" t="str">
        <f>$U$8</f>
        <v>Vessel MT</v>
      </c>
      <c r="V17" s="120" t="s">
        <v>175</v>
      </c>
      <c r="W17" s="120" t="s">
        <v>176</v>
      </c>
      <c r="X17" s="120" t="s">
        <v>177</v>
      </c>
      <c r="Y17" s="120" t="s">
        <v>178</v>
      </c>
      <c r="Z17" s="120" t="s">
        <v>200</v>
      </c>
      <c r="AA17" s="146" t="s">
        <v>201</v>
      </c>
      <c r="AB17" s="128" t="s">
        <v>202</v>
      </c>
      <c r="AC17" s="150" t="s">
        <v>182</v>
      </c>
      <c r="AD17" s="136" t="s">
        <v>137</v>
      </c>
      <c r="AE17" s="146" t="s">
        <v>281</v>
      </c>
      <c r="AF17" s="136" t="s">
        <v>184</v>
      </c>
      <c r="AG17" s="136" t="s">
        <v>140</v>
      </c>
      <c r="AH17" s="136" t="str">
        <f>AH8</f>
        <v>STS</v>
      </c>
      <c r="AI17" s="136" t="s">
        <v>186</v>
      </c>
      <c r="AJ17" s="136" t="s">
        <v>187</v>
      </c>
      <c r="AK17" s="136" t="s">
        <v>141</v>
      </c>
      <c r="AL17" s="136" t="s">
        <v>188</v>
      </c>
      <c r="AM17" s="136" t="s">
        <v>17</v>
      </c>
      <c r="AN17" s="136" t="s">
        <v>207</v>
      </c>
      <c r="AO17" s="136" t="s">
        <v>189</v>
      </c>
      <c r="AP17" s="136" t="s">
        <v>152</v>
      </c>
      <c r="AQ17" s="150" t="s">
        <v>208</v>
      </c>
      <c r="AR17" s="150" t="s">
        <v>209</v>
      </c>
      <c r="AS17" s="150" t="s">
        <v>210</v>
      </c>
      <c r="AT17" s="150" t="str">
        <f>AT8</f>
        <v>Basis</v>
      </c>
      <c r="AU17" s="137" t="s">
        <v>211</v>
      </c>
      <c r="AW17" s="137" t="s">
        <v>195</v>
      </c>
      <c r="AY17" s="1005" t="s">
        <v>196</v>
      </c>
      <c r="AZ17" s="1005"/>
      <c r="BB17" s="118" t="s">
        <v>144</v>
      </c>
      <c r="BD17" s="2">
        <f>($BD$9+131.5)/(141.5*0.159)</f>
        <v>7.7694068493455122</v>
      </c>
      <c r="BF17"/>
      <c r="BG17"/>
      <c r="BH17"/>
      <c r="BJ17" s="132"/>
      <c r="BK17" s="127"/>
    </row>
    <row r="18" spans="1:63" ht="16" thickBot="1" x14ac:dyDescent="0.4">
      <c r="A18" s="319">
        <f t="shared" ref="A18:A27" si="21">+$A$9</f>
        <v>45031</v>
      </c>
      <c r="B18" s="320">
        <f t="shared" ref="B18:B27" si="22">IF(ISBLANK(A18),"",A18+2)</f>
        <v>45033</v>
      </c>
      <c r="D18" s="321"/>
      <c r="E18" s="322">
        <f>IF(G18=J18,0,INDEX('[2]Flat Rates 2023'!$A:$DB,MATCH(G18,'[2]Flat Rates 2023'!$A:$A,0),MATCH(J18,'[2]Flat Rates 2023'!$A$1:$DB$1,0)))</f>
        <v>0</v>
      </c>
      <c r="F18" s="322">
        <f>INDEX(Control!$E$17:$J$21,MATCH(L18,Control!$E$17:$E$21,0),MATCH(G18,Control!$E$17:$J$17,0))</f>
        <v>0</v>
      </c>
      <c r="G18" s="322" t="s">
        <v>45</v>
      </c>
      <c r="H18" s="323">
        <f>INDEX(Vessel_Minimum_MT,MATCH(L18,Control!$E$11:$E$15,0),MATCH(G18,Control!$E$11:$J$11,0))</f>
        <v>70000</v>
      </c>
      <c r="I18" s="324">
        <f t="shared" ref="I18:I23" si="23">M18/$BD$17</f>
        <v>90096.96796338672</v>
      </c>
      <c r="J18" s="322" t="s">
        <v>45</v>
      </c>
      <c r="K18" s="322" t="str">
        <f t="shared" ref="K18:K23" si="24">IF(J18=G18,"",CONCATENATE(CONCATENATE(VLOOKUP(G18,Zones,2,FALSE),"/",VLOOKUP(J18,Zones,2,FALSE))))</f>
        <v/>
      </c>
      <c r="L18" s="325" t="s">
        <v>23</v>
      </c>
      <c r="M18" s="323">
        <v>700000</v>
      </c>
      <c r="N18" s="326">
        <v>0</v>
      </c>
      <c r="O18" s="327">
        <v>0</v>
      </c>
      <c r="P18" s="328">
        <f t="shared" ref="P18:P23" si="25">IF($G18="Esmeraldas",IF(N18&gt;1000,IF(O18=0,N18,O18)/M18*1.1,((H18*E18*(IF(O18=0,N18,O18)/100))+IF(I18&lt;H18,0,(I18-H18)*E18*IF(O18=0,N18,O18)/100*F18))/M18*1.1),IF(N18&gt;1000,IF(O18=0,N18,O18)/M18,((H18*E18*(IF(O18=0,N18,O18)/100))+IF(I18&lt;H18,0,(I18-H18)*E18*IF(O18=0,N18,O18)/100*F18)))/M18)</f>
        <v>0</v>
      </c>
      <c r="Q18" s="329"/>
      <c r="R18" s="330">
        <f>INDEX('[2]Flat Rates 2023'!$A:$DZ,MATCH(T18,'[2]Flat Rates 2023'!$A:$A,0),MATCH(X18,'[2]Flat Rates 2023'!$A$1:$DZ$1,0))</f>
        <v>0</v>
      </c>
      <c r="S18" s="330">
        <f>INDEX(Control!$E$17:$O$21,MATCH(W18,Control!$E$17:$E$21,0),MATCH(T18,Control!$E$17:$O$17,0))</f>
        <v>0</v>
      </c>
      <c r="T18" s="330" t="s">
        <v>104</v>
      </c>
      <c r="U18" s="323">
        <f>INDEX(Vessel_Minimum_MT,MATCH(W18,Control!$E$11:$E$15,0),MATCH(T18,Control!$E$11:$O$11,0))</f>
        <v>70000</v>
      </c>
      <c r="V18" s="331">
        <f t="shared" ref="V18:V23" si="26">Z18/$BD$17</f>
        <v>96532.465675057203</v>
      </c>
      <c r="W18" s="325" t="s">
        <v>23</v>
      </c>
      <c r="X18" s="332" t="s">
        <v>110</v>
      </c>
      <c r="Y18" s="322" t="str">
        <f t="shared" ref="Y18:Y23" si="27">IF(X18=T18,"",CONCATENATE(CONCATENATE(VLOOKUP(T18,Zones,2,FALSE),"/",VLOOKUP(X18,Zones,2,FALSE))))</f>
        <v>USGC/LATAM WEST</v>
      </c>
      <c r="Z18" s="324">
        <v>750000</v>
      </c>
      <c r="AA18" s="324">
        <v>1001</v>
      </c>
      <c r="AB18" s="333">
        <v>1600000</v>
      </c>
      <c r="AC18" s="334">
        <f t="shared" ref="AC18:AC23" si="28">IF(AA18&gt;1000,IF(AB18=0,AA18,AB18)/Z18,((U18*R18*(IF(AB18=0,AA18,AB18)/100))+IF(V18&lt;U18,0,(V18-U18)*R18*IF(AB18=0,AA18,AB18)/100*S18))/Z18)</f>
        <v>2.1333333333333333</v>
      </c>
      <c r="AD18" s="335">
        <v>3</v>
      </c>
      <c r="AE18" s="324">
        <f>IF(INDEX(Index,MATCH(X18,TVM_PortList,0),MATCH("Type",Control!$Q$3:$U$3,0))="BL",INDEX(Index,MATCH(X18,TVM_PortList,0),MATCH("Payment",Control!$Q$3:$U$3,0))-INDEX(Index,MATCH(T18,TVM_PortList,0),MATCH("Payment",Control!$Q$3:$U$3,0)),AW18+INDEX(Index,MATCH(X18,TVM_PortList,0),MATCH("Payment",Control!$Q$3:$U$3,0))-INDEX(Index,MATCH(T18,TVM_PortList,0),MATCH("Payment",Control!$Q$3:$U$3,0)))</f>
        <v>0</v>
      </c>
      <c r="AF18" s="336">
        <f t="shared" ref="AF18:AF23" si="29">AD18*VLOOKUP($W18,$BF$9:$BH$13,3,FALSE)/$Z18</f>
        <v>0.12</v>
      </c>
      <c r="AG18" s="336">
        <f t="shared" ref="AG18:AG23" si="30">IF(AE18&lt;0,0,$AE18*$BD$11)</f>
        <v>0</v>
      </c>
      <c r="AH18" s="336" t="e">
        <f>INDEX(Lightering,MATCH($T18,Control!$AB$3:$AB$29,0),MATCH(MARS!$W18,Control!$AB$3:$AF$3,0))*($Z18/$BD$18)*$BH$15/$Z18</f>
        <v>#N/A</v>
      </c>
      <c r="AI18" s="336">
        <f t="shared" ref="AI18:AI23" si="31">IF(G18="Corpus Christi",$BD$10,0)</f>
        <v>0</v>
      </c>
      <c r="AJ18" s="336">
        <v>0</v>
      </c>
      <c r="AK18" s="336">
        <f t="shared" ref="AK18:AK23" si="32">$BD$12</f>
        <v>5.0000000000000001E-3</v>
      </c>
      <c r="AL18" s="336">
        <f t="shared" ref="AL18:AL23" si="33">$BD$13</f>
        <v>6.7299999999999999E-2</v>
      </c>
      <c r="AM18" s="336">
        <f>IF(INDEX(Control!$Q$3:$S$62,MATCH($X18,Control!$Q$3:$Q$62,0),MATCH(AM$8,Control!$Q$3:$S$3,0))=1,$BD$14*$BE$14,0)</f>
        <v>0</v>
      </c>
      <c r="AN18" s="336" t="e">
        <f>IF(INDEX(Control!$Q$3:$S$62,MATCH($X18,Control!$Q$3:$Q$62,0),MATCH(AN$8,Control!$Q$3:$S$3,0))=1,$BD$15/$Z18,0)</f>
        <v>#N/A</v>
      </c>
      <c r="AO18" s="336">
        <f t="shared" ref="AO18:AO23" si="34">$BD$16</f>
        <v>0</v>
      </c>
      <c r="AP18" s="336">
        <f t="shared" ref="AP18:AP23" si="35">IF(AND(J18="Chiriqui Grande",T18="Puerto Armuelles"),$BG$18,0)</f>
        <v>0</v>
      </c>
      <c r="AQ18" s="334" t="e">
        <f t="shared" ref="AQ18" si="36">SUM(AF18:AP18)</f>
        <v>#N/A</v>
      </c>
      <c r="AR18" s="334" t="e">
        <f t="shared" ref="AR18:AR23" si="37">+P18+AC18+AQ18</f>
        <v>#N/A</v>
      </c>
      <c r="AS18" s="334" t="e">
        <f t="shared" ref="AS18:AS23" si="38">IF(MONTH(A18)=MONTH(AZ18),0,IF(MONTH(AZ18)-MONTH(A18)&gt;1,VLOOKUP("Spreads",$AQ$3:$AU$4,MATCH(EOMONTH(AZ18,0),$AQ$3:$AU$3,0),FALSE)+VLOOKUP("Spreads",$AQ$3:$AU$4,MATCH(EOMONTH(AZ18,-1),$AQ$3:$AU$3,0),FALSE),VLOOKUP("Spreads",$AQ$3:$AU$4,MATCH(EOMONTH(AZ18,0),$AQ$3:$AU$3,0))))</f>
        <v>#N/A</v>
      </c>
      <c r="AT18" s="334">
        <v>0</v>
      </c>
      <c r="AU18" s="337" t="e">
        <f t="shared" ref="AU18:AU23" si="39">$L$3+AR18+AS18+AT18</f>
        <v>#N/A</v>
      </c>
      <c r="AV18" s="330"/>
      <c r="AW18" s="338">
        <f>INDEX('[1]Transit Time'!$A:$DZ,MATCH(G18,'[1]Transit Time'!$A:$A,0),MATCH(J18,'[1]Transit Time'!$A$1:$DZ$1,0))+INDEX('[1]Transit Time'!$A:$DZ,MATCH(J18,'[1]Transit Time'!$A:$A,0),MATCH(T18,'[1]Transit Time'!$A$1:$DZ$1,0))+INDEX('[1]Transit Time'!$A:$DZ,MATCH(T18,'[1]Transit Time'!$A:$A,0),MATCH(X18,'[1]Transit Time'!$A$1:$DZ$1,0))</f>
        <v>30</v>
      </c>
      <c r="AX18" s="330"/>
      <c r="AY18" s="320">
        <f t="shared" ref="AY18:AY23" si="40">IF(ISBLANK(A18),"",A18+$AW18)</f>
        <v>45061</v>
      </c>
      <c r="AZ18" s="339">
        <f t="shared" ref="AZ18:AZ23" si="41">IFERROR(IF(ISBLANK(B18),"",B18+$AW18),"")</f>
        <v>45063</v>
      </c>
      <c r="BB18" s="133" t="s">
        <v>117</v>
      </c>
      <c r="BC18"/>
      <c r="BD18" s="130">
        <v>2000000</v>
      </c>
      <c r="BE18"/>
      <c r="BF18" s="23" t="s">
        <v>152</v>
      </c>
      <c r="BG18" s="10">
        <v>0.55000000000000004</v>
      </c>
      <c r="BJ18" s="3">
        <f>(2000000-BK13)/BK14</f>
        <v>0</v>
      </c>
    </row>
    <row r="19" spans="1:63" x14ac:dyDescent="0.35">
      <c r="A19" s="340">
        <f t="shared" si="21"/>
        <v>45031</v>
      </c>
      <c r="B19" s="341">
        <f t="shared" si="22"/>
        <v>45033</v>
      </c>
      <c r="D19" s="342" t="s">
        <v>15</v>
      </c>
      <c r="E19" s="343">
        <f>IF(G19=J19,0,INDEX('[2]Flat Rates 2023'!$A:$DB,MATCH(G19,'[2]Flat Rates 2023'!$A:$A,0),MATCH(J19,'[2]Flat Rates 2023'!$A$1:$DB$1,0)))</f>
        <v>0</v>
      </c>
      <c r="F19" s="343">
        <f>INDEX(Control!$E$17:$J$21,MATCH(L19,Control!$E$17:$E$21,0),MATCH(G19,Control!$E$17:$J$17,0))</f>
        <v>0</v>
      </c>
      <c r="G19" s="343" t="s">
        <v>45</v>
      </c>
      <c r="H19" s="344">
        <f>INDEX(Vessel_Minimum_MT,MATCH(L19,Control!$E$11:$E$15,0),MATCH(G19,Control!$E$11:$J$11,0))</f>
        <v>70000</v>
      </c>
      <c r="I19" s="345">
        <f t="shared" si="23"/>
        <v>90096.96796338672</v>
      </c>
      <c r="J19" s="343" t="s">
        <v>45</v>
      </c>
      <c r="K19" s="343" t="str">
        <f t="shared" si="24"/>
        <v/>
      </c>
      <c r="L19" s="346" t="s">
        <v>23</v>
      </c>
      <c r="M19" s="345">
        <v>700000</v>
      </c>
      <c r="N19" s="347">
        <v>0</v>
      </c>
      <c r="O19" s="348">
        <v>0</v>
      </c>
      <c r="P19" s="349">
        <f t="shared" si="25"/>
        <v>0</v>
      </c>
      <c r="Q19" s="350"/>
      <c r="R19" s="351">
        <f>INDEX('[2]Flat Rates 2023'!$A:$DZ,MATCH(T19,'[2]Flat Rates 2023'!$A:$A,0),MATCH(X19,'[2]Flat Rates 2023'!$A$1:$DZ$1,0))</f>
        <v>0</v>
      </c>
      <c r="S19" s="351">
        <f>INDEX(Control!$E$17:$O$21,MATCH(W19,Control!$E$17:$E$21,0),MATCH(T19,Control!$E$17:$O$17,0))</f>
        <v>0</v>
      </c>
      <c r="T19" s="351" t="s">
        <v>104</v>
      </c>
      <c r="U19" s="344">
        <f>INDEX(Vessel_Minimum_MT,MATCH(W19,Control!$E$11:$E$15,0),MATCH(T19,Control!$E$11:$O$11,0))</f>
        <v>70000</v>
      </c>
      <c r="V19" s="352">
        <f t="shared" si="26"/>
        <v>96532.465675057203</v>
      </c>
      <c r="W19" s="346" t="s">
        <v>23</v>
      </c>
      <c r="X19" s="353" t="s">
        <v>110</v>
      </c>
      <c r="Y19" s="343" t="str">
        <f t="shared" si="27"/>
        <v>USGC/LATAM WEST</v>
      </c>
      <c r="Z19" s="345">
        <v>750000</v>
      </c>
      <c r="AA19" s="345"/>
      <c r="AB19" s="354">
        <v>89</v>
      </c>
      <c r="AC19" s="355">
        <f t="shared" si="28"/>
        <v>0</v>
      </c>
      <c r="AD19" s="356">
        <v>3</v>
      </c>
      <c r="AE19" s="345">
        <f>IF(INDEX(Index,MATCH(X19,TVM_PortList,0),MATCH("Type",Control!$Q$3:$U$3,0))="BL",INDEX(Index,MATCH(X19,TVM_PortList,0),MATCH("Payment",Control!$Q$3:$U$3,0))-INDEX(Index,MATCH(T19,TVM_PortList,0),MATCH("Payment",Control!$Q$3:$U$3,0)),AW19+INDEX(Index,MATCH(X19,TVM_PortList,0),MATCH("Payment",Control!$Q$3:$U$3,0))-INDEX(Index,MATCH(T19,TVM_PortList,0),MATCH("Payment",Control!$Q$3:$U$3,0)))</f>
        <v>0</v>
      </c>
      <c r="AF19" s="357">
        <f t="shared" si="29"/>
        <v>0.12</v>
      </c>
      <c r="AG19" s="357">
        <f t="shared" si="30"/>
        <v>0</v>
      </c>
      <c r="AH19" s="357" t="e">
        <f>INDEX(Lightering,MATCH($T19,Control!$AB$3:$AB$29,0),MATCH(MARS!$W19,Control!$AB$3:$AF$3,0))*($Z19/$BD$18)*$BH$15/$Z19</f>
        <v>#N/A</v>
      </c>
      <c r="AI19" s="357">
        <f t="shared" si="31"/>
        <v>0</v>
      </c>
      <c r="AJ19" s="357">
        <v>0.62666666666666671</v>
      </c>
      <c r="AK19" s="357">
        <f t="shared" si="32"/>
        <v>5.0000000000000001E-3</v>
      </c>
      <c r="AL19" s="357">
        <f t="shared" si="33"/>
        <v>6.7299999999999999E-2</v>
      </c>
      <c r="AM19" s="357">
        <f>IF(INDEX(Control!$Q$3:$S$62,MATCH($X19,Control!$Q$3:$Q$62,0),MATCH(AM$8,Control!$Q$3:$S$3,0))=1,$BD$14*$BE$14,0)</f>
        <v>0</v>
      </c>
      <c r="AN19" s="357" t="e">
        <f>IF(INDEX(Control!$Q$3:$S$62,MATCH($X19,Control!$Q$3:$Q$62,0),MATCH(AN$8,Control!$Q$3:$S$3,0))=1,$BD$15/$Z19,0)</f>
        <v>#N/A</v>
      </c>
      <c r="AO19" s="357">
        <f t="shared" si="34"/>
        <v>0</v>
      </c>
      <c r="AP19" s="357">
        <f t="shared" si="35"/>
        <v>0</v>
      </c>
      <c r="AQ19" s="355" t="e">
        <f t="shared" ref="AQ19:AQ20" si="42">SUM(AF19:AP19)</f>
        <v>#N/A</v>
      </c>
      <c r="AR19" s="355" t="e">
        <f t="shared" si="37"/>
        <v>#N/A</v>
      </c>
      <c r="AS19" s="355" t="e">
        <f t="shared" si="38"/>
        <v>#N/A</v>
      </c>
      <c r="AT19" s="355">
        <v>0</v>
      </c>
      <c r="AU19" s="358" t="e">
        <f t="shared" si="39"/>
        <v>#N/A</v>
      </c>
      <c r="AV19" s="350"/>
      <c r="AW19" s="359">
        <f>INDEX('[1]Transit Time'!$A:$DZ,MATCH(G19,'[1]Transit Time'!$A:$A,0),MATCH(J19,'[1]Transit Time'!$A$1:$DZ$1,0))+INDEX('[1]Transit Time'!$A:$DZ,MATCH(J19,'[1]Transit Time'!$A:$A,0),MATCH(T19,'[1]Transit Time'!$A$1:$DZ$1,0))+INDEX('[1]Transit Time'!$A:$DZ,MATCH(T19,'[1]Transit Time'!$A:$A,0),MATCH(X19,'[1]Transit Time'!$A$1:$DZ$1,0))</f>
        <v>30</v>
      </c>
      <c r="AX19" s="350"/>
      <c r="AY19" s="341">
        <f t="shared" si="40"/>
        <v>45061</v>
      </c>
      <c r="AZ19" s="360">
        <f t="shared" si="41"/>
        <v>45063</v>
      </c>
      <c r="BB19" s="165"/>
      <c r="BC19" s="165"/>
      <c r="BD19" s="165"/>
      <c r="BE19" s="165"/>
      <c r="BF19" s="165"/>
      <c r="BG19" s="165"/>
      <c r="BH19" s="165"/>
      <c r="BI19" s="165"/>
      <c r="BJ19" s="165">
        <f>IF(Z30-VLOOKUP(W30,$BJ$10:$BK$14,2,FALSE)/$BK$14&gt;0,BH15/Z30,0)</f>
        <v>0.36666666666666664</v>
      </c>
      <c r="BK19" s="165"/>
    </row>
    <row r="20" spans="1:63" ht="16" thickBot="1" x14ac:dyDescent="0.4">
      <c r="A20" s="209">
        <f t="shared" si="21"/>
        <v>45031</v>
      </c>
      <c r="B20" s="209">
        <f t="shared" si="22"/>
        <v>45033</v>
      </c>
      <c r="D20" s="232"/>
      <c r="E20" s="233">
        <f>IF(G20=J20,0,INDEX('[2]Flat Rates 2023'!$A:$DB,MATCH(G20,'[2]Flat Rates 2023'!$A:$A,0),MATCH(J20,'[2]Flat Rates 2023'!$A$1:$DB$1,0)))</f>
        <v>0</v>
      </c>
      <c r="F20" s="233">
        <f>INDEX(Control!$E$17:$J$21,MATCH(L20,Control!$E$17:$E$21,0),MATCH(G20,Control!$E$17:$J$17,0))</f>
        <v>0</v>
      </c>
      <c r="G20" s="233" t="s">
        <v>45</v>
      </c>
      <c r="H20" s="234">
        <f>INDEX(Vessel_Minimum_MT,MATCH(L20,Control!$E$11:$E$15,0),MATCH(G20,Control!$E$11:$J$11,0))</f>
        <v>70000</v>
      </c>
      <c r="I20" s="235">
        <f t="shared" si="23"/>
        <v>90096.96796338672</v>
      </c>
      <c r="J20" s="233" t="s">
        <v>45</v>
      </c>
      <c r="K20" s="233" t="str">
        <f t="shared" si="24"/>
        <v/>
      </c>
      <c r="L20" s="236" t="s">
        <v>23</v>
      </c>
      <c r="M20" s="235">
        <v>700000</v>
      </c>
      <c r="N20" s="237">
        <v>0</v>
      </c>
      <c r="O20" s="238">
        <v>0</v>
      </c>
      <c r="P20" s="239">
        <f t="shared" si="25"/>
        <v>0</v>
      </c>
      <c r="Q20" s="2"/>
      <c r="R20" s="220">
        <f>INDEX('[2]Flat Rates 2023'!$A:$DZ,MATCH(T20,'[2]Flat Rates 2023'!$A:$A,0),MATCH(X20,'[2]Flat Rates 2023'!$A$1:$DZ$1,0))</f>
        <v>6.27</v>
      </c>
      <c r="S20" s="220">
        <f>INDEX(Control!$E$17:$O$21,MATCH(W20,Control!$E$17:$E$21,0),MATCH(T20,Control!$E$17:$O$17,0))</f>
        <v>0</v>
      </c>
      <c r="T20" s="220" t="s">
        <v>104</v>
      </c>
      <c r="U20" s="213">
        <f>INDEX(Vessel_Minimum_MT,MATCH(W20,Control!$E$11:$E$15,0),MATCH(T20,Control!$E$11:$O$11,0))</f>
        <v>70000</v>
      </c>
      <c r="V20" s="222">
        <f t="shared" si="26"/>
        <v>70790.474828375285</v>
      </c>
      <c r="W20" s="258" t="s">
        <v>23</v>
      </c>
      <c r="X20" s="313" t="s">
        <v>112</v>
      </c>
      <c r="Y20" s="311" t="str">
        <f t="shared" si="27"/>
        <v>USGC/CARIBS</v>
      </c>
      <c r="Z20" s="312">
        <v>550000</v>
      </c>
      <c r="AA20" s="312">
        <v>170</v>
      </c>
      <c r="AB20" s="378">
        <v>90</v>
      </c>
      <c r="AC20" s="314">
        <f t="shared" si="28"/>
        <v>0.71819999999999995</v>
      </c>
      <c r="AD20" s="315">
        <v>2</v>
      </c>
      <c r="AE20" s="312">
        <f>IF(INDEX(Index,MATCH(X20,TVM_PortList,0),MATCH("Type",Control!$Q$3:$U$3,0))="BL",INDEX(Index,MATCH(X20,TVM_PortList,0),MATCH("Payment",Control!$Q$3:$U$3,0))-INDEX(Index,MATCH(T20,TVM_PortList,0),MATCH("Payment",Control!$Q$3:$U$3,0)),AW20+INDEX(Index,MATCH(X20,TVM_PortList,0),MATCH("Payment",Control!$Q$3:$U$3,0))-INDEX(Index,MATCH(T20,TVM_PortList,0),MATCH("Payment",Control!$Q$3:$U$3,0)))</f>
        <v>-17</v>
      </c>
      <c r="AF20" s="316">
        <f t="shared" si="29"/>
        <v>0.10909090909090909</v>
      </c>
      <c r="AG20" s="316">
        <f t="shared" si="30"/>
        <v>0</v>
      </c>
      <c r="AH20" s="316" t="e">
        <f>INDEX(Lightering,MATCH($T20,Control!$AB$3:$AB$29,0),MATCH(MARS!$W20,Control!$AB$3:$AF$3,0))*($Z20/$BD$18)*$BH$15/$Z20</f>
        <v>#N/A</v>
      </c>
      <c r="AI20" s="316">
        <f t="shared" si="31"/>
        <v>0</v>
      </c>
      <c r="AJ20" s="316">
        <v>0</v>
      </c>
      <c r="AK20" s="316">
        <f t="shared" si="32"/>
        <v>5.0000000000000001E-3</v>
      </c>
      <c r="AL20" s="316">
        <f t="shared" si="33"/>
        <v>6.7299999999999999E-2</v>
      </c>
      <c r="AM20" s="316">
        <f>IF(INDEX(Control!$Q$3:$S$62,MATCH($X20,Control!$Q$3:$Q$62,0),MATCH(AM$8,Control!$Q$3:$S$3,0))=1,$BD$14*$BE$14,0)</f>
        <v>0.11</v>
      </c>
      <c r="AN20" s="316" t="e">
        <f>IF(INDEX(Control!$Q$3:$S$62,MATCH($X20,Control!$Q$3:$Q$62,0),MATCH(AN$8,Control!$Q$3:$S$3,0))=1,$BD$15/$Z20,0)</f>
        <v>#N/A</v>
      </c>
      <c r="AO20" s="316">
        <f t="shared" si="34"/>
        <v>0</v>
      </c>
      <c r="AP20" s="316">
        <f t="shared" si="35"/>
        <v>0</v>
      </c>
      <c r="AQ20" s="314" t="e">
        <f t="shared" si="42"/>
        <v>#N/A</v>
      </c>
      <c r="AR20" s="314" t="e">
        <f t="shared" si="37"/>
        <v>#N/A</v>
      </c>
      <c r="AS20" s="314">
        <f t="shared" si="38"/>
        <v>0</v>
      </c>
      <c r="AT20" s="314">
        <v>0</v>
      </c>
      <c r="AU20" s="317" t="e">
        <f t="shared" si="39"/>
        <v>#N/A</v>
      </c>
      <c r="AV20" s="220"/>
      <c r="AW20" s="318">
        <f>INDEX('[1]Transit Time'!$A:$DZ,MATCH(G20,'[1]Transit Time'!$A:$A,0),MATCH(J20,'[1]Transit Time'!$A$1:$DZ$1,0))+INDEX('[1]Transit Time'!$A:$DZ,MATCH(J20,'[1]Transit Time'!$A:$A,0),MATCH(T20,'[1]Transit Time'!$A$1:$DZ$1,0))+INDEX('[1]Transit Time'!$A:$DZ,MATCH(T20,'[1]Transit Time'!$A:$A,0),MATCH(X20,'[1]Transit Time'!$A$1:$DZ$1,0))</f>
        <v>0</v>
      </c>
      <c r="AX20" s="220"/>
      <c r="AY20" s="209">
        <f t="shared" si="40"/>
        <v>45031</v>
      </c>
      <c r="AZ20" s="209">
        <f t="shared" si="41"/>
        <v>45033</v>
      </c>
      <c r="BB20" s="133" t="s">
        <v>283</v>
      </c>
      <c r="BI20" s="34"/>
    </row>
    <row r="21" spans="1:63" ht="16" thickBot="1" x14ac:dyDescent="0.4">
      <c r="A21" s="163">
        <f t="shared" si="21"/>
        <v>45031</v>
      </c>
      <c r="B21" s="163">
        <f t="shared" si="22"/>
        <v>45033</v>
      </c>
      <c r="D21" s="170"/>
      <c r="E21" s="173">
        <f>IF(G21=J21,0,INDEX('[2]Flat Rates 2023'!$A:$DB,MATCH(G21,'[2]Flat Rates 2023'!$A:$A,0),MATCH(J21,'[2]Flat Rates 2023'!$A$1:$DB$1,0)))</f>
        <v>0</v>
      </c>
      <c r="F21" s="173">
        <f>INDEX(Control!$E$17:$J$21,MATCH(L21,Control!$E$17:$E$21,0),MATCH(G21,Control!$E$17:$J$17,0))</f>
        <v>0.5</v>
      </c>
      <c r="G21" s="173" t="s">
        <v>45</v>
      </c>
      <c r="H21" s="172">
        <f>INDEX(Vessel_Minimum_MT,MATCH(L21,Control!$E$11:$E$15,0),MATCH(G21,Control!$E$11:$J$11,0))</f>
        <v>50000</v>
      </c>
      <c r="I21" s="175">
        <f t="shared" si="23"/>
        <v>90096.96796338672</v>
      </c>
      <c r="J21" s="173" t="s">
        <v>45</v>
      </c>
      <c r="K21" s="173" t="str">
        <f t="shared" si="24"/>
        <v/>
      </c>
      <c r="L21" s="174" t="s">
        <v>22</v>
      </c>
      <c r="M21" s="175">
        <v>700000</v>
      </c>
      <c r="N21" s="179">
        <v>0</v>
      </c>
      <c r="O21" s="180">
        <v>0</v>
      </c>
      <c r="P21" s="178">
        <f t="shared" si="25"/>
        <v>0</v>
      </c>
      <c r="Q21" s="2"/>
      <c r="R21" s="138">
        <f>INDEX('[2]Flat Rates 2023'!$A:$DZ,MATCH(T21,'[2]Flat Rates 2023'!$A:$A,0),MATCH(X21,'[2]Flat Rates 2023'!$A$1:$DZ$1,0))</f>
        <v>0</v>
      </c>
      <c r="S21" s="138">
        <f>INDEX(Control!$E$17:$O$21,MATCH(W21,Control!$E$17:$E$21,0),MATCH(T21,Control!$E$17:$O$17,0))</f>
        <v>0</v>
      </c>
      <c r="T21" s="138" t="s">
        <v>104</v>
      </c>
      <c r="U21" s="116">
        <f>INDEX(Vessel_Minimum_MT,MATCH(W21,Control!$E$11:$E$15,0),MATCH(T21,Control!$E$11:$O$11,0))</f>
        <v>70000</v>
      </c>
      <c r="V21" s="140">
        <f t="shared" si="26"/>
        <v>93958.266590389016</v>
      </c>
      <c r="W21" s="147" t="s">
        <v>23</v>
      </c>
      <c r="X21" s="164" t="s">
        <v>13</v>
      </c>
      <c r="Y21" s="142" t="str">
        <f t="shared" si="27"/>
        <v>USGC/ECC</v>
      </c>
      <c r="Z21" s="141">
        <v>730000</v>
      </c>
      <c r="AA21" s="141"/>
      <c r="AB21" s="263">
        <f>AB42+10</f>
        <v>155</v>
      </c>
      <c r="AC21" s="149">
        <f t="shared" si="28"/>
        <v>0</v>
      </c>
      <c r="AD21" s="144">
        <v>1</v>
      </c>
      <c r="AE21" s="141">
        <f>IF(INDEX(Index,MATCH(X21,TVM_PortList,0),MATCH("Type",Control!$Q$3:$U$3,0))="BL",INDEX(Index,MATCH(X21,TVM_PortList,0),MATCH("Payment",Control!$Q$3:$U$3,0))-INDEX(Index,MATCH(T21,TVM_PortList,0),MATCH("Payment",Control!$Q$3:$U$3,0)),AW21+INDEX(Index,MATCH(X21,TVM_PortList,0),MATCH("Payment",Control!$Q$3:$U$3,0))-INDEX(Index,MATCH(T21,TVM_PortList,0),MATCH("Payment",Control!$Q$3:$U$3,0)))</f>
        <v>0</v>
      </c>
      <c r="AF21" s="143">
        <f t="shared" si="29"/>
        <v>4.1095890410958902E-2</v>
      </c>
      <c r="AG21" s="143">
        <f t="shared" si="30"/>
        <v>0</v>
      </c>
      <c r="AH21" s="143" t="e">
        <f>INDEX(Lightering,MATCH($T21,Control!$AB$3:$AB$29,0),MATCH(MARS!$W21,Control!$AB$3:$AF$3,0))*($Z21/$BD$18)*$BH$15/$Z21</f>
        <v>#N/A</v>
      </c>
      <c r="AI21" s="143">
        <f t="shared" si="31"/>
        <v>0</v>
      </c>
      <c r="AJ21" s="143">
        <v>0</v>
      </c>
      <c r="AK21" s="143">
        <f t="shared" si="32"/>
        <v>5.0000000000000001E-3</v>
      </c>
      <c r="AL21" s="143">
        <f t="shared" si="33"/>
        <v>6.7299999999999999E-2</v>
      </c>
      <c r="AM21" s="143">
        <f>IF(INDEX(Control!$Q$3:$S$62,MATCH($X21,Control!$Q$3:$Q$62,0),MATCH(AM$8,Control!$Q$3:$S$3,0))=1,$BD$14*$BE$14,0)</f>
        <v>0</v>
      </c>
      <c r="AN21" s="143" t="e">
        <f>IF(INDEX(Control!$Q$3:$S$62,MATCH($X21,Control!$Q$3:$Q$62,0),MATCH(AN$8,Control!$Q$3:$S$3,0))=1,$BD$15/$Z21,0)</f>
        <v>#N/A</v>
      </c>
      <c r="AO21" s="143">
        <f t="shared" si="34"/>
        <v>0</v>
      </c>
      <c r="AP21" s="143">
        <f t="shared" si="35"/>
        <v>0</v>
      </c>
      <c r="AQ21" s="149" t="e">
        <f t="shared" ref="AQ21:AQ22" si="43">SUM(AF21:AP21)</f>
        <v>#N/A</v>
      </c>
      <c r="AR21" s="149" t="e">
        <f t="shared" si="37"/>
        <v>#N/A</v>
      </c>
      <c r="AS21" s="149">
        <f t="shared" si="38"/>
        <v>0</v>
      </c>
      <c r="AT21" s="149">
        <v>0</v>
      </c>
      <c r="AU21" s="135" t="e">
        <f t="shared" si="39"/>
        <v>#N/A</v>
      </c>
      <c r="AW21" s="153">
        <f>INDEX('[1]Transit Time'!$A:$DZ,MATCH(G21,'[1]Transit Time'!$A:$A,0),MATCH(J21,'[1]Transit Time'!$A$1:$DZ$1,0))+INDEX('[1]Transit Time'!$A:$DZ,MATCH(J21,'[1]Transit Time'!$A:$A,0),MATCH(T21,'[1]Transit Time'!$A$1:$DZ$1,0))+INDEX('[1]Transit Time'!$A:$DZ,MATCH(T21,'[1]Transit Time'!$A:$A,0),MATCH(X21,'[1]Transit Time'!$A$1:$DZ$1,0))</f>
        <v>0</v>
      </c>
      <c r="AY21" s="163">
        <f t="shared" si="40"/>
        <v>45031</v>
      </c>
      <c r="AZ21" s="163">
        <f t="shared" si="41"/>
        <v>45033</v>
      </c>
      <c r="BB21" s="133" t="s">
        <v>148</v>
      </c>
      <c r="BC21" s="3">
        <v>1</v>
      </c>
      <c r="BD21" s="268">
        <f>$BC$21*$BD$14/365/100</f>
        <v>2.7397260273972603E-3</v>
      </c>
      <c r="BI21" s="34"/>
    </row>
    <row r="22" spans="1:63" x14ac:dyDescent="0.35">
      <c r="A22" s="230">
        <f t="shared" si="21"/>
        <v>45031</v>
      </c>
      <c r="B22" s="230">
        <f t="shared" si="22"/>
        <v>45033</v>
      </c>
      <c r="D22" s="232"/>
      <c r="E22" s="233">
        <f>IF(G22=J22,0,INDEX('[2]Flat Rates 2023'!$A:$DB,MATCH(G22,'[2]Flat Rates 2023'!$A:$A,0),MATCH(J22,'[2]Flat Rates 2023'!$A$1:$DB$1,0)))</f>
        <v>0</v>
      </c>
      <c r="F22" s="233">
        <f>INDEX(Control!$E$17:$J$21,MATCH(L22,Control!$E$17:$E$21,0),MATCH(G22,Control!$E$17:$J$17,0))</f>
        <v>0</v>
      </c>
      <c r="G22" s="233" t="s">
        <v>45</v>
      </c>
      <c r="H22" s="234">
        <f>INDEX(Vessel_Minimum_MT,MATCH(L22,Control!$E$11:$E$15,0),MATCH(G22,Control!$E$11:$J$11,0))</f>
        <v>70000</v>
      </c>
      <c r="I22" s="235">
        <f t="shared" si="23"/>
        <v>90096.96796338672</v>
      </c>
      <c r="J22" s="233" t="s">
        <v>45</v>
      </c>
      <c r="K22" s="233" t="str">
        <f t="shared" si="24"/>
        <v/>
      </c>
      <c r="L22" s="236" t="s">
        <v>23</v>
      </c>
      <c r="M22" s="235">
        <v>700000</v>
      </c>
      <c r="N22" s="237">
        <v>0</v>
      </c>
      <c r="O22" s="238">
        <v>0</v>
      </c>
      <c r="P22" s="239">
        <f t="shared" si="25"/>
        <v>0</v>
      </c>
      <c r="Q22" s="2"/>
      <c r="R22" s="220">
        <f>INDEX('[2]Flat Rates 2023'!$A:$DZ,MATCH(T22,'[2]Flat Rates 2023'!$A:$A,0),MATCH(X22,'[2]Flat Rates 2023'!$A$1:$DZ$1,0))</f>
        <v>0</v>
      </c>
      <c r="S22" s="220">
        <f>INDEX(Control!$E$17:$O$21,MATCH(W22,Control!$E$17:$E$21,0),MATCH(T22,Control!$E$17:$O$17,0))</f>
        <v>0</v>
      </c>
      <c r="T22" s="220" t="s">
        <v>104</v>
      </c>
      <c r="U22" s="213">
        <f>INDEX(Vessel_Minimum_MT,MATCH(W22,Control!$E$11:$E$15,0),MATCH(T22,Control!$E$11:$O$11,0))</f>
        <v>70000</v>
      </c>
      <c r="V22" s="222">
        <f t="shared" si="26"/>
        <v>93958.266590389016</v>
      </c>
      <c r="W22" s="215" t="s">
        <v>23</v>
      </c>
      <c r="X22" s="223" t="s">
        <v>76</v>
      </c>
      <c r="Y22" s="212" t="str">
        <f t="shared" si="27"/>
        <v>USGC/ECC</v>
      </c>
      <c r="Z22" s="214">
        <v>730000</v>
      </c>
      <c r="AA22" s="214"/>
      <c r="AB22" s="262">
        <f>AB21</f>
        <v>155</v>
      </c>
      <c r="AC22" s="225">
        <f t="shared" si="28"/>
        <v>0</v>
      </c>
      <c r="AD22" s="226">
        <v>1</v>
      </c>
      <c r="AE22" s="214">
        <f>IF(INDEX(Index,MATCH(X22,TVM_PortList,0),MATCH("Type",Control!$Q$3:$U$3,0))="BL",INDEX(Index,MATCH(X22,TVM_PortList,0),MATCH("Payment",Control!$Q$3:$U$3,0))-INDEX(Index,MATCH(T22,TVM_PortList,0),MATCH("Payment",Control!$Q$3:$U$3,0)),AW22+INDEX(Index,MATCH(X22,TVM_PortList,0),MATCH("Payment",Control!$Q$3:$U$3,0))-INDEX(Index,MATCH(T22,TVM_PortList,0),MATCH("Payment",Control!$Q$3:$U$3,0)))</f>
        <v>0</v>
      </c>
      <c r="AF22" s="227">
        <f t="shared" si="29"/>
        <v>4.1095890410958902E-2</v>
      </c>
      <c r="AG22" s="227">
        <f t="shared" si="30"/>
        <v>0</v>
      </c>
      <c r="AH22" s="227" t="e">
        <f>INDEX(Lightering,MATCH($T22,Control!$AB$3:$AB$29,0),MATCH(MARS!$W22,Control!$AB$3:$AF$3,0))*($Z22/$BD$18)*$BH$15/$Z22</f>
        <v>#N/A</v>
      </c>
      <c r="AI22" s="227">
        <f t="shared" si="31"/>
        <v>0</v>
      </c>
      <c r="AJ22" s="227">
        <v>0</v>
      </c>
      <c r="AK22" s="227">
        <f t="shared" si="32"/>
        <v>5.0000000000000001E-3</v>
      </c>
      <c r="AL22" s="227">
        <f t="shared" si="33"/>
        <v>6.7299999999999999E-2</v>
      </c>
      <c r="AM22" s="227">
        <f>IF(INDEX(Control!$Q$3:$S$62,MATCH($X22,Control!$Q$3:$Q$62,0),MATCH(AM$8,Control!$Q$3:$S$3,0))=1,$BD$14*$BE$14,0)</f>
        <v>0</v>
      </c>
      <c r="AN22" s="227" t="e">
        <f>IF(INDEX(Control!$Q$3:$S$62,MATCH($X22,Control!$Q$3:$Q$62,0),MATCH(AN$8,Control!$Q$3:$S$3,0))=1,$BD$15/$Z22,0)</f>
        <v>#N/A</v>
      </c>
      <c r="AO22" s="227">
        <f t="shared" si="34"/>
        <v>0</v>
      </c>
      <c r="AP22" s="227">
        <f t="shared" si="35"/>
        <v>0</v>
      </c>
      <c r="AQ22" s="225" t="e">
        <f t="shared" si="43"/>
        <v>#N/A</v>
      </c>
      <c r="AR22" s="225" t="e">
        <f t="shared" si="37"/>
        <v>#N/A</v>
      </c>
      <c r="AS22" s="225">
        <f t="shared" si="38"/>
        <v>0</v>
      </c>
      <c r="AT22" s="225">
        <v>0</v>
      </c>
      <c r="AU22" s="228" t="e">
        <f t="shared" si="39"/>
        <v>#N/A</v>
      </c>
      <c r="AV22" s="220"/>
      <c r="AW22" s="229">
        <f>INDEX('[1]Transit Time'!$A:$DZ,MATCH(G22,'[1]Transit Time'!$A:$A,0),MATCH(J22,'[1]Transit Time'!$A$1:$DZ$1,0))+INDEX('[1]Transit Time'!$A:$DZ,MATCH(J22,'[1]Transit Time'!$A:$A,0),MATCH(T22,'[1]Transit Time'!$A$1:$DZ$1,0))+INDEX('[1]Transit Time'!$A:$DZ,MATCH(T22,'[1]Transit Time'!$A:$A,0),MATCH(X22,'[1]Transit Time'!$A$1:$DZ$1,0))</f>
        <v>0</v>
      </c>
      <c r="AX22" s="220"/>
      <c r="AY22" s="230">
        <f t="shared" si="40"/>
        <v>45031</v>
      </c>
      <c r="AZ22" s="230">
        <f t="shared" si="41"/>
        <v>45033</v>
      </c>
      <c r="BB22" s="133"/>
      <c r="BD22" s="268"/>
      <c r="BI22" s="34"/>
    </row>
    <row r="23" spans="1:63" ht="16" thickBot="1" x14ac:dyDescent="0.4">
      <c r="A23" s="163">
        <f t="shared" si="21"/>
        <v>45031</v>
      </c>
      <c r="B23" s="163">
        <f t="shared" si="22"/>
        <v>45033</v>
      </c>
      <c r="D23" s="170"/>
      <c r="E23" s="173">
        <f>IF(G23=J23,0,INDEX('[2]Flat Rates 2023'!$A:$DB,MATCH(G23,'[2]Flat Rates 2023'!$A:$A,0),MATCH(J23,'[2]Flat Rates 2023'!$A$1:$DB$1,0)))</f>
        <v>0</v>
      </c>
      <c r="F23" s="173">
        <f>INDEX(Control!$E$17:$J$21,MATCH(L23,Control!$E$17:$E$21,0),MATCH(G23,Control!$E$17:$J$17,0))</f>
        <v>0.5</v>
      </c>
      <c r="G23" s="173" t="s">
        <v>45</v>
      </c>
      <c r="H23" s="172">
        <f>INDEX(Vessel_Minimum_MT,MATCH(L23,Control!$E$11:$E$15,0),MATCH(G23,Control!$E$11:$J$11,0))</f>
        <v>50000</v>
      </c>
      <c r="I23" s="175">
        <f t="shared" si="23"/>
        <v>90096.96796338672</v>
      </c>
      <c r="J23" s="173" t="s">
        <v>45</v>
      </c>
      <c r="K23" s="173" t="str">
        <f t="shared" si="24"/>
        <v/>
      </c>
      <c r="L23" s="174" t="s">
        <v>22</v>
      </c>
      <c r="M23" s="175">
        <v>700000</v>
      </c>
      <c r="N23" s="179">
        <v>0</v>
      </c>
      <c r="O23" s="180">
        <v>0</v>
      </c>
      <c r="P23" s="178">
        <f t="shared" si="25"/>
        <v>0</v>
      </c>
      <c r="Q23" s="2"/>
      <c r="R23" s="138">
        <f>INDEX('[2]Flat Rates 2023'!$A:$DZ,MATCH(T23,'[2]Flat Rates 2023'!$A:$A,0),MATCH(X23,'[2]Flat Rates 2023'!$A$1:$DZ$1,0))</f>
        <v>0</v>
      </c>
      <c r="S23" s="138">
        <f>INDEX(Control!$E$17:$O$21,MATCH(W23,Control!$E$17:$E$21,0),MATCH(T23,Control!$E$17:$O$17,0))</f>
        <v>0</v>
      </c>
      <c r="T23" s="138" t="s">
        <v>104</v>
      </c>
      <c r="U23" s="116">
        <f>INDEX(Vessel_Minimum_MT,MATCH(W23,Control!$E$11:$E$15,0),MATCH(T23,Control!$E$11:$O$11,0))</f>
        <v>70000</v>
      </c>
      <c r="V23" s="140">
        <f t="shared" si="26"/>
        <v>93958.266590389016</v>
      </c>
      <c r="W23" s="147" t="s">
        <v>23</v>
      </c>
      <c r="X23" s="164" t="s">
        <v>53</v>
      </c>
      <c r="Y23" s="142" t="str">
        <f t="shared" si="27"/>
        <v>USGC/ECC</v>
      </c>
      <c r="Z23" s="141">
        <v>730000</v>
      </c>
      <c r="AA23" s="141"/>
      <c r="AB23" s="151">
        <f>AB22</f>
        <v>155</v>
      </c>
      <c r="AC23" s="149">
        <f t="shared" si="28"/>
        <v>0</v>
      </c>
      <c r="AD23" s="144">
        <v>1</v>
      </c>
      <c r="AE23" s="141">
        <f>IF(INDEX(Index,MATCH(X23,TVM_PortList,0),MATCH("Type",Control!$Q$3:$U$3,0))="BL",INDEX(Index,MATCH(X23,TVM_PortList,0),MATCH("Payment",Control!$Q$3:$U$3,0))-INDEX(Index,MATCH(T23,TVM_PortList,0),MATCH("Payment",Control!$Q$3:$U$3,0)),AW23+INDEX(Index,MATCH(X23,TVM_PortList,0),MATCH("Payment",Control!$Q$3:$U$3,0))-INDEX(Index,MATCH(T23,TVM_PortList,0),MATCH("Payment",Control!$Q$3:$U$3,0)))</f>
        <v>0</v>
      </c>
      <c r="AF23" s="143">
        <f t="shared" si="29"/>
        <v>4.1095890410958902E-2</v>
      </c>
      <c r="AG23" s="143">
        <f t="shared" si="30"/>
        <v>0</v>
      </c>
      <c r="AH23" s="143" t="e">
        <f>INDEX(Lightering,MATCH($T23,Control!$AB$3:$AB$29,0),MATCH(MARS!$W23,Control!$AB$3:$AF$3,0))*($Z23/$BD$18)*$BH$15/$Z23</f>
        <v>#N/A</v>
      </c>
      <c r="AI23" s="143">
        <f t="shared" si="31"/>
        <v>0</v>
      </c>
      <c r="AJ23" s="143">
        <v>0</v>
      </c>
      <c r="AK23" s="143">
        <f t="shared" si="32"/>
        <v>5.0000000000000001E-3</v>
      </c>
      <c r="AL23" s="143">
        <f t="shared" si="33"/>
        <v>6.7299999999999999E-2</v>
      </c>
      <c r="AM23" s="143">
        <f>IF(INDEX(Control!$Q$3:$S$62,MATCH($X23,Control!$Q$3:$Q$62,0),MATCH(AM$8,Control!$Q$3:$S$3,0))=1,$BD$14*$BE$14,0)</f>
        <v>0</v>
      </c>
      <c r="AN23" s="143" t="e">
        <f>IF(INDEX(Control!$Q$3:$S$62,MATCH($X23,Control!$Q$3:$Q$62,0),MATCH(AN$8,Control!$Q$3:$S$3,0))=1,$BD$15/$Z23,0)</f>
        <v>#N/A</v>
      </c>
      <c r="AO23" s="143">
        <f t="shared" si="34"/>
        <v>0</v>
      </c>
      <c r="AP23" s="143">
        <f t="shared" si="35"/>
        <v>0</v>
      </c>
      <c r="AQ23" s="149" t="e">
        <f t="shared" ref="AQ23" si="44">SUM(AF23:AP23)</f>
        <v>#N/A</v>
      </c>
      <c r="AR23" s="149" t="e">
        <f t="shared" si="37"/>
        <v>#N/A</v>
      </c>
      <c r="AS23" s="149">
        <f t="shared" si="38"/>
        <v>0</v>
      </c>
      <c r="AT23" s="149">
        <v>0</v>
      </c>
      <c r="AU23" s="135" t="e">
        <f t="shared" si="39"/>
        <v>#N/A</v>
      </c>
      <c r="AW23" s="153">
        <f>INDEX('[1]Transit Time'!$A:$DZ,MATCH(G23,'[1]Transit Time'!$A:$A,0),MATCH(J23,'[1]Transit Time'!$A$1:$DZ$1,0))+INDEX('[1]Transit Time'!$A:$DZ,MATCH(J23,'[1]Transit Time'!$A:$A,0),MATCH(T23,'[1]Transit Time'!$A$1:$DZ$1,0))+INDEX('[1]Transit Time'!$A:$DZ,MATCH(T23,'[1]Transit Time'!$A:$A,0),MATCH(X23,'[1]Transit Time'!$A$1:$DZ$1,0))</f>
        <v>0</v>
      </c>
      <c r="AY23" s="163">
        <f t="shared" si="40"/>
        <v>45031</v>
      </c>
      <c r="AZ23" s="163">
        <f t="shared" si="41"/>
        <v>45033</v>
      </c>
      <c r="BB23" s="133"/>
      <c r="BD23" s="268"/>
      <c r="BI23" s="34"/>
    </row>
    <row r="24" spans="1:63" ht="19.5" customHeight="1" thickBot="1" x14ac:dyDescent="0.5">
      <c r="A24"/>
      <c r="B24"/>
      <c r="D24" s="1053" t="str">
        <f>D7</f>
        <v>CORPUS-PTP</v>
      </c>
      <c r="E24" s="1054"/>
      <c r="F24" s="1054"/>
      <c r="G24" s="1054"/>
      <c r="H24" s="1054"/>
      <c r="I24" s="1054"/>
      <c r="J24" s="1054"/>
      <c r="K24" s="1054"/>
      <c r="L24" s="1054"/>
      <c r="M24" s="1054"/>
      <c r="N24" s="1054"/>
      <c r="O24" s="1054"/>
      <c r="P24" s="1055"/>
      <c r="Q24" s="2"/>
      <c r="R24" s="9"/>
      <c r="S24" s="9"/>
      <c r="T24" s="9"/>
      <c r="U24" s="9"/>
      <c r="V24" s="9"/>
      <c r="W24" s="1053" t="s">
        <v>280</v>
      </c>
      <c r="X24" s="1054"/>
      <c r="Y24" s="1054"/>
      <c r="Z24" s="1054"/>
      <c r="AA24" s="1054"/>
      <c r="AB24" s="1054"/>
      <c r="AC24" s="1054"/>
      <c r="AD24" s="1054"/>
      <c r="AE24" s="1054"/>
      <c r="AF24" s="1054"/>
      <c r="AG24" s="1054"/>
      <c r="AH24" s="1054"/>
      <c r="AI24" s="1054"/>
      <c r="AJ24" s="1054"/>
      <c r="AK24" s="1054"/>
      <c r="AL24" s="1054"/>
      <c r="AM24" s="1054"/>
      <c r="AN24" s="1054"/>
      <c r="AO24" s="1054"/>
      <c r="AP24" s="1054"/>
      <c r="AQ24" s="1054"/>
      <c r="AR24" s="1054"/>
      <c r="AS24" s="1054"/>
      <c r="AT24" s="1054"/>
      <c r="AU24" s="1055"/>
      <c r="AW24"/>
      <c r="AY24"/>
      <c r="AZ24"/>
      <c r="BC24" s="124"/>
    </row>
    <row r="25" spans="1:63" ht="29.5" customHeight="1" x14ac:dyDescent="0.35">
      <c r="A25" s="1005" t="s">
        <v>167</v>
      </c>
      <c r="B25" s="1005"/>
      <c r="D25" s="120" t="s">
        <v>276</v>
      </c>
      <c r="E25" s="152" t="s">
        <v>172</v>
      </c>
      <c r="F25" s="152" t="s">
        <v>2</v>
      </c>
      <c r="G25" s="152" t="s">
        <v>173</v>
      </c>
      <c r="H25" s="152" t="s">
        <v>174</v>
      </c>
      <c r="I25" s="125" t="s">
        <v>175</v>
      </c>
      <c r="J25" s="152" t="s">
        <v>177</v>
      </c>
      <c r="K25" s="152" t="s">
        <v>178</v>
      </c>
      <c r="L25" s="122" t="s">
        <v>176</v>
      </c>
      <c r="M25" s="120" t="s">
        <v>200</v>
      </c>
      <c r="N25" s="120" t="s">
        <v>277</v>
      </c>
      <c r="O25" s="121"/>
      <c r="P25" s="123" t="s">
        <v>278</v>
      </c>
      <c r="Q25" s="2"/>
      <c r="R25" s="120" t="s">
        <v>172</v>
      </c>
      <c r="S25" s="120" t="e">
        <f>INDEX(Control!$E$17:$J$21,MATCH(W25,Control!$E$17:$E$21,0),MATCH(T25,Control!$E$17:$J$17,0))</f>
        <v>#N/A</v>
      </c>
      <c r="T25" s="120" t="s">
        <v>173</v>
      </c>
      <c r="U25" s="152" t="str">
        <f>$U$8</f>
        <v>Vessel MT</v>
      </c>
      <c r="V25" s="120" t="s">
        <v>175</v>
      </c>
      <c r="W25" s="120" t="s">
        <v>176</v>
      </c>
      <c r="X25" s="120" t="s">
        <v>177</v>
      </c>
      <c r="Y25" s="120" t="s">
        <v>178</v>
      </c>
      <c r="Z25" s="120" t="s">
        <v>200</v>
      </c>
      <c r="AA25" s="146" t="s">
        <v>201</v>
      </c>
      <c r="AB25" s="128" t="s">
        <v>202</v>
      </c>
      <c r="AC25" s="150" t="s">
        <v>182</v>
      </c>
      <c r="AD25" s="136" t="s">
        <v>137</v>
      </c>
      <c r="AE25" s="146" t="s">
        <v>281</v>
      </c>
      <c r="AF25" s="136" t="s">
        <v>184</v>
      </c>
      <c r="AG25" s="136" t="s">
        <v>140</v>
      </c>
      <c r="AH25" s="136" t="str">
        <f>AH17</f>
        <v>STS</v>
      </c>
      <c r="AI25" s="136" t="s">
        <v>186</v>
      </c>
      <c r="AJ25" s="136" t="s">
        <v>187</v>
      </c>
      <c r="AK25" s="136" t="s">
        <v>141</v>
      </c>
      <c r="AL25" s="136" t="s">
        <v>188</v>
      </c>
      <c r="AM25" s="136" t="s">
        <v>17</v>
      </c>
      <c r="AN25" s="136" t="s">
        <v>207</v>
      </c>
      <c r="AO25" s="136" t="s">
        <v>189</v>
      </c>
      <c r="AP25" s="136" t="s">
        <v>152</v>
      </c>
      <c r="AQ25" s="150" t="s">
        <v>208</v>
      </c>
      <c r="AR25" s="150" t="s">
        <v>209</v>
      </c>
      <c r="AS25" s="150" t="s">
        <v>210</v>
      </c>
      <c r="AT25" s="150" t="str">
        <f>AT17</f>
        <v>Basis</v>
      </c>
      <c r="AU25" s="137" t="s">
        <v>211</v>
      </c>
      <c r="AW25" s="137" t="s">
        <v>195</v>
      </c>
      <c r="AY25" s="1011" t="s">
        <v>196</v>
      </c>
      <c r="AZ25" s="1011"/>
      <c r="BD25" s="35"/>
      <c r="BE25" s="35"/>
    </row>
    <row r="26" spans="1:63" x14ac:dyDescent="0.35">
      <c r="A26" s="163">
        <f t="shared" si="21"/>
        <v>45031</v>
      </c>
      <c r="B26" s="163">
        <f t="shared" si="22"/>
        <v>45033</v>
      </c>
      <c r="D26" s="8"/>
      <c r="E26" s="138">
        <f>INDEX('[2]Flat Rates 2023'!$A:$DB,MATCH(G26,'[2]Flat Rates 2023'!$A:$A,0),MATCH(J26,'[2]Flat Rates 2023'!$A$1:$DB$1,0))</f>
        <v>0</v>
      </c>
      <c r="F26" s="138">
        <f>INDEX(Control!$E$17:$J$21,MATCH(L26,Control!$E$17:$E$21,0),MATCH(G26,Control!$E$17:$J$17,0))</f>
        <v>0</v>
      </c>
      <c r="G26" s="138" t="s">
        <v>45</v>
      </c>
      <c r="H26" s="116">
        <f>INDEX(Vessel_Minimum_MT,MATCH(L26,Control!$E$11:$E$15,0),MATCH(G26,Control!$E$11:$J$11,0))</f>
        <v>70000</v>
      </c>
      <c r="I26" s="116">
        <f>M26/$BD$17</f>
        <v>96532.465675057203</v>
      </c>
      <c r="J26" s="142" t="s">
        <v>55</v>
      </c>
      <c r="K26" s="138" t="str">
        <f t="shared" ref="K26:K27" si="45">IF(J26=G26,"",CONCATENATE(CONCATENATE(VLOOKUP(G26,Zones,2,FALSE),"/",VLOOKUP(J26,Zones,2,FALSE))))</f>
        <v>USGC/CARIBS</v>
      </c>
      <c r="L26" s="147" t="s">
        <v>23</v>
      </c>
      <c r="M26" s="141">
        <v>750000</v>
      </c>
      <c r="N26" s="17">
        <v>170</v>
      </c>
      <c r="O26" s="18">
        <v>125</v>
      </c>
      <c r="P26" s="148">
        <f t="shared" ref="P26:P27" si="46">IF($G26="Esmeraldas",IF(N26&gt;1000,IF(O26=0,N26,O26)/M26*1.1,((H26*E26*(IF(O26=0,N26,O26)/100))+IF(I26&lt;H26,0,(I26-H26)*E26*IF(O26=0,N26,O26)/100*F26))/M26*1.1),IF(N26&gt;1000,IF(O26=0,N26,O26)/M26,((H26*E26*(IF(O26=0,N26,O26)/100))+IF(I26&lt;H26,0,(I26-H26)*E26*IF(O26=0,N26,O26)/100*F26)))/M26)</f>
        <v>0</v>
      </c>
      <c r="Q26" s="2"/>
      <c r="R26" s="138">
        <f>INDEX('[2]Flat Rates 2023'!$A:$DZ,MATCH(T26,'[2]Flat Rates 2023'!$A:$A,0),MATCH(X26,'[2]Flat Rates 2023'!$A$1:$DZ$1,0))</f>
        <v>25.45</v>
      </c>
      <c r="S26" s="138">
        <f>INDEX(Control!$E$17:$O$21,MATCH(W26,Control!$E$17:$E$21,0),MATCH(T26,Control!$E$17:$O$17,0))</f>
        <v>0.5</v>
      </c>
      <c r="T26" s="138" t="s">
        <v>63</v>
      </c>
      <c r="U26" s="116">
        <f>INDEX(Vessel_Minimum_MT,MATCH(W26,Control!$E$11:$E$15,0),MATCH(T26,Control!$E$11:$O$11,0))</f>
        <v>145000</v>
      </c>
      <c r="V26" s="140">
        <f>Z26/$BD$17</f>
        <v>135145.45194508007</v>
      </c>
      <c r="W26" s="147" t="s">
        <v>24</v>
      </c>
      <c r="X26" s="164" t="s">
        <v>100</v>
      </c>
      <c r="Y26" s="142" t="str">
        <f>IF(X26=T26,"",CONCATENATE(CONCATENATE(VLOOKUP(T26,Zones,2,FALSE),"/",VLOOKUP(X26,Zones,2,FALSE))))</f>
        <v>Panama WC/KOREA</v>
      </c>
      <c r="Z26" s="141">
        <v>1050000</v>
      </c>
      <c r="AA26" s="141">
        <v>3750000</v>
      </c>
      <c r="AB26" s="151"/>
      <c r="AC26" s="148">
        <f t="shared" ref="AC26:AC27" si="47">IF(AA26&gt;1000,IF(AB26=0,AA26,AB26)/Z26,((U26*R26*(IF(AB26=0,AA26,AB26)/100))+IF(V26&lt;U26,0,(V26-U26)*R26*IF(AB26=0,AA26,AB26)/100*S26))/Z26)</f>
        <v>3.5714285714285716</v>
      </c>
      <c r="AD26" s="144">
        <v>2</v>
      </c>
      <c r="AE26" s="155">
        <f>IF(INDEX(Index,MATCH(X26,TVM_PortList,0),MATCH("Type",Control!$Q$3:$U$3,0))="BL",INDEX(Index,MATCH(X26,TVM_PortList,0),MATCH("Payment",Control!$Q$3:$U$3,0))-INDEX(Index,MATCH(T26,TVM_PortList,0),MATCH("Payment",Control!$Q$3:$U$3,0)),AW26+INDEX(Index,MATCH(X26,TVM_PortList,0),MATCH("Payment",Control!$Q$3:$U$3,0))-INDEX(Index,MATCH(T26,TVM_PortList,0),MATCH("Payment",Control!$Q$3:$U$3,0)))</f>
        <v>41</v>
      </c>
      <c r="AF26" s="143">
        <f>AD26*VLOOKUP($W26,$BF$9:$BH$13,3,FALSE)/$Z26</f>
        <v>7.6190476190476197E-2</v>
      </c>
      <c r="AG26" s="143">
        <f t="shared" ref="AG26:AG27" si="48">IF(AE26&lt;0,0,$AE26*$BD$11)</f>
        <v>0.11232876712328767</v>
      </c>
      <c r="AH26" s="143"/>
      <c r="AI26" s="143">
        <f>IF(G26="Corpus Christi",$BD$10,0)</f>
        <v>0</v>
      </c>
      <c r="AJ26" s="143">
        <v>0</v>
      </c>
      <c r="AK26" s="143">
        <f t="shared" ref="AK26:AK27" si="49">$BD$12</f>
        <v>5.0000000000000001E-3</v>
      </c>
      <c r="AL26" s="143">
        <f t="shared" ref="AL26:AL27" si="50">$BD$13</f>
        <v>6.7299999999999999E-2</v>
      </c>
      <c r="AM26" s="143">
        <f>IF(INDEX(Control!$Q$3:$S$62,MATCH($X26,Control!$Q$3:$Q$62,0),MATCH(AM$8,Control!$Q$3:$S$3,0))=1,$BD$14*$BE$14,0)</f>
        <v>0.11</v>
      </c>
      <c r="AN26" s="143" t="e">
        <f>IF(INDEX(Control!$Q$3:$S$62,MATCH($X26,Control!$Q$3:$Q$62,0),MATCH(AN$8,Control!$Q$3:$S$3,0))=1,$BD$15/$Z26,0)</f>
        <v>#N/A</v>
      </c>
      <c r="AO26" s="143">
        <f t="shared" ref="AO26:AO27" si="51">$BD$16</f>
        <v>0</v>
      </c>
      <c r="AP26" s="143">
        <f>IF(AND(J26="Chiriqui Grande",T26="Puerto Armuelles"),$BG$18,0)</f>
        <v>0.55000000000000004</v>
      </c>
      <c r="AQ26" s="149" t="e">
        <f t="shared" ref="AQ26:AQ27" si="52">SUM(AF26:AP26)</f>
        <v>#N/A</v>
      </c>
      <c r="AR26" s="149" t="e">
        <f>+P26+AC26+AQ26</f>
        <v>#N/A</v>
      </c>
      <c r="AS26" s="149" t="e">
        <f t="shared" ref="AS26:AS27" si="53">IF(MONTH(A26)=MONTH(AZ26),0,IF(MONTH(AZ26)-MONTH(A26)&gt;1,VLOOKUP("Spreads",$AQ$3:$AU$4,MATCH(EOMONTH(AZ26,0),$AQ$3:$AU$3,0),FALSE)+VLOOKUP("Spreads",$AQ$3:$AU$4,MATCH(EOMONTH(AZ26,-1),$AQ$3:$AU$3,0),FALSE),VLOOKUP("Spreads",$AQ$3:$AU$4,MATCH(EOMONTH(AZ26,0),$AQ$3:$AU$3,0))))</f>
        <v>#N/A</v>
      </c>
      <c r="AT26" s="149" t="e">
        <f>+IF($AQ$3=1,HLOOKUP(EOMONTH(AZ26,0),$AR$3:$AU$6,4,FALSE),IF($AQ$3=2,-HLOOKUP(EOMONTH(AZ26,0),$AR$3:$AU$6,3,FALSE),0))</f>
        <v>#N/A</v>
      </c>
      <c r="AU26" s="261" t="e">
        <f>$L$3+AR26+AS26+AT26</f>
        <v>#N/A</v>
      </c>
      <c r="AW26" s="153">
        <f>INDEX('[1]Transit Time'!$A:$DZ,MATCH(G26,'[1]Transit Time'!$A:$A,0),MATCH(J26,'[1]Transit Time'!$A$1:$DZ$1,0))+INDEX('[1]Transit Time'!$A:$DZ,MATCH(J26,'[1]Transit Time'!$A:$A,0),MATCH(T26,'[1]Transit Time'!$A$1:$DZ$1,0))+INDEX('[1]Transit Time'!$A:$DZ,MATCH(T26,'[1]Transit Time'!$A:$A,0),MATCH(X26,'[1]Transit Time'!$A$1:$DZ$1,0))</f>
        <v>46</v>
      </c>
      <c r="AY26" s="163">
        <f>IF(ISBLANK(A26),"",A26+$AW26)</f>
        <v>45077</v>
      </c>
      <c r="AZ26" s="163">
        <f>IFERROR(IF(ISBLANK(B26),"",B26+$AW26),"")</f>
        <v>45079</v>
      </c>
      <c r="BC26" s="361"/>
    </row>
    <row r="27" spans="1:63" ht="16" thickBot="1" x14ac:dyDescent="0.4">
      <c r="A27" s="230">
        <f t="shared" si="21"/>
        <v>45031</v>
      </c>
      <c r="B27" s="230">
        <f t="shared" si="22"/>
        <v>45033</v>
      </c>
      <c r="D27" s="211"/>
      <c r="E27" s="212">
        <f>INDEX('[2]Flat Rates 2023'!$A:$DB,MATCH(G27,'[2]Flat Rates 2023'!$A:$A,0),MATCH(J27,'[2]Flat Rates 2023'!$A$1:$DB$1,0))</f>
        <v>0</v>
      </c>
      <c r="F27" s="212">
        <f>INDEX(Control!$E$17:$J$21,MATCH(L27,Control!$E$17:$E$21,0),MATCH(G27,Control!$E$17:$J$17,0))</f>
        <v>0</v>
      </c>
      <c r="G27" s="212" t="s">
        <v>45</v>
      </c>
      <c r="H27" s="213">
        <f>INDEX(Vessel_Minimum_MT,MATCH(L27,Control!$E$11:$E$15,0),MATCH(G27,Control!$E$11:$J$11,0))</f>
        <v>70000</v>
      </c>
      <c r="I27" s="214">
        <f>M27/$BD$17</f>
        <v>96532.465675057203</v>
      </c>
      <c r="J27" s="212" t="s">
        <v>55</v>
      </c>
      <c r="K27" s="212" t="str">
        <f t="shared" si="45"/>
        <v>USGC/CARIBS</v>
      </c>
      <c r="L27" s="215" t="s">
        <v>23</v>
      </c>
      <c r="M27" s="214">
        <v>750000</v>
      </c>
      <c r="N27" s="217">
        <v>170</v>
      </c>
      <c r="O27" s="218">
        <v>125</v>
      </c>
      <c r="P27" s="219">
        <f t="shared" si="46"/>
        <v>0</v>
      </c>
      <c r="Q27" s="2"/>
      <c r="R27" s="220">
        <f>INDEX('[2]Flat Rates 2023'!$A:$DZ,MATCH(T27,'[2]Flat Rates 2023'!$A:$A,0),MATCH(X27,'[2]Flat Rates 2023'!$A$1:$DZ$1,0))</f>
        <v>25.45</v>
      </c>
      <c r="S27" s="220">
        <f>INDEX(Control!$E$17:$O$21,MATCH(W27,Control!$E$17:$E$21,0),MATCH(T27,Control!$E$17:$O$17,0))</f>
        <v>0.5</v>
      </c>
      <c r="T27" s="220" t="s">
        <v>63</v>
      </c>
      <c r="U27" s="213">
        <f>INDEX(Vessel_Minimum_MT,MATCH(W27,Control!$E$11:$E$15,0),MATCH(T27,Control!$E$11:$O$11,0))</f>
        <v>270000</v>
      </c>
      <c r="V27" s="222">
        <f>Z27/$BD$17</f>
        <v>257419.90846681921</v>
      </c>
      <c r="W27" s="215" t="s">
        <v>25</v>
      </c>
      <c r="X27" s="223" t="s">
        <v>100</v>
      </c>
      <c r="Y27" s="212" t="str">
        <f>IF(X27=T27,"",CONCATENATE(CONCATENATE(VLOOKUP(T27,Zones,2,FALSE),"/",VLOOKUP(X27,Zones,2,FALSE))))</f>
        <v>Panama WC/KOREA</v>
      </c>
      <c r="Z27" s="214">
        <v>2000000</v>
      </c>
      <c r="AA27" s="214">
        <v>1001</v>
      </c>
      <c r="AB27" s="224">
        <v>2800000</v>
      </c>
      <c r="AC27" s="225">
        <f t="shared" si="47"/>
        <v>1.4</v>
      </c>
      <c r="AD27" s="226">
        <v>2</v>
      </c>
      <c r="AE27" s="214">
        <f>IF(INDEX(Index,MATCH(X27,TVM_PortList,0),MATCH("Type",Control!$Q$3:$U$3,0))="BL",INDEX(Index,MATCH(X27,TVM_PortList,0),MATCH("Payment",Control!$Q$3:$U$3,0))-INDEX(Index,MATCH(T27,TVM_PortList,0),MATCH("Payment",Control!$Q$3:$U$3,0)),AW27+INDEX(Index,MATCH(X27,TVM_PortList,0),MATCH("Payment",Control!$Q$3:$U$3,0))-INDEX(Index,MATCH(T27,TVM_PortList,0),MATCH("Payment",Control!$Q$3:$U$3,0)))</f>
        <v>41</v>
      </c>
      <c r="AF27" s="227">
        <f>AD27*VLOOKUP($W27,$BF$9:$BH$13,3,FALSE)/$Z27</f>
        <v>0.05</v>
      </c>
      <c r="AG27" s="227">
        <f t="shared" si="48"/>
        <v>0.11232876712328767</v>
      </c>
      <c r="AH27" s="227"/>
      <c r="AI27" s="227">
        <f>IF(G27="Corpus Christi",$BD$10,0)</f>
        <v>0</v>
      </c>
      <c r="AJ27" s="227">
        <v>0</v>
      </c>
      <c r="AK27" s="227">
        <f t="shared" si="49"/>
        <v>5.0000000000000001E-3</v>
      </c>
      <c r="AL27" s="227">
        <f t="shared" si="50"/>
        <v>6.7299999999999999E-2</v>
      </c>
      <c r="AM27" s="227">
        <f>IF(INDEX(Control!$Q$3:$S$62,MATCH($X27,Control!$Q$3:$Q$62,0),MATCH(AM$8,Control!$Q$3:$S$3,0))=1,$BD$14*$BE$14,0)</f>
        <v>0.11</v>
      </c>
      <c r="AN27" s="227" t="e">
        <f>IF(INDEX(Control!$Q$3:$S$62,MATCH($X27,Control!$Q$3:$Q$62,0),MATCH(AN$8,Control!$Q$3:$S$3,0))=1,$BD$15/$Z27,0)</f>
        <v>#N/A</v>
      </c>
      <c r="AO27" s="227">
        <f t="shared" si="51"/>
        <v>0</v>
      </c>
      <c r="AP27" s="227">
        <f>IF(AND(J27="Chiriqui Grande",T27="Puerto Armuelles"),$BG$18,0)</f>
        <v>0.55000000000000004</v>
      </c>
      <c r="AQ27" s="225" t="e">
        <f t="shared" si="52"/>
        <v>#N/A</v>
      </c>
      <c r="AR27" s="225" t="e">
        <f>+P27+AC27+AQ27</f>
        <v>#N/A</v>
      </c>
      <c r="AS27" s="225" t="e">
        <f t="shared" si="53"/>
        <v>#N/A</v>
      </c>
      <c r="AT27" s="225" t="e">
        <f>+IF($AQ$3=1,HLOOKUP(EOMONTH(AZ27,0),$AR$3:$AU$6,4,FALSE),IF($AQ$3=2,-HLOOKUP(EOMONTH(AZ27,0),$AR$3:$AU$6,3,FALSE),0))</f>
        <v>#N/A</v>
      </c>
      <c r="AU27" s="135" t="e">
        <f>$L$3+AR27+AS27+AT27</f>
        <v>#N/A</v>
      </c>
      <c r="AV27" s="220"/>
      <c r="AW27" s="229">
        <f>INDEX('[1]Transit Time'!$A:$DZ,MATCH(G27,'[1]Transit Time'!$A:$A,0),MATCH(J27,'[1]Transit Time'!$A$1:$DZ$1,0))+INDEX('[1]Transit Time'!$A:$DZ,MATCH(J27,'[1]Transit Time'!$A:$A,0),MATCH(T27,'[1]Transit Time'!$A$1:$DZ$1,0))+INDEX('[1]Transit Time'!$A:$DZ,MATCH(T27,'[1]Transit Time'!$A:$A,0),MATCH(X27,'[1]Transit Time'!$A$1:$DZ$1,0))</f>
        <v>46</v>
      </c>
      <c r="AX27" s="220"/>
      <c r="AY27" s="230">
        <f>IF(ISBLANK(A27),"",A27+$AW27)</f>
        <v>45077</v>
      </c>
      <c r="AZ27" s="230">
        <f>IFERROR(IF(ISBLANK(B27),"",B27+$AW27),"")</f>
        <v>45079</v>
      </c>
      <c r="BB27"/>
      <c r="BC27"/>
      <c r="BD27"/>
      <c r="BE27"/>
      <c r="BF27"/>
      <c r="BG27"/>
      <c r="BH27"/>
      <c r="BI27"/>
      <c r="BJ27"/>
      <c r="BK27"/>
    </row>
    <row r="28" spans="1:63" ht="17.25" customHeight="1" thickBot="1" x14ac:dyDescent="0.5">
      <c r="A28"/>
      <c r="B28"/>
      <c r="D28" s="1053"/>
      <c r="E28" s="1054"/>
      <c r="F28" s="1054"/>
      <c r="G28" s="1054"/>
      <c r="H28" s="1054"/>
      <c r="I28" s="1054"/>
      <c r="J28" s="1054"/>
      <c r="K28" s="1054"/>
      <c r="L28" s="1054"/>
      <c r="M28" s="1054"/>
      <c r="N28" s="1054"/>
      <c r="O28" s="1054"/>
      <c r="P28" s="1055"/>
      <c r="Q28" s="2"/>
      <c r="R28" s="9"/>
      <c r="S28" s="9"/>
      <c r="T28" s="9"/>
      <c r="U28" s="129"/>
      <c r="V28" s="9"/>
      <c r="W28" s="1053" t="s">
        <v>168</v>
      </c>
      <c r="X28" s="1054"/>
      <c r="Y28" s="1054"/>
      <c r="Z28" s="1054"/>
      <c r="AA28" s="1054"/>
      <c r="AB28" s="1054"/>
      <c r="AC28" s="1054"/>
      <c r="AD28" s="1054"/>
      <c r="AE28" s="1054"/>
      <c r="AF28" s="1054"/>
      <c r="AG28" s="1054"/>
      <c r="AH28" s="1054"/>
      <c r="AI28" s="1054"/>
      <c r="AJ28" s="1054"/>
      <c r="AK28" s="1054"/>
      <c r="AL28" s="1054"/>
      <c r="AM28" s="1054"/>
      <c r="AN28" s="1054"/>
      <c r="AO28" s="1054"/>
      <c r="AP28" s="1054"/>
      <c r="AQ28" s="1054"/>
      <c r="AR28" s="1054"/>
      <c r="AS28" s="1054"/>
      <c r="AT28" s="1054"/>
      <c r="AU28" s="1055"/>
      <c r="AW28"/>
      <c r="AY28"/>
      <c r="AZ28"/>
      <c r="BB28"/>
      <c r="BC28" s="76"/>
      <c r="BD28"/>
      <c r="BE28"/>
      <c r="BF28"/>
      <c r="BG28"/>
      <c r="BH28"/>
      <c r="BI28"/>
      <c r="BJ28"/>
      <c r="BK28"/>
    </row>
    <row r="29" spans="1:63" ht="29.5" customHeight="1" x14ac:dyDescent="0.35">
      <c r="A29" s="1005" t="s">
        <v>167</v>
      </c>
      <c r="B29" s="1005"/>
      <c r="D29" s="120" t="s">
        <v>276</v>
      </c>
      <c r="E29" s="152" t="s">
        <v>172</v>
      </c>
      <c r="F29" s="152" t="s">
        <v>2</v>
      </c>
      <c r="G29" s="152" t="s">
        <v>173</v>
      </c>
      <c r="H29" s="152" t="s">
        <v>174</v>
      </c>
      <c r="I29" s="125" t="s">
        <v>175</v>
      </c>
      <c r="J29" s="152" t="s">
        <v>177</v>
      </c>
      <c r="K29" s="152" t="s">
        <v>178</v>
      </c>
      <c r="L29" s="122" t="s">
        <v>176</v>
      </c>
      <c r="M29" s="120" t="s">
        <v>200</v>
      </c>
      <c r="N29" s="120" t="s">
        <v>277</v>
      </c>
      <c r="O29" s="121" t="s">
        <v>202</v>
      </c>
      <c r="P29" s="123" t="s">
        <v>278</v>
      </c>
      <c r="Q29" s="2"/>
      <c r="R29" s="120" t="s">
        <v>172</v>
      </c>
      <c r="S29" s="120" t="e">
        <f>INDEX(Control!$E$17:$J$21,MATCH(W29,Control!$E$17:$E$21,0),MATCH(T29,Control!$E$17:$J$17,0))</f>
        <v>#N/A</v>
      </c>
      <c r="T29" s="120" t="s">
        <v>173</v>
      </c>
      <c r="U29" s="152" t="str">
        <f>$U$8</f>
        <v>Vessel MT</v>
      </c>
      <c r="V29" s="120" t="s">
        <v>175</v>
      </c>
      <c r="W29" s="120" t="s">
        <v>176</v>
      </c>
      <c r="X29" s="120" t="s">
        <v>177</v>
      </c>
      <c r="Y29" s="120" t="s">
        <v>178</v>
      </c>
      <c r="Z29" s="120" t="s">
        <v>200</v>
      </c>
      <c r="AA29" s="146" t="s">
        <v>201</v>
      </c>
      <c r="AB29" s="128" t="s">
        <v>202</v>
      </c>
      <c r="AC29" s="150" t="s">
        <v>182</v>
      </c>
      <c r="AD29" s="136" t="s">
        <v>137</v>
      </c>
      <c r="AE29" s="146" t="s">
        <v>281</v>
      </c>
      <c r="AF29" s="136" t="s">
        <v>184</v>
      </c>
      <c r="AG29" s="136" t="s">
        <v>140</v>
      </c>
      <c r="AH29" s="136" t="str">
        <f>AH25</f>
        <v>STS</v>
      </c>
      <c r="AI29" s="136" t="s">
        <v>186</v>
      </c>
      <c r="AJ29" s="136" t="s">
        <v>187</v>
      </c>
      <c r="AK29" s="136" t="s">
        <v>141</v>
      </c>
      <c r="AL29" s="136" t="s">
        <v>188</v>
      </c>
      <c r="AM29" s="136" t="s">
        <v>17</v>
      </c>
      <c r="AN29" s="136" t="s">
        <v>207</v>
      </c>
      <c r="AO29" s="136" t="s">
        <v>189</v>
      </c>
      <c r="AP29" s="136" t="s">
        <v>152</v>
      </c>
      <c r="AQ29" s="150" t="s">
        <v>208</v>
      </c>
      <c r="AR29" s="150" t="s">
        <v>209</v>
      </c>
      <c r="AS29" s="150" t="s">
        <v>210</v>
      </c>
      <c r="AT29" s="150" t="str">
        <f>AT25</f>
        <v>Basis</v>
      </c>
      <c r="AU29" s="137" t="s">
        <v>211</v>
      </c>
      <c r="AW29" s="137" t="s">
        <v>195</v>
      </c>
      <c r="AY29" s="1011" t="s">
        <v>196</v>
      </c>
      <c r="AZ29" s="1005"/>
      <c r="BB29"/>
      <c r="BC29"/>
      <c r="BD29"/>
      <c r="BE29"/>
      <c r="BF29"/>
      <c r="BG29"/>
      <c r="BH29"/>
      <c r="BI29"/>
      <c r="BJ29"/>
      <c r="BK29"/>
    </row>
    <row r="30" spans="1:63" x14ac:dyDescent="0.35">
      <c r="A30" s="163">
        <f t="shared" ref="A30:A39" si="54">+$A$9</f>
        <v>45031</v>
      </c>
      <c r="B30" s="163">
        <f t="shared" ref="B30:B39" si="55">IF(ISBLANK(A30),"",A30+2)</f>
        <v>45033</v>
      </c>
      <c r="D30" s="170"/>
      <c r="E30" s="171">
        <f>IF(G30=J30,0,INDEX('[2]Flat Rates 2023'!$A:$DB,MATCH(G30,'[2]Flat Rates 2023'!$A:$A,0),MATCH(J30,'[2]Flat Rates 2023'!$A$1:$DB$1,0)))</f>
        <v>0</v>
      </c>
      <c r="F30" s="171">
        <f>INDEX(Control!$E$17:$J$21,MATCH(L30,Control!$E$17:$E$21,0),MATCH(G30,Control!$E$17:$J$17,0))</f>
        <v>0</v>
      </c>
      <c r="G30" s="171" t="s">
        <v>45</v>
      </c>
      <c r="H30" s="172">
        <f>INDEX(Vessel_Minimum_MT,MATCH(L30,Control!$E$11:$E$15,0),MATCH(G30,Control!$E$11:$J$11,0))</f>
        <v>70000</v>
      </c>
      <c r="I30" s="172">
        <f t="shared" ref="I30:I39" si="56">M30/$BD$17</f>
        <v>90096.96796338672</v>
      </c>
      <c r="J30" s="173" t="s">
        <v>45</v>
      </c>
      <c r="K30" s="171" t="str">
        <f t="shared" ref="K30:K39" si="57">IF(J30=G30,"",CONCATENATE(CONCATENATE(VLOOKUP(G30,Zones,2,FALSE),"/",VLOOKUP(J30,Zones,2,FALSE))))</f>
        <v/>
      </c>
      <c r="L30" s="174" t="s">
        <v>23</v>
      </c>
      <c r="M30" s="175">
        <v>700000</v>
      </c>
      <c r="N30" s="176">
        <v>0</v>
      </c>
      <c r="O30" s="177">
        <v>0</v>
      </c>
      <c r="P30" s="178">
        <f t="shared" ref="P30:P39" si="58">IF($G30="Esmeraldas",IF(N30&gt;1000,IF(O30=0,N30,O30)/M30*1.1,((H30*E30*(IF(O30=0,N30,O30)/100))+IF(I30&lt;H30,0,(I30-H30)*E30*IF(O30=0,N30,O30)/100*F30))/M30*1.1),IF(N30&gt;1000,IF(O30=0,N30,O30)/M30,((H30*E30*(IF(O30=0,N30,O30)/100))+IF(I30&lt;H30,0,(I30-H30)*E30*IF(O30=0,N30,O30)/100*F30)))/M30)</f>
        <v>0</v>
      </c>
      <c r="Q30" s="2"/>
      <c r="R30" s="138">
        <f>INDEX('[2]Flat Rates 2023'!$A:$DZ,MATCH(T30,'[2]Flat Rates 2023'!$A:$A,0),MATCH(X30,'[2]Flat Rates 2023'!$A$1:$DZ$1,0))</f>
        <v>0</v>
      </c>
      <c r="S30" s="138">
        <f>INDEX(Control!$E$17:$O$21,MATCH(W30,Control!$E$17:$E$21,0),MATCH(T30,Control!$E$17:$O$17,0))</f>
        <v>0</v>
      </c>
      <c r="T30" s="138" t="s">
        <v>104</v>
      </c>
      <c r="U30" s="116">
        <f>INDEX(Vessel_Minimum_MT,MATCH(W30,Control!$E$11:$E$15,0),MATCH(T30,Control!$E$11:$O$11,0))</f>
        <v>70000</v>
      </c>
      <c r="V30" s="140">
        <f t="shared" ref="V30:V39" si="59">Z30/$BD$17</f>
        <v>96532.465675057203</v>
      </c>
      <c r="W30" s="147" t="s">
        <v>23</v>
      </c>
      <c r="X30" s="164" t="s">
        <v>106</v>
      </c>
      <c r="Y30" s="142" t="str">
        <f t="shared" ref="Y30:Y39" si="60">IF(X30=T30,"",CONCATENATE(CONCATENATE(VLOOKUP(T30,Zones,2,FALSE),"/",VLOOKUP(X30,Zones,2,FALSE))))</f>
        <v>USGC/KOREA</v>
      </c>
      <c r="Z30" s="141">
        <v>750000</v>
      </c>
      <c r="AA30" s="141">
        <v>1001</v>
      </c>
      <c r="AB30" s="151">
        <v>3500000</v>
      </c>
      <c r="AC30" s="148">
        <f t="shared" ref="AC30:AC39" si="61">IF(AA30&gt;1000,IF(AB30=0,AA30,AB30)/Z30,((U30*R30*(IF(AB30=0,AA30,AB30)/100))+IF(V30&lt;U30,0,(V30-U30)*R30*IF(AB30=0,AA30,AB30)/100*S30))/Z30)</f>
        <v>4.666666666666667</v>
      </c>
      <c r="AD30" s="144"/>
      <c r="AE30" s="155">
        <f>IF(INDEX(Index,MATCH(X30,TVM_PortList,0),MATCH("Type",Control!$Q$3:$U$3,0))="BL",INDEX(Index,MATCH(X30,TVM_PortList,0),MATCH("Payment",Control!$Q$3:$U$3,0))-INDEX(Index,MATCH(T30,TVM_PortList,0),MATCH("Payment",Control!$Q$3:$U$3,0)),AW30+INDEX(Index,MATCH(X30,TVM_PortList,0),MATCH("Payment",Control!$Q$3:$U$3,0))-INDEX(Index,MATCH(T30,TVM_PortList,0),MATCH("Payment",Control!$Q$3:$U$3,0)))</f>
        <v>19</v>
      </c>
      <c r="AF30" s="143">
        <f t="shared" ref="AF30:AF39" si="62">AD30*VLOOKUP($W30,$BF$9:$BH$13,3,FALSE)/$Z30</f>
        <v>0</v>
      </c>
      <c r="AG30" s="143">
        <f t="shared" ref="AG30:AG39" si="63">IF(AE30&lt;0,0,$AE30*$BD$11)</f>
        <v>5.2054794520547946E-2</v>
      </c>
      <c r="AH30" s="143">
        <f t="shared" ref="AH30:AH39" si="64">IF(((Z30-VLOOKUP(W30,$BJ$10:$BK$14,2,FALSE))/$BD$18)&lt;=0,0,ROUNDUP(((Z30-VLOOKUP(W30,$BJ$10:$BK$14,2,FALSE))/$BD$18),0)*$BH$15/Z30)</f>
        <v>0</v>
      </c>
      <c r="AI30" s="143">
        <f t="shared" ref="AI30:AI39" si="65">IF(G30="Corpus Christi",$BD$10,0)</f>
        <v>0</v>
      </c>
      <c r="AJ30" s="143">
        <v>0</v>
      </c>
      <c r="AK30" s="143">
        <f t="shared" ref="AK30:AK39" si="66">$BD$12</f>
        <v>5.0000000000000001E-3</v>
      </c>
      <c r="AL30" s="143">
        <f t="shared" ref="AL30:AL39" si="67">$BD$13</f>
        <v>6.7299999999999999E-2</v>
      </c>
      <c r="AM30" s="143">
        <f>IF(INDEX(Control!$Q$3:$S$62,MATCH($X30,Control!$Q$3:$Q$62,0),MATCH(AM$8,Control!$Q$3:$S$3,0))=1,$BD$14*$BE$14,0)</f>
        <v>0.11</v>
      </c>
      <c r="AN30" s="143" t="e">
        <f>IF(INDEX(Control!$Q$3:$S$62,MATCH($X30,Control!$Q$3:$Q$62,0),MATCH(AN$8,Control!$Q$3:$S$3,0))=1,$BD$15/$Z30,0)</f>
        <v>#N/A</v>
      </c>
      <c r="AO30" s="143">
        <f t="shared" ref="AO30:AO39" si="68">$BD$16</f>
        <v>0</v>
      </c>
      <c r="AP30" s="143">
        <f t="shared" ref="AP30:AP39" si="69">IF(AND(J30="Chiriqui Grande",T30="Puerto Armuelles"),$BG$18,0)</f>
        <v>0</v>
      </c>
      <c r="AQ30" s="149" t="e">
        <f t="shared" ref="AQ30:AQ35" si="70">SUM(AF30:AP30)</f>
        <v>#N/A</v>
      </c>
      <c r="AR30" s="149" t="e">
        <f t="shared" ref="AR30:AR39" si="71">+P30+AC30+AQ30</f>
        <v>#N/A</v>
      </c>
      <c r="AS30" s="149" t="e">
        <f t="shared" ref="AS30:AS37" si="72">IF(MONTH(A30)=MONTH(AZ30),0,IF(MONTH(AZ30)-MONTH(A30)&gt;1,VLOOKUP("Spreads",$AQ$3:$AU$4,MATCH(EOMONTH(AZ30,0),$AQ$3:$AU$3,0),FALSE)+VLOOKUP("Spreads",$AQ$3:$AU$4,MATCH(EOMONTH(AZ30,-1),$AQ$3:$AU$3,0),FALSE),VLOOKUP("Spreads",$AQ$3:$AU$4,MATCH(EOMONTH(AZ30,0),$AQ$3:$AU$3,0))))</f>
        <v>#N/A</v>
      </c>
      <c r="AT30" s="149" t="e">
        <f t="shared" ref="AT30:AT39" si="73">+IF($AQ$3=1,HLOOKUP(EOMONTH(AZ30,0),$AR$3:$AU$6,4,FALSE),IF($AQ$3=2,-HLOOKUP(EOMONTH(AZ30,0),$AR$3:$AU$6,3,FALSE),0))</f>
        <v>#N/A</v>
      </c>
      <c r="AU30" s="110" t="e">
        <f t="shared" ref="AU30:AU39" si="74">$L$3+AR30+AS30+AT30</f>
        <v>#N/A</v>
      </c>
      <c r="AW30" s="153">
        <v>39</v>
      </c>
      <c r="AY30" s="163">
        <f t="shared" ref="AY30:AY39" si="75">IF(ISBLANK(A30),"",A30+$AW30)</f>
        <v>45070</v>
      </c>
      <c r="AZ30" s="163">
        <f t="shared" ref="AZ30:AZ38" si="76">IFERROR(IF(ISBLANK(B30),"",B30+$AW30),"")</f>
        <v>45072</v>
      </c>
      <c r="BB30"/>
      <c r="BC30" s="308"/>
      <c r="BD30" s="308"/>
      <c r="BE30"/>
      <c r="BF30"/>
      <c r="BG30"/>
      <c r="BH30"/>
      <c r="BI30"/>
      <c r="BJ30"/>
      <c r="BK30"/>
    </row>
    <row r="31" spans="1:63" x14ac:dyDescent="0.35">
      <c r="A31" s="230">
        <f t="shared" si="54"/>
        <v>45031</v>
      </c>
      <c r="B31" s="230">
        <f t="shared" si="55"/>
        <v>45033</v>
      </c>
      <c r="D31" s="232"/>
      <c r="E31" s="233">
        <f>IF(G31=J31,0,INDEX('[2]Flat Rates 2023'!$A:$DB,MATCH(G31,'[2]Flat Rates 2023'!$A:$A,0),MATCH(J31,'[2]Flat Rates 2023'!$A$1:$DB$1,0)))</f>
        <v>0</v>
      </c>
      <c r="F31" s="233">
        <f>INDEX(Control!$E$17:$J$21,MATCH(L31,Control!$E$17:$E$21,0),MATCH(G31,Control!$E$17:$J$17,0))</f>
        <v>0</v>
      </c>
      <c r="G31" s="233" t="s">
        <v>45</v>
      </c>
      <c r="H31" s="234">
        <f>INDEX(Vessel_Minimum_MT,MATCH(L31,Control!$E$11:$E$15,0),MATCH(G31,Control!$E$11:$J$11,0))</f>
        <v>70000</v>
      </c>
      <c r="I31" s="235">
        <f t="shared" si="56"/>
        <v>90096.96796338672</v>
      </c>
      <c r="J31" s="233" t="s">
        <v>45</v>
      </c>
      <c r="K31" s="233" t="str">
        <f t="shared" si="57"/>
        <v/>
      </c>
      <c r="L31" s="236" t="s">
        <v>23</v>
      </c>
      <c r="M31" s="235">
        <v>700000</v>
      </c>
      <c r="N31" s="237">
        <v>0</v>
      </c>
      <c r="O31" s="238">
        <v>0</v>
      </c>
      <c r="P31" s="239">
        <f t="shared" si="58"/>
        <v>0</v>
      </c>
      <c r="Q31" s="2"/>
      <c r="R31" s="220">
        <f>INDEX('[2]Flat Rates 2023'!$A:$DZ,MATCH(T31,'[2]Flat Rates 2023'!$A:$A,0),MATCH(X31,'[2]Flat Rates 2023'!$A$1:$DZ$1,0))</f>
        <v>0</v>
      </c>
      <c r="S31" s="220">
        <f>INDEX(Control!$E$17:$O$21,MATCH(W31,Control!$E$17:$E$21,0),MATCH(T31,Control!$E$17:$O$17,0))</f>
        <v>0.5</v>
      </c>
      <c r="T31" s="220" t="s">
        <v>104</v>
      </c>
      <c r="U31" s="213">
        <f>INDEX(Vessel_Minimum_MT,MATCH(W31,Control!$E$11:$E$15,0),MATCH(T31,Control!$E$11:$O$11,0))</f>
        <v>270000</v>
      </c>
      <c r="V31" s="222">
        <f t="shared" si="59"/>
        <v>257419.90846681921</v>
      </c>
      <c r="W31" s="215" t="s">
        <v>25</v>
      </c>
      <c r="X31" s="223" t="s">
        <v>100</v>
      </c>
      <c r="Y31" s="212" t="str">
        <f t="shared" si="60"/>
        <v>USGC/KOREA</v>
      </c>
      <c r="Z31" s="214">
        <f>$Z$35</f>
        <v>2000000</v>
      </c>
      <c r="AA31" s="214">
        <v>1001</v>
      </c>
      <c r="AB31" s="224">
        <f>AB35</f>
        <v>54650000</v>
      </c>
      <c r="AC31" s="225">
        <f t="shared" si="61"/>
        <v>27.324999999999999</v>
      </c>
      <c r="AD31" s="226">
        <v>5</v>
      </c>
      <c r="AE31" s="214">
        <f>IF(INDEX(Index,MATCH(X31,TVM_PortList,0),MATCH("Type",Control!$Q$3:$U$3,0))="BL",INDEX(Index,MATCH(X31,TVM_PortList,0),MATCH("Payment",Control!$Q$3:$U$3,0))-INDEX(Index,MATCH(T31,TVM_PortList,0),MATCH("Payment",Control!$Q$3:$U$3,0)),AW31+INDEX(Index,MATCH(X31,TVM_PortList,0),MATCH("Payment",Control!$Q$3:$U$3,0))-INDEX(Index,MATCH(T31,TVM_PortList,0),MATCH("Payment",Control!$Q$3:$U$3,0)))</f>
        <v>30</v>
      </c>
      <c r="AF31" s="227">
        <f t="shared" si="62"/>
        <v>0.125</v>
      </c>
      <c r="AG31" s="227">
        <f t="shared" si="63"/>
        <v>8.2191780821917804E-2</v>
      </c>
      <c r="AH31" s="227">
        <f t="shared" si="64"/>
        <v>0</v>
      </c>
      <c r="AI31" s="227">
        <f t="shared" si="65"/>
        <v>0</v>
      </c>
      <c r="AJ31" s="227">
        <v>0</v>
      </c>
      <c r="AK31" s="227">
        <f t="shared" si="66"/>
        <v>5.0000000000000001E-3</v>
      </c>
      <c r="AL31" s="227">
        <f t="shared" si="67"/>
        <v>6.7299999999999999E-2</v>
      </c>
      <c r="AM31" s="227">
        <f>IF(INDEX(Control!$Q$3:$S$62,MATCH($X31,Control!$Q$3:$Q$62,0),MATCH(AM$8,Control!$Q$3:$S$3,0))=1,$BD$14*$BE$14,0)</f>
        <v>0.11</v>
      </c>
      <c r="AN31" s="227" t="e">
        <f>IF(INDEX(Control!$Q$3:$S$62,MATCH($X31,Control!$Q$3:$Q$62,0),MATCH(AN$8,Control!$Q$3:$S$3,0))=1,$BD$15/$Z31,0)</f>
        <v>#N/A</v>
      </c>
      <c r="AO31" s="227">
        <f t="shared" si="68"/>
        <v>0</v>
      </c>
      <c r="AP31" s="227">
        <f t="shared" si="69"/>
        <v>0</v>
      </c>
      <c r="AQ31" s="225" t="e">
        <f t="shared" si="70"/>
        <v>#N/A</v>
      </c>
      <c r="AR31" s="225" t="e">
        <f t="shared" si="71"/>
        <v>#N/A</v>
      </c>
      <c r="AS31" s="225" t="e">
        <f t="shared" si="72"/>
        <v>#N/A</v>
      </c>
      <c r="AT31" s="225" t="e">
        <f t="shared" si="73"/>
        <v>#N/A</v>
      </c>
      <c r="AU31" s="135" t="e">
        <f t="shared" si="74"/>
        <v>#N/A</v>
      </c>
      <c r="AV31" s="220"/>
      <c r="AW31" s="229">
        <f>INDEX('[1]Transit Time'!$A:$DZ,MATCH(G31,'[1]Transit Time'!$A:$A,0),MATCH(J31,'[1]Transit Time'!$A$1:$DZ$1,0))+INDEX('[1]Transit Time'!$A:$DZ,MATCH(J31,'[1]Transit Time'!$A:$A,0),MATCH(T31,'[1]Transit Time'!$A$1:$DZ$1,0))+INDEX('[1]Transit Time'!$A:$DZ,MATCH(T31,'[1]Transit Time'!$A:$A,0),MATCH(X31,'[1]Transit Time'!$A$1:$DZ$1,0))</f>
        <v>50</v>
      </c>
      <c r="AX31" s="220"/>
      <c r="AY31" s="230">
        <f t="shared" si="75"/>
        <v>45081</v>
      </c>
      <c r="AZ31" s="209">
        <f t="shared" si="76"/>
        <v>45083</v>
      </c>
      <c r="BB31"/>
      <c r="BC31" s="308"/>
      <c r="BD31" s="308"/>
      <c r="BE31"/>
      <c r="BF31"/>
      <c r="BG31"/>
      <c r="BH31"/>
      <c r="BI31"/>
      <c r="BJ31"/>
      <c r="BK31"/>
    </row>
    <row r="32" spans="1:63" x14ac:dyDescent="0.35">
      <c r="A32" s="163">
        <f t="shared" si="54"/>
        <v>45031</v>
      </c>
      <c r="B32" s="163">
        <f t="shared" si="55"/>
        <v>45033</v>
      </c>
      <c r="D32" s="170"/>
      <c r="E32" s="173">
        <f>IF(G32=J32,0,INDEX('[2]Flat Rates 2023'!$A:$DB,MATCH(G32,'[2]Flat Rates 2023'!$A:$A,0),MATCH(J32,'[2]Flat Rates 2023'!$A$1:$DB$1,0)))</f>
        <v>0</v>
      </c>
      <c r="F32" s="173">
        <f>INDEX(Control!$E$17:$J$21,MATCH(L32,Control!$E$17:$E$21,0),MATCH(G32,Control!$E$17:$J$17,0))</f>
        <v>0</v>
      </c>
      <c r="G32" s="173" t="str">
        <f t="shared" ref="G32:G39" si="77">$G$9</f>
        <v>Corpus Christi</v>
      </c>
      <c r="H32" s="172">
        <f>INDEX(Vessel_Minimum_MT,MATCH(L32,Control!$E$11:$E$15,0),MATCH(G32,Control!$E$11:$J$11,0))</f>
        <v>70000</v>
      </c>
      <c r="I32" s="175">
        <f t="shared" si="56"/>
        <v>90096.96796338672</v>
      </c>
      <c r="J32" s="173" t="s">
        <v>45</v>
      </c>
      <c r="K32" s="173" t="str">
        <f t="shared" si="57"/>
        <v/>
      </c>
      <c r="L32" s="174" t="s">
        <v>23</v>
      </c>
      <c r="M32" s="175">
        <v>700000</v>
      </c>
      <c r="N32" s="179">
        <v>0</v>
      </c>
      <c r="O32" s="180">
        <v>0</v>
      </c>
      <c r="P32" s="178">
        <f t="shared" si="58"/>
        <v>0</v>
      </c>
      <c r="Q32" s="2"/>
      <c r="R32" s="138">
        <f>INDEX('[2]Flat Rates 2023'!$A:$DZ,MATCH(T32,'[2]Flat Rates 2023'!$A:$A,0),MATCH(X32,'[2]Flat Rates 2023'!$A$1:$DZ$1,0))</f>
        <v>0</v>
      </c>
      <c r="S32" s="138">
        <f>INDEX(Control!$E$17:$O$21,MATCH(W32,Control!$E$17:$E$21,0),MATCH(T32,Control!$E$17:$O$17,0))</f>
        <v>0.5</v>
      </c>
      <c r="T32" s="138" t="s">
        <v>104</v>
      </c>
      <c r="U32" s="116">
        <f>INDEX(Vessel_Minimum_MT,MATCH(W32,Control!$E$11:$E$15,0),MATCH(T32,Control!$E$11:$O$11,0))</f>
        <v>145000</v>
      </c>
      <c r="V32" s="140">
        <f t="shared" si="59"/>
        <v>128709.9542334096</v>
      </c>
      <c r="W32" s="147" t="s">
        <v>24</v>
      </c>
      <c r="X32" s="164" t="s">
        <v>51</v>
      </c>
      <c r="Y32" s="142" t="str">
        <f t="shared" si="60"/>
        <v>USGC/JAPAN</v>
      </c>
      <c r="Z32" s="141">
        <v>1000000</v>
      </c>
      <c r="AA32" s="141">
        <v>1001</v>
      </c>
      <c r="AB32" s="49">
        <f>AB34</f>
        <v>54000000</v>
      </c>
      <c r="AC32" s="149">
        <f t="shared" si="61"/>
        <v>54</v>
      </c>
      <c r="AD32" s="144">
        <v>5</v>
      </c>
      <c r="AE32" s="141">
        <f>IF(INDEX(Index,MATCH(X32,TVM_PortList,0),MATCH("Type",Control!$Q$3:$U$3,0))="BL",INDEX(Index,MATCH(X32,TVM_PortList,0),MATCH("Payment",Control!$Q$3:$U$3,0))-INDEX(Index,MATCH(T32,TVM_PortList,0),MATCH("Payment",Control!$Q$3:$U$3,0)),AW32+INDEX(Index,MATCH(X32,TVM_PortList,0),MATCH("Payment",Control!$Q$3:$U$3,0))-INDEX(Index,MATCH(T32,TVM_PortList,0),MATCH("Payment",Control!$Q$3:$U$3,0)))</f>
        <v>32</v>
      </c>
      <c r="AF32" s="143">
        <f t="shared" si="62"/>
        <v>0.2</v>
      </c>
      <c r="AG32" s="143">
        <f t="shared" si="63"/>
        <v>8.7671232876712329E-2</v>
      </c>
      <c r="AH32" s="143">
        <f t="shared" si="64"/>
        <v>0</v>
      </c>
      <c r="AI32" s="143">
        <f t="shared" si="65"/>
        <v>0</v>
      </c>
      <c r="AJ32" s="143">
        <v>0</v>
      </c>
      <c r="AK32" s="143">
        <f t="shared" si="66"/>
        <v>5.0000000000000001E-3</v>
      </c>
      <c r="AL32" s="143">
        <f t="shared" si="67"/>
        <v>6.7299999999999999E-2</v>
      </c>
      <c r="AM32" s="143">
        <f>IF(INDEX(Control!$Q$3:$S$62,MATCH($X32,Control!$Q$3:$Q$62,0),MATCH(AM$8,Control!$Q$3:$S$3,0))=1,$BD$14*$BE$14,0)</f>
        <v>0.11</v>
      </c>
      <c r="AN32" s="143" t="e">
        <f>IF(INDEX(Control!$Q$3:$S$62,MATCH($X32,Control!$Q$3:$Q$62,0),MATCH(AN$8,Control!$Q$3:$S$3,0))=1,$BD$15/$Z32,0)</f>
        <v>#N/A</v>
      </c>
      <c r="AO32" s="143">
        <f t="shared" si="68"/>
        <v>0</v>
      </c>
      <c r="AP32" s="143">
        <f t="shared" si="69"/>
        <v>0</v>
      </c>
      <c r="AQ32" s="149" t="e">
        <f t="shared" si="70"/>
        <v>#N/A</v>
      </c>
      <c r="AR32" s="200" t="e">
        <f t="shared" si="71"/>
        <v>#N/A</v>
      </c>
      <c r="AS32" s="149" t="e">
        <f t="shared" si="72"/>
        <v>#N/A</v>
      </c>
      <c r="AT32" s="149" t="e">
        <f t="shared" si="73"/>
        <v>#N/A</v>
      </c>
      <c r="AU32" s="145" t="e">
        <f t="shared" si="74"/>
        <v>#N/A</v>
      </c>
      <c r="AW32" s="153">
        <f>INDEX('[1]Transit Time'!$A:$DZ,MATCH(G32,'[1]Transit Time'!$A:$A,0),MATCH(J32,'[1]Transit Time'!$A$1:$DZ$1,0))+INDEX('[1]Transit Time'!$A:$DZ,MATCH(J32,'[1]Transit Time'!$A:$A,0),MATCH(T32,'[1]Transit Time'!$A$1:$DZ$1,0))+INDEX('[1]Transit Time'!$A:$DZ,MATCH(T32,'[1]Transit Time'!$A:$A,0),MATCH(X32,'[1]Transit Time'!$A$1:$DZ$1,0))</f>
        <v>52</v>
      </c>
      <c r="AY32" s="163">
        <f t="shared" si="75"/>
        <v>45083</v>
      </c>
      <c r="AZ32" s="163">
        <f t="shared" si="76"/>
        <v>45085</v>
      </c>
      <c r="BB32"/>
      <c r="BC32"/>
      <c r="BD32"/>
      <c r="BE32"/>
      <c r="BF32"/>
      <c r="BG32"/>
      <c r="BH32"/>
      <c r="BI32"/>
      <c r="BJ32"/>
      <c r="BK32"/>
    </row>
    <row r="33" spans="1:63" ht="16" thickBot="1" x14ac:dyDescent="0.4">
      <c r="A33" s="230">
        <f t="shared" si="54"/>
        <v>45031</v>
      </c>
      <c r="B33" s="230">
        <f t="shared" si="55"/>
        <v>45033</v>
      </c>
      <c r="D33" s="232"/>
      <c r="E33" s="233">
        <f>IF(G33=J33,0,INDEX('[2]Flat Rates 2023'!$A:$DB,MATCH(G33,'[2]Flat Rates 2023'!$A:$A,0),MATCH(J33,'[2]Flat Rates 2023'!$A$1:$DB$1,0)))</f>
        <v>0</v>
      </c>
      <c r="F33" s="233">
        <f>INDEX(Control!$E$17:$J$21,MATCH(L33,Control!$E$17:$E$21,0),MATCH(G33,Control!$E$17:$J$17,0))</f>
        <v>0</v>
      </c>
      <c r="G33" s="233" t="str">
        <f t="shared" si="77"/>
        <v>Corpus Christi</v>
      </c>
      <c r="H33" s="234">
        <f>INDEX(Vessel_Minimum_MT,MATCH(L33,Control!$E$11:$E$15,0),MATCH(G33,Control!$E$11:$J$11,0))</f>
        <v>70000</v>
      </c>
      <c r="I33" s="235">
        <f t="shared" si="56"/>
        <v>90096.96796338672</v>
      </c>
      <c r="J33" s="233" t="s">
        <v>45</v>
      </c>
      <c r="K33" s="233" t="str">
        <f t="shared" si="57"/>
        <v/>
      </c>
      <c r="L33" s="236" t="s">
        <v>23</v>
      </c>
      <c r="M33" s="235">
        <v>700000</v>
      </c>
      <c r="N33" s="237">
        <v>0</v>
      </c>
      <c r="O33" s="238">
        <v>0</v>
      </c>
      <c r="P33" s="239">
        <f t="shared" si="58"/>
        <v>0</v>
      </c>
      <c r="Q33" s="2"/>
      <c r="R33" s="220">
        <f>INDEX('[2]Flat Rates 2023'!$A:$DZ,MATCH(T33,'[2]Flat Rates 2023'!$A:$A,0),MATCH(X33,'[2]Flat Rates 2023'!$A$1:$DZ$1,0))</f>
        <v>0</v>
      </c>
      <c r="S33" s="220">
        <f>INDEX(Control!$E$17:$O$21,MATCH(W33,Control!$E$17:$E$21,0),MATCH(T33,Control!$E$17:$O$17,0))</f>
        <v>0.5</v>
      </c>
      <c r="T33" s="220" t="s">
        <v>104</v>
      </c>
      <c r="U33" s="213">
        <f>INDEX(Vessel_Minimum_MT,MATCH(W33,Control!$E$11:$E$15,0),MATCH(T33,Control!$E$11:$O$11,0))</f>
        <v>270000</v>
      </c>
      <c r="V33" s="222">
        <f t="shared" si="59"/>
        <v>257419.90846681921</v>
      </c>
      <c r="W33" s="215" t="s">
        <v>25</v>
      </c>
      <c r="X33" s="223" t="s">
        <v>51</v>
      </c>
      <c r="Y33" s="212" t="str">
        <f t="shared" si="60"/>
        <v>USGC/JAPAN</v>
      </c>
      <c r="Z33" s="214">
        <f>$Z$35</f>
        <v>2000000</v>
      </c>
      <c r="AA33" s="214">
        <v>1001</v>
      </c>
      <c r="AB33" s="264">
        <f>AB35</f>
        <v>54650000</v>
      </c>
      <c r="AC33" s="225">
        <f t="shared" si="61"/>
        <v>27.324999999999999</v>
      </c>
      <c r="AD33" s="226">
        <v>5</v>
      </c>
      <c r="AE33" s="214">
        <f>IF(INDEX(Index,MATCH(X33,TVM_PortList,0),MATCH("Type",Control!$Q$3:$U$3,0))="BL",INDEX(Index,MATCH(X33,TVM_PortList,0),MATCH("Payment",Control!$Q$3:$U$3,0))-INDEX(Index,MATCH(T33,TVM_PortList,0),MATCH("Payment",Control!$Q$3:$U$3,0)),AW33+INDEX(Index,MATCH(X33,TVM_PortList,0),MATCH("Payment",Control!$Q$3:$U$3,0))-INDEX(Index,MATCH(T33,TVM_PortList,0),MATCH("Payment",Control!$Q$3:$U$3,0)))</f>
        <v>32</v>
      </c>
      <c r="AF33" s="227">
        <f t="shared" si="62"/>
        <v>0.125</v>
      </c>
      <c r="AG33" s="227">
        <f t="shared" si="63"/>
        <v>8.7671232876712329E-2</v>
      </c>
      <c r="AH33" s="227">
        <f t="shared" si="64"/>
        <v>0</v>
      </c>
      <c r="AI33" s="227">
        <f t="shared" si="65"/>
        <v>0</v>
      </c>
      <c r="AJ33" s="227">
        <v>0</v>
      </c>
      <c r="AK33" s="227">
        <f t="shared" si="66"/>
        <v>5.0000000000000001E-3</v>
      </c>
      <c r="AL33" s="227">
        <f t="shared" si="67"/>
        <v>6.7299999999999999E-2</v>
      </c>
      <c r="AM33" s="227">
        <f>IF(INDEX(Control!$Q$3:$S$62,MATCH($X33,Control!$Q$3:$Q$62,0),MATCH(AM$8,Control!$Q$3:$S$3,0))=1,$BD$14*$BE$14,0)</f>
        <v>0.11</v>
      </c>
      <c r="AN33" s="227" t="e">
        <f>IF(INDEX(Control!$Q$3:$S$62,MATCH($X33,Control!$Q$3:$Q$62,0),MATCH(AN$8,Control!$Q$3:$S$3,0))=1,$BD$15/$Z33,0)</f>
        <v>#N/A</v>
      </c>
      <c r="AO33" s="227">
        <f t="shared" si="68"/>
        <v>0</v>
      </c>
      <c r="AP33" s="227">
        <f t="shared" si="69"/>
        <v>0</v>
      </c>
      <c r="AQ33" s="225" t="e">
        <f t="shared" si="70"/>
        <v>#N/A</v>
      </c>
      <c r="AR33" s="225" t="e">
        <f t="shared" si="71"/>
        <v>#N/A</v>
      </c>
      <c r="AS33" s="225" t="e">
        <f t="shared" si="72"/>
        <v>#N/A</v>
      </c>
      <c r="AT33" s="225" t="e">
        <f t="shared" si="73"/>
        <v>#N/A</v>
      </c>
      <c r="AU33" s="135" t="e">
        <f t="shared" si="74"/>
        <v>#N/A</v>
      </c>
      <c r="AV33" s="220"/>
      <c r="AW33" s="229">
        <f>INDEX('[1]Transit Time'!$A:$DZ,MATCH(G33,'[1]Transit Time'!$A:$A,0),MATCH(J33,'[1]Transit Time'!$A$1:$DZ$1,0))+INDEX('[1]Transit Time'!$A:$DZ,MATCH(J33,'[1]Transit Time'!$A:$A,0),MATCH(T33,'[1]Transit Time'!$A$1:$DZ$1,0))+INDEX('[1]Transit Time'!$A:$DZ,MATCH(T33,'[1]Transit Time'!$A:$A,0),MATCH(X33,'[1]Transit Time'!$A$1:$DZ$1,0))</f>
        <v>52</v>
      </c>
      <c r="AX33" s="220"/>
      <c r="AY33" s="230">
        <f t="shared" si="75"/>
        <v>45083</v>
      </c>
      <c r="AZ33" s="230">
        <f t="shared" si="76"/>
        <v>45085</v>
      </c>
      <c r="BB33"/>
      <c r="BC33"/>
      <c r="BD33"/>
      <c r="BE33"/>
      <c r="BF33"/>
      <c r="BG33"/>
      <c r="BH33"/>
      <c r="BI33"/>
      <c r="BJ33"/>
      <c r="BK33"/>
    </row>
    <row r="34" spans="1:63" ht="16" thickBot="1" x14ac:dyDescent="0.4">
      <c r="A34" s="163">
        <f t="shared" si="54"/>
        <v>45031</v>
      </c>
      <c r="B34" s="163">
        <f t="shared" si="55"/>
        <v>45033</v>
      </c>
      <c r="D34" s="170"/>
      <c r="E34" s="173">
        <f>IF(G34=J34,0,INDEX('[2]Flat Rates 2023'!$A:$DB,MATCH(G34,'[2]Flat Rates 2023'!$A:$A,0),MATCH(J34,'[2]Flat Rates 2023'!$A$1:$DB$1,0)))</f>
        <v>0</v>
      </c>
      <c r="F34" s="173">
        <f>INDEX(Control!$E$17:$J$21,MATCH(L34,Control!$E$17:$E$21,0),MATCH(G34,Control!$E$17:$J$17,0))</f>
        <v>0</v>
      </c>
      <c r="G34" s="173" t="str">
        <f t="shared" si="77"/>
        <v>Corpus Christi</v>
      </c>
      <c r="H34" s="172">
        <f>INDEX(Vessel_Minimum_MT,MATCH(L34,Control!$E$11:$E$15,0),MATCH(G34,Control!$E$11:$J$11,0))</f>
        <v>70000</v>
      </c>
      <c r="I34" s="175">
        <f t="shared" si="56"/>
        <v>90096.96796338672</v>
      </c>
      <c r="J34" s="173" t="s">
        <v>45</v>
      </c>
      <c r="K34" s="173" t="str">
        <f t="shared" si="57"/>
        <v/>
      </c>
      <c r="L34" s="174" t="s">
        <v>23</v>
      </c>
      <c r="M34" s="175">
        <v>700000</v>
      </c>
      <c r="N34" s="179">
        <v>0</v>
      </c>
      <c r="O34" s="180">
        <v>0</v>
      </c>
      <c r="P34" s="178">
        <f t="shared" si="58"/>
        <v>0</v>
      </c>
      <c r="Q34" s="2"/>
      <c r="R34" s="138">
        <f>INDEX('[2]Flat Rates 2023'!$A:$DZ,MATCH(T34,'[2]Flat Rates 2023'!$A:$A,0),MATCH(X34,'[2]Flat Rates 2023'!$A$1:$DZ$1,0))</f>
        <v>0</v>
      </c>
      <c r="S34" s="138">
        <f>INDEX(Control!$E$17:$O$21,MATCH(W34,Control!$E$17:$E$21,0),MATCH(T34,Control!$E$17:$O$17,0))</f>
        <v>0.5</v>
      </c>
      <c r="T34" s="138" t="s">
        <v>104</v>
      </c>
      <c r="U34" s="116">
        <f>INDEX(Vessel_Minimum_MT,MATCH(W34,Control!$E$11:$E$15,0),MATCH(T34,Control!$E$11:$O$11,0))</f>
        <v>145000</v>
      </c>
      <c r="V34" s="140">
        <f t="shared" si="59"/>
        <v>135145.45194508007</v>
      </c>
      <c r="W34" s="147" t="s">
        <v>24</v>
      </c>
      <c r="X34" s="164" t="s">
        <v>106</v>
      </c>
      <c r="Y34" s="142" t="str">
        <f t="shared" si="60"/>
        <v>USGC/KOREA</v>
      </c>
      <c r="Z34" s="15">
        <v>1050000</v>
      </c>
      <c r="AA34" s="141">
        <v>1001</v>
      </c>
      <c r="AB34" s="265">
        <f>WTI!AD29</f>
        <v>54000000</v>
      </c>
      <c r="AC34" s="149">
        <f t="shared" si="61"/>
        <v>51.428571428571431</v>
      </c>
      <c r="AD34" s="28"/>
      <c r="AE34" s="141">
        <f>IF(INDEX(Index,MATCH(X34,TVM_PortList,0),MATCH("Type",Control!$Q$3:$U$3,0))="BL",INDEX(Index,MATCH(X34,TVM_PortList,0),MATCH("Payment",Control!$Q$3:$U$3,0))-INDEX(Index,MATCH(T34,TVM_PortList,0),MATCH("Payment",Control!$Q$3:$U$3,0)),AW34+INDEX(Index,MATCH(X34,TVM_PortList,0),MATCH("Payment",Control!$Q$3:$U$3,0))-INDEX(Index,MATCH(T34,TVM_PortList,0),MATCH("Payment",Control!$Q$3:$U$3,0)))</f>
        <v>31</v>
      </c>
      <c r="AF34" s="143">
        <f t="shared" si="62"/>
        <v>0</v>
      </c>
      <c r="AG34" s="143">
        <f t="shared" si="63"/>
        <v>8.4931506849315067E-2</v>
      </c>
      <c r="AH34" s="143"/>
      <c r="AI34" s="143">
        <f t="shared" si="65"/>
        <v>0</v>
      </c>
      <c r="AJ34" s="143">
        <v>0</v>
      </c>
      <c r="AK34" s="143">
        <f t="shared" si="66"/>
        <v>5.0000000000000001E-3</v>
      </c>
      <c r="AL34" s="143">
        <f t="shared" si="67"/>
        <v>6.7299999999999999E-2</v>
      </c>
      <c r="AM34" s="143"/>
      <c r="AN34" s="143" t="e">
        <f>IF(INDEX(Control!$Q$3:$S$62,MATCH($X34,Control!$Q$3:$Q$62,0),MATCH(AN$8,Control!$Q$3:$S$3,0))=1,$BD$15/$Z34,0)</f>
        <v>#N/A</v>
      </c>
      <c r="AO34" s="143">
        <f t="shared" si="68"/>
        <v>0</v>
      </c>
      <c r="AP34" s="143">
        <f t="shared" si="69"/>
        <v>0</v>
      </c>
      <c r="AQ34" s="149" t="e">
        <f t="shared" si="70"/>
        <v>#N/A</v>
      </c>
      <c r="AR34" s="199" t="e">
        <f t="shared" si="71"/>
        <v>#N/A</v>
      </c>
      <c r="AS34" s="149" t="e">
        <f t="shared" si="72"/>
        <v>#N/A</v>
      </c>
      <c r="AT34" s="149" t="e">
        <f t="shared" si="73"/>
        <v>#N/A</v>
      </c>
      <c r="AU34" s="145" t="e">
        <f t="shared" si="74"/>
        <v>#N/A</v>
      </c>
      <c r="AW34" s="153">
        <f>INDEX('[1]Transit Time'!$A:$DZ,MATCH(G34,'[1]Transit Time'!$A:$A,0),MATCH(J34,'[1]Transit Time'!$A$1:$DZ$1,0))+INDEX('[1]Transit Time'!$A:$DZ,MATCH(J34,'[1]Transit Time'!$A:$A,0),MATCH(T34,'[1]Transit Time'!$A$1:$DZ$1,0))+INDEX('[1]Transit Time'!$A:$DZ,MATCH(T34,'[1]Transit Time'!$A:$A,0),MATCH(X34,'[1]Transit Time'!$A$1:$DZ$1,0))</f>
        <v>51</v>
      </c>
      <c r="AY34" s="163">
        <f t="shared" si="75"/>
        <v>45082</v>
      </c>
      <c r="AZ34" s="407">
        <f t="shared" si="76"/>
        <v>45084</v>
      </c>
      <c r="BB34"/>
      <c r="BC34"/>
      <c r="BD34"/>
      <c r="BE34"/>
      <c r="BF34"/>
      <c r="BG34"/>
      <c r="BH34"/>
      <c r="BI34"/>
      <c r="BJ34"/>
      <c r="BK34"/>
    </row>
    <row r="35" spans="1:63" ht="16" thickBot="1" x14ac:dyDescent="0.4">
      <c r="A35" s="230">
        <f t="shared" si="54"/>
        <v>45031</v>
      </c>
      <c r="B35" s="230">
        <f t="shared" si="55"/>
        <v>45033</v>
      </c>
      <c r="D35" s="232"/>
      <c r="E35" s="240">
        <f>IF(G35=J35,0,INDEX('[2]Flat Rates 2023'!$A:$DB,MATCH(G35,'[2]Flat Rates 2023'!$A:$A,0),MATCH(J35,'[2]Flat Rates 2023'!$A$1:$DB$1,0)))</f>
        <v>0</v>
      </c>
      <c r="F35" s="240">
        <f>INDEX(Control!$E$17:$J$21,MATCH(L35,Control!$E$17:$E$21,0),MATCH(G35,Control!$E$17:$J$17,0))</f>
        <v>0</v>
      </c>
      <c r="G35" s="240" t="str">
        <f t="shared" si="77"/>
        <v>Corpus Christi</v>
      </c>
      <c r="H35" s="234">
        <f>INDEX(Vessel_Minimum_MT,MATCH(L35,Control!$E$11:$E$15,0),MATCH(G35,Control!$E$11:$J$11,0))</f>
        <v>70000</v>
      </c>
      <c r="I35" s="241">
        <f t="shared" si="56"/>
        <v>90096.96796338672</v>
      </c>
      <c r="J35" s="233" t="s">
        <v>45</v>
      </c>
      <c r="K35" s="240" t="str">
        <f t="shared" si="57"/>
        <v/>
      </c>
      <c r="L35" s="236" t="s">
        <v>23</v>
      </c>
      <c r="M35" s="235">
        <v>700000</v>
      </c>
      <c r="N35" s="242">
        <v>0</v>
      </c>
      <c r="O35" s="243">
        <v>0</v>
      </c>
      <c r="P35" s="239">
        <f t="shared" si="58"/>
        <v>0</v>
      </c>
      <c r="Q35" s="2"/>
      <c r="R35" s="220">
        <f>INDEX('[2]Flat Rates 2023'!$A:$DZ,MATCH(T35,'[2]Flat Rates 2023'!$A:$A,0),MATCH(X35,'[2]Flat Rates 2023'!$A$1:$DZ$1,0))</f>
        <v>0</v>
      </c>
      <c r="S35" s="220">
        <f>INDEX(Control!$E$17:$O$21,MATCH(W35,Control!$E$17:$E$21,0),MATCH(T35,Control!$E$17:$O$17,0))</f>
        <v>0.5</v>
      </c>
      <c r="T35" s="220" t="s">
        <v>104</v>
      </c>
      <c r="U35" s="213">
        <f>INDEX(Vessel_Minimum_MT,MATCH(W35,Control!$E$11:$E$15,0),MATCH(T35,Control!$E$11:$O$11,0))</f>
        <v>270000</v>
      </c>
      <c r="V35" s="222">
        <f t="shared" si="59"/>
        <v>257419.90846681921</v>
      </c>
      <c r="W35" s="215" t="s">
        <v>25</v>
      </c>
      <c r="X35" s="223" t="s">
        <v>106</v>
      </c>
      <c r="Y35" s="212" t="str">
        <f t="shared" si="60"/>
        <v>USGC/KOREA</v>
      </c>
      <c r="Z35" s="304">
        <v>2000000</v>
      </c>
      <c r="AA35" s="214">
        <v>1001</v>
      </c>
      <c r="AB35" s="266">
        <f>WTI!AD31</f>
        <v>54650000</v>
      </c>
      <c r="AC35" s="225">
        <f t="shared" si="61"/>
        <v>27.324999999999999</v>
      </c>
      <c r="AD35" s="306">
        <v>3</v>
      </c>
      <c r="AE35" s="214">
        <f>IF(INDEX(Index,MATCH(X35,TVM_PortList,0),MATCH("Type",Control!$Q$3:$U$3,0))="BL",INDEX(Index,MATCH(X35,TVM_PortList,0),MATCH("Payment",Control!$Q$3:$U$3,0))-INDEX(Index,MATCH(T35,TVM_PortList,0),MATCH("Payment",Control!$Q$3:$U$3,0)),AW35+INDEX(Index,MATCH(X35,TVM_PortList,0),MATCH("Payment",Control!$Q$3:$U$3,0))-INDEX(Index,MATCH(T35,TVM_PortList,0),MATCH("Payment",Control!$Q$3:$U$3,0)))</f>
        <v>31</v>
      </c>
      <c r="AF35" s="227">
        <f t="shared" si="62"/>
        <v>7.4999999999999997E-2</v>
      </c>
      <c r="AG35" s="227">
        <f t="shared" si="63"/>
        <v>8.4931506849315067E-2</v>
      </c>
      <c r="AH35" s="227">
        <f t="shared" si="64"/>
        <v>0</v>
      </c>
      <c r="AI35" s="227">
        <f t="shared" si="65"/>
        <v>0</v>
      </c>
      <c r="AJ35" s="227">
        <v>0</v>
      </c>
      <c r="AK35" s="227">
        <f t="shared" si="66"/>
        <v>5.0000000000000001E-3</v>
      </c>
      <c r="AL35" s="227">
        <f t="shared" si="67"/>
        <v>6.7299999999999999E-2</v>
      </c>
      <c r="AM35" s="227">
        <f>IF(INDEX(Control!$Q$3:$S$62,MATCH($X35,Control!$Q$3:$Q$62,0),MATCH(AM$8,Control!$Q$3:$S$3,0))=1,$BD$14*$BE$14,0)</f>
        <v>0.11</v>
      </c>
      <c r="AN35" s="227" t="e">
        <f>IF(INDEX(Control!$Q$3:$S$62,MATCH($X35,Control!$Q$3:$Q$62,0),MATCH(AN$8,Control!$Q$3:$S$3,0))=1,$BD$15/$Z35,0)</f>
        <v>#N/A</v>
      </c>
      <c r="AO35" s="227">
        <f t="shared" si="68"/>
        <v>0</v>
      </c>
      <c r="AP35" s="227">
        <f t="shared" si="69"/>
        <v>0</v>
      </c>
      <c r="AQ35" s="225" t="e">
        <f t="shared" si="70"/>
        <v>#N/A</v>
      </c>
      <c r="AR35" s="225" t="e">
        <f t="shared" si="71"/>
        <v>#N/A</v>
      </c>
      <c r="AS35" s="225" t="e">
        <f t="shared" si="72"/>
        <v>#N/A</v>
      </c>
      <c r="AT35" s="225" t="e">
        <f t="shared" si="73"/>
        <v>#N/A</v>
      </c>
      <c r="AU35" s="260" t="e">
        <f t="shared" si="74"/>
        <v>#N/A</v>
      </c>
      <c r="AV35" s="220"/>
      <c r="AW35" s="229">
        <f>INDEX('[1]Transit Time'!$A:$DZ,MATCH(G35,'[1]Transit Time'!$A:$A,0),MATCH(J35,'[1]Transit Time'!$A$1:$DZ$1,0))+INDEX('[1]Transit Time'!$A:$DZ,MATCH(J35,'[1]Transit Time'!$A:$A,0),MATCH(T35,'[1]Transit Time'!$A$1:$DZ$1,0))+INDEX('[1]Transit Time'!$A:$DZ,MATCH(T35,'[1]Transit Time'!$A:$A,0),MATCH(X35,'[1]Transit Time'!$A$1:$DZ$1,0))</f>
        <v>51</v>
      </c>
      <c r="AX35" s="220"/>
      <c r="AY35" s="230">
        <f t="shared" si="75"/>
        <v>45082</v>
      </c>
      <c r="AZ35" s="408">
        <f t="shared" si="76"/>
        <v>45084</v>
      </c>
      <c r="BB35"/>
      <c r="BC35"/>
      <c r="BD35"/>
      <c r="BE35"/>
      <c r="BF35"/>
      <c r="BG35"/>
      <c r="BH35"/>
      <c r="BI35"/>
      <c r="BJ35"/>
      <c r="BK35"/>
    </row>
    <row r="36" spans="1:63" x14ac:dyDescent="0.35">
      <c r="A36" s="163">
        <f t="shared" si="54"/>
        <v>45031</v>
      </c>
      <c r="B36" s="163">
        <f t="shared" si="55"/>
        <v>45033</v>
      </c>
      <c r="D36" s="170"/>
      <c r="E36" s="173">
        <f>IF(G36=J36,0,INDEX('[2]Flat Rates 2023'!$A:$DB,MATCH(G36,'[2]Flat Rates 2023'!$A:$A,0),MATCH(J36,'[2]Flat Rates 2023'!$A$1:$DB$1,0)))</f>
        <v>0</v>
      </c>
      <c r="F36" s="173">
        <f>INDEX(Control!$E$17:$J$21,MATCH(L36,Control!$E$17:$E$21,0),MATCH(G36,Control!$E$17:$J$17,0))</f>
        <v>0</v>
      </c>
      <c r="G36" s="173" t="str">
        <f t="shared" si="77"/>
        <v>Corpus Christi</v>
      </c>
      <c r="H36" s="172">
        <f>INDEX(Vessel_Minimum_MT,MATCH(L36,Control!$E$11:$E$15,0),MATCH(G36,Control!$E$11:$J$11,0))</f>
        <v>70000</v>
      </c>
      <c r="I36" s="175">
        <f t="shared" si="56"/>
        <v>90096.96796338672</v>
      </c>
      <c r="J36" s="173" t="s">
        <v>45</v>
      </c>
      <c r="K36" s="173" t="str">
        <f t="shared" si="57"/>
        <v/>
      </c>
      <c r="L36" s="174" t="s">
        <v>23</v>
      </c>
      <c r="M36" s="175">
        <v>700000</v>
      </c>
      <c r="N36" s="179">
        <v>0</v>
      </c>
      <c r="O36" s="180">
        <v>0</v>
      </c>
      <c r="P36" s="178">
        <f t="shared" si="58"/>
        <v>0</v>
      </c>
      <c r="Q36" s="2"/>
      <c r="R36" s="138">
        <f>INDEX('[2]Flat Rates 2023'!$A:$DZ,MATCH(T36,'[2]Flat Rates 2023'!$A:$A,0),MATCH(X36,'[2]Flat Rates 2023'!$A$1:$DZ$1,0))</f>
        <v>0</v>
      </c>
      <c r="S36" s="138">
        <f>INDEX(Control!$E$17:$O$21,MATCH(W36,Control!$E$17:$E$21,0),MATCH(T36,Control!$E$17:$O$17,0))</f>
        <v>0.5</v>
      </c>
      <c r="T36" s="138" t="s">
        <v>104</v>
      </c>
      <c r="U36" s="116">
        <f>INDEX(Vessel_Minimum_MT,MATCH(W36,Control!$E$11:$E$15,0),MATCH(T36,Control!$E$11:$O$11,0))</f>
        <v>145000</v>
      </c>
      <c r="V36" s="140">
        <f t="shared" si="59"/>
        <v>128709.9542334096</v>
      </c>
      <c r="W36" s="147" t="s">
        <v>24</v>
      </c>
      <c r="X36" s="164" t="s">
        <v>114</v>
      </c>
      <c r="Y36" s="142" t="str">
        <f t="shared" si="60"/>
        <v>USGC/Singapore</v>
      </c>
      <c r="Z36" s="54">
        <v>1000000</v>
      </c>
      <c r="AA36" s="141">
        <v>1001</v>
      </c>
      <c r="AB36" s="202">
        <f>AB34-450000</f>
        <v>53550000</v>
      </c>
      <c r="AC36" s="149">
        <f t="shared" si="61"/>
        <v>53.55</v>
      </c>
      <c r="AD36" s="305">
        <v>5</v>
      </c>
      <c r="AE36" s="141">
        <f>IF(INDEX(Index,MATCH(X36,TVM_PortList,0),MATCH("Type",Control!$Q$3:$U$3,0))="BL",INDEX(Index,MATCH(X36,TVM_PortList,0),MATCH("Payment",Control!$Q$3:$U$3,0))-INDEX(Index,MATCH(T36,TVM_PortList,0),MATCH("Payment",Control!$Q$3:$U$3,0)),AW36+INDEX(Index,MATCH(X36,TVM_PortList,0),MATCH("Payment",Control!$Q$3:$U$3,0))-INDEX(Index,MATCH(T36,TVM_PortList,0),MATCH("Payment",Control!$Q$3:$U$3,0)))</f>
        <v>22</v>
      </c>
      <c r="AF36" s="143">
        <f t="shared" si="62"/>
        <v>0.2</v>
      </c>
      <c r="AG36" s="143">
        <f t="shared" si="63"/>
        <v>6.0273972602739728E-2</v>
      </c>
      <c r="AH36" s="143">
        <f t="shared" si="64"/>
        <v>0</v>
      </c>
      <c r="AI36" s="143">
        <f t="shared" si="65"/>
        <v>0</v>
      </c>
      <c r="AJ36" s="143">
        <v>0</v>
      </c>
      <c r="AK36" s="143">
        <f t="shared" si="66"/>
        <v>5.0000000000000001E-3</v>
      </c>
      <c r="AL36" s="143">
        <f t="shared" si="67"/>
        <v>6.7299999999999999E-2</v>
      </c>
      <c r="AM36" s="143">
        <f>IF(INDEX(Control!$Q$3:$S$62,MATCH($X36,Control!$Q$3:$Q$62,0),MATCH(AM$8,Control!$Q$3:$S$3,0))=1,$BD$14*$BE$14,0)</f>
        <v>0.11</v>
      </c>
      <c r="AN36" s="143" t="e">
        <f>IF(INDEX(Control!$Q$3:$S$62,MATCH($X36,Control!$Q$3:$Q$62,0),MATCH(AN$8,Control!$Q$3:$S$3,0))=1,$BD$15/$Z36,0)</f>
        <v>#N/A</v>
      </c>
      <c r="AO36" s="143">
        <f t="shared" si="68"/>
        <v>0</v>
      </c>
      <c r="AP36" s="143">
        <f t="shared" si="69"/>
        <v>0</v>
      </c>
      <c r="AQ36" s="149" t="e">
        <f t="shared" ref="AQ36:AQ38" si="78">SUM(AF36:AP36)</f>
        <v>#N/A</v>
      </c>
      <c r="AR36" s="199" t="e">
        <f t="shared" si="71"/>
        <v>#N/A</v>
      </c>
      <c r="AS36" s="149" t="e">
        <f t="shared" si="72"/>
        <v>#N/A</v>
      </c>
      <c r="AT36" s="149" t="e">
        <f t="shared" si="73"/>
        <v>#N/A</v>
      </c>
      <c r="AU36" s="145" t="e">
        <f t="shared" si="74"/>
        <v>#N/A</v>
      </c>
      <c r="AW36" s="153">
        <f>INDEX('[1]Transit Time'!$A:$DZ,MATCH(G36,'[1]Transit Time'!$A:$A,0),MATCH(J36,'[1]Transit Time'!$A$1:$DZ$1,0))+INDEX('[1]Transit Time'!$A:$DZ,MATCH(J36,'[1]Transit Time'!$A:$A,0),MATCH(T36,'[1]Transit Time'!$A$1:$DZ$1,0))+INDEX('[1]Transit Time'!$A:$DZ,MATCH(T36,'[1]Transit Time'!$A:$A,0),MATCH(X36,'[1]Transit Time'!$A$1:$DZ$1,0))</f>
        <v>42</v>
      </c>
      <c r="AY36" s="163">
        <f t="shared" si="75"/>
        <v>45073</v>
      </c>
      <c r="AZ36" s="82">
        <f t="shared" si="76"/>
        <v>45075</v>
      </c>
      <c r="BB36"/>
      <c r="BC36"/>
      <c r="BD36"/>
      <c r="BE36"/>
      <c r="BF36"/>
      <c r="BG36"/>
      <c r="BH36"/>
      <c r="BI36"/>
      <c r="BJ36"/>
      <c r="BK36"/>
    </row>
    <row r="37" spans="1:63" x14ac:dyDescent="0.35">
      <c r="A37" s="230">
        <f t="shared" si="54"/>
        <v>45031</v>
      </c>
      <c r="B37" s="230">
        <f t="shared" si="55"/>
        <v>45033</v>
      </c>
      <c r="D37" s="232"/>
      <c r="E37" s="240">
        <f>IF(G37=J37,0,INDEX('[2]Flat Rates 2023'!$A:$DB,MATCH(G37,'[2]Flat Rates 2023'!$A:$A,0),MATCH(J37,'[2]Flat Rates 2023'!$A$1:$DB$1,0)))</f>
        <v>0</v>
      </c>
      <c r="F37" s="240">
        <f>INDEX(Control!$E$17:$J$21,MATCH(L37,Control!$E$17:$E$21,0),MATCH(G37,Control!$E$17:$J$17,0))</f>
        <v>0</v>
      </c>
      <c r="G37" s="240" t="str">
        <f t="shared" si="77"/>
        <v>Corpus Christi</v>
      </c>
      <c r="H37" s="234">
        <f>INDEX(Vessel_Minimum_MT,MATCH(L37,Control!$E$11:$E$15,0),MATCH(G37,Control!$E$11:$J$11,0))</f>
        <v>70000</v>
      </c>
      <c r="I37" s="241">
        <f t="shared" si="56"/>
        <v>90096.96796338672</v>
      </c>
      <c r="J37" s="233" t="s">
        <v>45</v>
      </c>
      <c r="K37" s="240" t="str">
        <f t="shared" si="57"/>
        <v/>
      </c>
      <c r="L37" s="236" t="s">
        <v>23</v>
      </c>
      <c r="M37" s="235">
        <v>700000</v>
      </c>
      <c r="N37" s="242">
        <v>0</v>
      </c>
      <c r="O37" s="243">
        <v>0</v>
      </c>
      <c r="P37" s="239">
        <f t="shared" si="58"/>
        <v>0</v>
      </c>
      <c r="Q37" s="2"/>
      <c r="R37" s="220">
        <f>INDEX('[2]Flat Rates 2023'!$A:$DZ,MATCH(T37,'[2]Flat Rates 2023'!$A:$A,0),MATCH(X37,'[2]Flat Rates 2023'!$A$1:$DZ$1,0))</f>
        <v>0</v>
      </c>
      <c r="S37" s="220">
        <f>INDEX(Control!$E$17:$O$21,MATCH(W37,Control!$E$17:$E$21,0),MATCH(T37,Control!$E$17:$O$17,0))</f>
        <v>0.5</v>
      </c>
      <c r="T37" s="220" t="s">
        <v>104</v>
      </c>
      <c r="U37" s="213">
        <f>INDEX(Vessel_Minimum_MT,MATCH(W37,Control!$E$11:$E$15,0),MATCH(T37,Control!$E$11:$O$11,0))</f>
        <v>270000</v>
      </c>
      <c r="V37" s="222">
        <f t="shared" si="59"/>
        <v>257419.90846681921</v>
      </c>
      <c r="W37" s="215" t="s">
        <v>25</v>
      </c>
      <c r="X37" s="223" t="s">
        <v>114</v>
      </c>
      <c r="Y37" s="212" t="str">
        <f t="shared" si="60"/>
        <v>USGC/Singapore</v>
      </c>
      <c r="Z37" s="214">
        <f>$Z$35</f>
        <v>2000000</v>
      </c>
      <c r="AA37" s="214">
        <v>1001</v>
      </c>
      <c r="AB37" s="224">
        <f>AB35-1000000</f>
        <v>53650000</v>
      </c>
      <c r="AC37" s="225">
        <f t="shared" si="61"/>
        <v>26.824999999999999</v>
      </c>
      <c r="AD37" s="226">
        <v>6</v>
      </c>
      <c r="AE37" s="214">
        <f>IF(INDEX(Index,MATCH(X37,TVM_PortList,0),MATCH("Type",Control!$Q$3:$U$3,0))="BL",INDEX(Index,MATCH(X37,TVM_PortList,0),MATCH("Payment",Control!$Q$3:$U$3,0))-INDEX(Index,MATCH(T37,TVM_PortList,0),MATCH("Payment",Control!$Q$3:$U$3,0)),AW37+INDEX(Index,MATCH(X37,TVM_PortList,0),MATCH("Payment",Control!$Q$3:$U$3,0))-INDEX(Index,MATCH(T37,TVM_PortList,0),MATCH("Payment",Control!$Q$3:$U$3,0)))</f>
        <v>22</v>
      </c>
      <c r="AF37" s="227">
        <f t="shared" si="62"/>
        <v>0.15</v>
      </c>
      <c r="AG37" s="227">
        <f t="shared" si="63"/>
        <v>6.0273972602739728E-2</v>
      </c>
      <c r="AH37" s="227">
        <f t="shared" si="64"/>
        <v>0</v>
      </c>
      <c r="AI37" s="227">
        <f t="shared" si="65"/>
        <v>0</v>
      </c>
      <c r="AJ37" s="227">
        <v>0</v>
      </c>
      <c r="AK37" s="227">
        <f t="shared" si="66"/>
        <v>5.0000000000000001E-3</v>
      </c>
      <c r="AL37" s="227">
        <f t="shared" si="67"/>
        <v>6.7299999999999999E-2</v>
      </c>
      <c r="AM37" s="227">
        <f>IF(INDEX(Control!$Q$3:$S$62,MATCH($X37,Control!$Q$3:$Q$62,0),MATCH(AM$8,Control!$Q$3:$S$3,0))=1,$BD$14*$BE$14,0)</f>
        <v>0.11</v>
      </c>
      <c r="AN37" s="227" t="e">
        <f>IF(INDEX(Control!$Q$3:$S$62,MATCH($X37,Control!$Q$3:$Q$62,0),MATCH(AN$8,Control!$Q$3:$S$3,0))=1,$BD$15/$Z37,0)</f>
        <v>#N/A</v>
      </c>
      <c r="AO37" s="227">
        <f t="shared" si="68"/>
        <v>0</v>
      </c>
      <c r="AP37" s="227">
        <f t="shared" si="69"/>
        <v>0</v>
      </c>
      <c r="AQ37" s="225" t="e">
        <f t="shared" si="78"/>
        <v>#N/A</v>
      </c>
      <c r="AR37" s="225" t="e">
        <f t="shared" si="71"/>
        <v>#N/A</v>
      </c>
      <c r="AS37" s="225" t="e">
        <f t="shared" si="72"/>
        <v>#N/A</v>
      </c>
      <c r="AT37" s="225" t="e">
        <f t="shared" si="73"/>
        <v>#N/A</v>
      </c>
      <c r="AU37" s="260" t="e">
        <f t="shared" si="74"/>
        <v>#N/A</v>
      </c>
      <c r="AV37" s="220"/>
      <c r="AW37" s="229">
        <f>INDEX('[1]Transit Time'!$A:$DZ,MATCH(G37,'[1]Transit Time'!$A:$A,0),MATCH(J37,'[1]Transit Time'!$A$1:$DZ$1,0))+INDEX('[1]Transit Time'!$A:$DZ,MATCH(J37,'[1]Transit Time'!$A:$A,0),MATCH(T37,'[1]Transit Time'!$A$1:$DZ$1,0))+INDEX('[1]Transit Time'!$A:$DZ,MATCH(T37,'[1]Transit Time'!$A:$A,0),MATCH(X37,'[1]Transit Time'!$A$1:$DZ$1,0))</f>
        <v>42</v>
      </c>
      <c r="AX37" s="220"/>
      <c r="AY37" s="230">
        <f t="shared" si="75"/>
        <v>45073</v>
      </c>
      <c r="AZ37" s="380">
        <f t="shared" si="76"/>
        <v>45075</v>
      </c>
      <c r="BB37"/>
      <c r="BC37"/>
      <c r="BD37"/>
      <c r="BE37"/>
      <c r="BF37"/>
      <c r="BG37"/>
      <c r="BH37"/>
      <c r="BI37"/>
      <c r="BJ37"/>
      <c r="BK37"/>
    </row>
    <row r="38" spans="1:63" x14ac:dyDescent="0.35">
      <c r="A38" s="163">
        <f t="shared" si="54"/>
        <v>45031</v>
      </c>
      <c r="B38" s="163">
        <f t="shared" si="55"/>
        <v>45033</v>
      </c>
      <c r="D38" s="170"/>
      <c r="E38" s="173">
        <f>IF(G38=J38,0,INDEX('[2]Flat Rates 2023'!$A:$DB,MATCH(G38,'[2]Flat Rates 2023'!$A:$A,0),MATCH(J38,'[2]Flat Rates 2023'!$A$1:$DB$1,0)))</f>
        <v>0</v>
      </c>
      <c r="F38" s="173">
        <f>INDEX(Control!$E$17:$J$21,MATCH(L38,Control!$E$17:$E$21,0),MATCH(G38,Control!$E$17:$J$17,0))</f>
        <v>0</v>
      </c>
      <c r="G38" s="173" t="str">
        <f t="shared" si="77"/>
        <v>Corpus Christi</v>
      </c>
      <c r="H38" s="172">
        <f>INDEX(Vessel_Minimum_MT,MATCH(L38,Control!$E$11:$E$15,0),MATCH(G38,Control!$E$11:$J$11,0))</f>
        <v>70000</v>
      </c>
      <c r="I38" s="175">
        <f t="shared" si="56"/>
        <v>90096.96796338672</v>
      </c>
      <c r="J38" s="173" t="s">
        <v>45</v>
      </c>
      <c r="K38" s="173" t="str">
        <f t="shared" si="57"/>
        <v/>
      </c>
      <c r="L38" s="174" t="s">
        <v>23</v>
      </c>
      <c r="M38" s="175">
        <v>700000</v>
      </c>
      <c r="N38" s="179">
        <v>0</v>
      </c>
      <c r="O38" s="180">
        <v>0</v>
      </c>
      <c r="P38" s="178">
        <f t="shared" si="58"/>
        <v>0</v>
      </c>
      <c r="Q38" s="2"/>
      <c r="R38" s="138">
        <f>INDEX('[2]Flat Rates 2023'!$A:$DZ,MATCH(T38,'[2]Flat Rates 2023'!$A:$A,0),MATCH(X38,'[2]Flat Rates 2023'!$A$1:$DZ$1,0))</f>
        <v>0</v>
      </c>
      <c r="S38" s="138">
        <f>INDEX(Control!$E$17:$O$21,MATCH(W38,Control!$E$17:$E$21,0),MATCH(T38,Control!$E$17:$O$17,0))</f>
        <v>0.5</v>
      </c>
      <c r="T38" s="138" t="s">
        <v>104</v>
      </c>
      <c r="U38" s="116">
        <f>INDEX(Vessel_Minimum_MT,MATCH(W38,Control!$E$11:$E$15,0),MATCH(T38,Control!$E$11:$O$11,0))</f>
        <v>145000</v>
      </c>
      <c r="V38" s="140">
        <f t="shared" si="59"/>
        <v>122274.45652173912</v>
      </c>
      <c r="W38" s="147" t="s">
        <v>24</v>
      </c>
      <c r="X38" s="164" t="s">
        <v>86</v>
      </c>
      <c r="Y38" s="142" t="str">
        <f t="shared" si="60"/>
        <v>USGC/INDIA</v>
      </c>
      <c r="Z38" s="141">
        <v>950000</v>
      </c>
      <c r="AA38" s="141">
        <v>1001</v>
      </c>
      <c r="AB38" s="151">
        <f>AB36-200000</f>
        <v>53350000</v>
      </c>
      <c r="AC38" s="149">
        <f t="shared" si="61"/>
        <v>56.157894736842103</v>
      </c>
      <c r="AD38" s="144">
        <v>1</v>
      </c>
      <c r="AE38" s="141">
        <f>IF(INDEX(Index,MATCH(X38,TVM_PortList,0),MATCH("Type",Control!$Q$3:$U$3,0))="BL",INDEX(Index,MATCH(X38,TVM_PortList,0),MATCH("Payment",Control!$Q$3:$U$3,0))-INDEX(Index,MATCH(T38,TVM_PortList,0),MATCH("Payment",Control!$Q$3:$U$3,0)),AW38+INDEX(Index,MATCH(X38,TVM_PortList,0),MATCH("Payment",Control!$Q$3:$U$3,0))-INDEX(Index,MATCH(T38,TVM_PortList,0),MATCH("Payment",Control!$Q$3:$U$3,0)))</f>
        <v>13</v>
      </c>
      <c r="AF38" s="143">
        <f t="shared" si="62"/>
        <v>4.2105263157894736E-2</v>
      </c>
      <c r="AG38" s="143">
        <f t="shared" si="63"/>
        <v>3.5616438356164383E-2</v>
      </c>
      <c r="AH38" s="143">
        <f t="shared" si="64"/>
        <v>0</v>
      </c>
      <c r="AI38" s="143">
        <f t="shared" si="65"/>
        <v>0</v>
      </c>
      <c r="AJ38" s="143">
        <v>0</v>
      </c>
      <c r="AK38" s="143">
        <f t="shared" si="66"/>
        <v>5.0000000000000001E-3</v>
      </c>
      <c r="AL38" s="143">
        <f t="shared" si="67"/>
        <v>6.7299999999999999E-2</v>
      </c>
      <c r="AM38" s="143">
        <f>IF(INDEX(Control!$Q$3:$S$62,MATCH($X38,Control!$Q$3:$Q$62,0),MATCH(AM$8,Control!$Q$3:$S$3,0))=1,$BD$14*$BE$14,0)</f>
        <v>0.11</v>
      </c>
      <c r="AN38" s="143" t="e">
        <f>IF(INDEX(Control!$Q$3:$S$62,MATCH($X38,Control!$Q$3:$Q$62,0),MATCH(AN$8,Control!$Q$3:$S$3,0))=1,$BD$15/$Z38,0)</f>
        <v>#N/A</v>
      </c>
      <c r="AO38" s="143">
        <f t="shared" si="68"/>
        <v>0</v>
      </c>
      <c r="AP38" s="143">
        <f t="shared" si="69"/>
        <v>0</v>
      </c>
      <c r="AQ38" s="149" t="e">
        <f t="shared" si="78"/>
        <v>#N/A</v>
      </c>
      <c r="AR38" s="199" t="e">
        <f t="shared" si="71"/>
        <v>#N/A</v>
      </c>
      <c r="AS38" s="149" t="e">
        <f>IF(MONTH(A38)=MONTH(AZ38),0,IF(MONTH(AZ38)-MONTH(A38)&gt;1,VLOOKUP("Spreads",$AQ$3:$AU$4,MATCH(EOMONTH(AZ38,0),$AQ$3:$AU$3,0),FALSE)+VLOOKUP("Spreads",$AQ$3:$AU$4,MATCH(EOMONTH(AZ38,-1),$AQ$3:$AU$3,0),FALSE),VLOOKUP("Spreads",$AQ$3:$AU$4,MATCH(EOMONTH(AZ38,0),$AQ$3:$AU$3,0))))</f>
        <v>#N/A</v>
      </c>
      <c r="AT38" s="149" t="e">
        <f t="shared" si="73"/>
        <v>#N/A</v>
      </c>
      <c r="AU38" s="145" t="e">
        <f t="shared" si="74"/>
        <v>#N/A</v>
      </c>
      <c r="AW38" s="153">
        <f>INDEX('[1]Transit Time'!$A:$DZ,MATCH(G38,'[1]Transit Time'!$A:$A,0),MATCH(J38,'[1]Transit Time'!$A$1:$DZ$1,0))+INDEX('[1]Transit Time'!$A:$DZ,MATCH(J38,'[1]Transit Time'!$A:$A,0),MATCH(T38,'[1]Transit Time'!$A$1:$DZ$1,0))+INDEX('[1]Transit Time'!$A:$DZ,MATCH(T38,'[1]Transit Time'!$A:$A,0),MATCH(X38,'[1]Transit Time'!$A$1:$DZ$1,0))</f>
        <v>33</v>
      </c>
      <c r="AY38" s="163">
        <f t="shared" si="75"/>
        <v>45064</v>
      </c>
      <c r="AZ38" s="163">
        <f t="shared" si="76"/>
        <v>45066</v>
      </c>
      <c r="BB38"/>
      <c r="BC38"/>
      <c r="BD38"/>
      <c r="BE38"/>
      <c r="BF38"/>
      <c r="BG38"/>
      <c r="BH38"/>
      <c r="BI38"/>
      <c r="BJ38"/>
      <c r="BK38"/>
    </row>
    <row r="39" spans="1:63" ht="16" thickBot="1" x14ac:dyDescent="0.4">
      <c r="A39" s="230">
        <f t="shared" si="54"/>
        <v>45031</v>
      </c>
      <c r="B39" s="230">
        <f t="shared" si="55"/>
        <v>45033</v>
      </c>
      <c r="D39" s="232"/>
      <c r="E39" s="240">
        <f>IF(G39=J39,0,INDEX('[2]Flat Rates 2023'!$A:$DB,MATCH(G39,'[2]Flat Rates 2023'!$A:$A,0),MATCH(J39,'[2]Flat Rates 2023'!$A$1:$DB$1,0)))</f>
        <v>0</v>
      </c>
      <c r="F39" s="240">
        <f>INDEX(Control!$E$17:$J$21,MATCH(L39,Control!$E$17:$E$21,0),MATCH(G39,Control!$E$17:$J$17,0))</f>
        <v>0</v>
      </c>
      <c r="G39" s="240" t="str">
        <f t="shared" si="77"/>
        <v>Corpus Christi</v>
      </c>
      <c r="H39" s="234">
        <f>INDEX(Vessel_Minimum_MT,MATCH(L39,Control!$E$11:$E$15,0),MATCH(G39,Control!$E$11:$J$11,0))</f>
        <v>70000</v>
      </c>
      <c r="I39" s="241">
        <f t="shared" si="56"/>
        <v>90096.96796338672</v>
      </c>
      <c r="J39" s="233" t="s">
        <v>45</v>
      </c>
      <c r="K39" s="240" t="str">
        <f t="shared" si="57"/>
        <v/>
      </c>
      <c r="L39" s="236" t="s">
        <v>23</v>
      </c>
      <c r="M39" s="235">
        <v>700000</v>
      </c>
      <c r="N39" s="242">
        <v>0</v>
      </c>
      <c r="O39" s="243">
        <v>0</v>
      </c>
      <c r="P39" s="239">
        <f t="shared" si="58"/>
        <v>0</v>
      </c>
      <c r="Q39" s="2"/>
      <c r="R39" s="220">
        <f>INDEX('[2]Flat Rates 2023'!$A:$DZ,MATCH(T39,'[2]Flat Rates 2023'!$A:$A,0),MATCH(X39,'[2]Flat Rates 2023'!$A$1:$DZ$1,0))</f>
        <v>0</v>
      </c>
      <c r="S39" s="220">
        <f>INDEX(Control!$E$17:$O$21,MATCH(W39,Control!$E$17:$E$21,0),MATCH(T39,Control!$E$17:$O$17,0))</f>
        <v>0.5</v>
      </c>
      <c r="T39" s="220" t="s">
        <v>104</v>
      </c>
      <c r="U39" s="213">
        <f>INDEX(Vessel_Minimum_MT,MATCH(W39,Control!$E$11:$E$15,0),MATCH(T39,Control!$E$11:$O$11,0))</f>
        <v>270000</v>
      </c>
      <c r="V39" s="222">
        <f t="shared" si="59"/>
        <v>257419.90846681921</v>
      </c>
      <c r="W39" s="215" t="s">
        <v>25</v>
      </c>
      <c r="X39" s="223" t="s">
        <v>86</v>
      </c>
      <c r="Y39" s="212" t="str">
        <f t="shared" si="60"/>
        <v>USGC/INDIA</v>
      </c>
      <c r="Z39" s="214">
        <f>$Z$35</f>
        <v>2000000</v>
      </c>
      <c r="AA39" s="214">
        <v>1001</v>
      </c>
      <c r="AB39" s="224">
        <f>AB37</f>
        <v>53650000</v>
      </c>
      <c r="AC39" s="225">
        <f t="shared" si="61"/>
        <v>26.824999999999999</v>
      </c>
      <c r="AD39" s="226">
        <v>7</v>
      </c>
      <c r="AE39" s="214">
        <f>IF(INDEX(Index,MATCH(X39,TVM_PortList,0),MATCH("Type",Control!$Q$3:$U$3,0))="BL",INDEX(Index,MATCH(X39,TVM_PortList,0),MATCH("Payment",Control!$Q$3:$U$3,0))-INDEX(Index,MATCH(T39,TVM_PortList,0),MATCH("Payment",Control!$Q$3:$U$3,0)),AW39+INDEX(Index,MATCH(X39,TVM_PortList,0),MATCH("Payment",Control!$Q$3:$U$3,0))-INDEX(Index,MATCH(T39,TVM_PortList,0),MATCH("Payment",Control!$Q$3:$U$3,0)))</f>
        <v>13</v>
      </c>
      <c r="AF39" s="227">
        <f t="shared" si="62"/>
        <v>0.17499999999999999</v>
      </c>
      <c r="AG39" s="227">
        <f t="shared" si="63"/>
        <v>3.5616438356164383E-2</v>
      </c>
      <c r="AH39" s="227">
        <f t="shared" si="64"/>
        <v>0</v>
      </c>
      <c r="AI39" s="227">
        <f t="shared" si="65"/>
        <v>0</v>
      </c>
      <c r="AJ39" s="227">
        <v>0</v>
      </c>
      <c r="AK39" s="227">
        <f t="shared" si="66"/>
        <v>5.0000000000000001E-3</v>
      </c>
      <c r="AL39" s="227">
        <f t="shared" si="67"/>
        <v>6.7299999999999999E-2</v>
      </c>
      <c r="AM39" s="227">
        <f>IF(INDEX(Control!$Q$3:$S$62,MATCH($X39,Control!$Q$3:$Q$62,0),MATCH(AM$8,Control!$Q$3:$S$3,0))=1,$BD$14*$BE$14,0)</f>
        <v>0.11</v>
      </c>
      <c r="AN39" s="227" t="e">
        <f>IF(INDEX(Control!$Q$3:$S$62,MATCH($X39,Control!$Q$3:$Q$62,0),MATCH(AN$8,Control!$Q$3:$S$3,0))=1,$BD$15/$Z39,0)</f>
        <v>#N/A</v>
      </c>
      <c r="AO39" s="227">
        <f t="shared" si="68"/>
        <v>0</v>
      </c>
      <c r="AP39" s="227">
        <f t="shared" si="69"/>
        <v>0</v>
      </c>
      <c r="AQ39" s="225" t="e">
        <f>SUM(AF39:AP39)</f>
        <v>#N/A</v>
      </c>
      <c r="AR39" s="225" t="e">
        <f t="shared" si="71"/>
        <v>#N/A</v>
      </c>
      <c r="AS39" s="225" t="e">
        <f>IF(MONTH(A39)=MONTH(AZ39),0,IF(MONTH(AZ39)-MONTH(A39)&gt;1,VLOOKUP("Spreads",$AQ$3:$AU$4,MATCH(EOMONTH(AZ39,0),$AQ$3:$AU$3,0),FALSE)+VLOOKUP("Spreads",$AQ$3:$AU$4,MATCH(EOMONTH(AZ39,-1),$AQ$3:$AU$3,0),FALSE),VLOOKUP("Spreads",$AQ$3:$AU$4,MATCH(EOMONTH(AZ39,0),$AQ$3:$AU$3,0))))</f>
        <v>#N/A</v>
      </c>
      <c r="AT39" s="225" t="e">
        <f t="shared" si="73"/>
        <v>#N/A</v>
      </c>
      <c r="AU39" s="260" t="e">
        <f t="shared" si="74"/>
        <v>#N/A</v>
      </c>
      <c r="AV39" s="220"/>
      <c r="AW39" s="229">
        <f>INDEX('[1]Transit Time'!$A:$DZ,MATCH(G39,'[1]Transit Time'!$A:$A,0),MATCH(J39,'[1]Transit Time'!$A$1:$DZ$1,0))+INDEX('[1]Transit Time'!$A:$DZ,MATCH(J39,'[1]Transit Time'!$A:$A,0),MATCH(T39,'[1]Transit Time'!$A$1:$DZ$1,0))+INDEX('[1]Transit Time'!$A:$DZ,MATCH(T39,'[1]Transit Time'!$A:$A,0),MATCH(X39,'[1]Transit Time'!$A$1:$DZ$1,0))</f>
        <v>33</v>
      </c>
      <c r="AX39" s="220"/>
      <c r="AY39" s="230">
        <f t="shared" si="75"/>
        <v>45064</v>
      </c>
      <c r="AZ39" s="380">
        <v>44712</v>
      </c>
      <c r="BB39"/>
      <c r="BC39"/>
      <c r="BD39"/>
      <c r="BE39"/>
      <c r="BF39"/>
      <c r="BG39"/>
      <c r="BH39"/>
      <c r="BI39"/>
      <c r="BJ39"/>
      <c r="BK39"/>
    </row>
    <row r="40" spans="1:63" ht="21" customHeight="1" thickBot="1" x14ac:dyDescent="0.5">
      <c r="A40"/>
      <c r="B40"/>
      <c r="D40" s="1053"/>
      <c r="E40" s="1054"/>
      <c r="F40" s="1054"/>
      <c r="G40" s="1054"/>
      <c r="H40" s="1054"/>
      <c r="I40" s="1054"/>
      <c r="J40" s="1054"/>
      <c r="K40" s="1054"/>
      <c r="L40" s="1054"/>
      <c r="M40" s="1054"/>
      <c r="N40" s="1054"/>
      <c r="O40" s="1054"/>
      <c r="P40" s="1055"/>
      <c r="Q40" s="2"/>
      <c r="R40" s="9"/>
      <c r="S40" s="9"/>
      <c r="T40" s="9"/>
      <c r="U40" s="9"/>
      <c r="V40" s="9"/>
      <c r="W40" s="1053" t="s">
        <v>219</v>
      </c>
      <c r="X40" s="1054"/>
      <c r="Y40" s="1054"/>
      <c r="Z40" s="1054"/>
      <c r="AA40" s="1054"/>
      <c r="AB40" s="1054"/>
      <c r="AC40" s="1054"/>
      <c r="AD40" s="1054"/>
      <c r="AE40" s="1054"/>
      <c r="AF40" s="1054"/>
      <c r="AG40" s="1054"/>
      <c r="AH40" s="1054"/>
      <c r="AI40" s="1054"/>
      <c r="AJ40" s="1054"/>
      <c r="AK40" s="1054"/>
      <c r="AL40" s="1054"/>
      <c r="AM40" s="1054"/>
      <c r="AN40" s="1054"/>
      <c r="AO40" s="1054"/>
      <c r="AP40" s="1054"/>
      <c r="AQ40" s="1054"/>
      <c r="AR40" s="1054"/>
      <c r="AS40" s="1054"/>
      <c r="AT40" s="1054"/>
      <c r="AU40" s="1055"/>
      <c r="AW40"/>
      <c r="AY40"/>
      <c r="AZ40"/>
      <c r="BB40"/>
      <c r="BC40"/>
      <c r="BD40"/>
      <c r="BE40"/>
      <c r="BF40"/>
      <c r="BG40"/>
      <c r="BH40"/>
      <c r="BI40"/>
      <c r="BJ40"/>
      <c r="BK40"/>
    </row>
    <row r="41" spans="1:63" ht="29.5" customHeight="1" thickBot="1" x14ac:dyDescent="0.4">
      <c r="A41" s="1005" t="s">
        <v>167</v>
      </c>
      <c r="B41" s="1005"/>
      <c r="D41" s="120" t="s">
        <v>276</v>
      </c>
      <c r="E41" s="152" t="s">
        <v>172</v>
      </c>
      <c r="F41" s="152" t="s">
        <v>2</v>
      </c>
      <c r="G41" s="152" t="s">
        <v>173</v>
      </c>
      <c r="H41" s="152" t="s">
        <v>174</v>
      </c>
      <c r="I41" s="125" t="s">
        <v>175</v>
      </c>
      <c r="J41" s="152" t="s">
        <v>177</v>
      </c>
      <c r="K41" s="152" t="s">
        <v>178</v>
      </c>
      <c r="L41" s="122" t="s">
        <v>176</v>
      </c>
      <c r="M41" s="120" t="s">
        <v>200</v>
      </c>
      <c r="N41" s="120" t="str">
        <f>$N$8</f>
        <v>WS Rate</v>
      </c>
      <c r="O41" s="121" t="s">
        <v>202</v>
      </c>
      <c r="P41" s="123" t="s">
        <v>278</v>
      </c>
      <c r="Q41" s="2"/>
      <c r="R41" s="120" t="s">
        <v>172</v>
      </c>
      <c r="S41" s="120" t="s">
        <v>2</v>
      </c>
      <c r="T41" s="120" t="s">
        <v>173</v>
      </c>
      <c r="U41" s="152" t="str">
        <f>$U$8</f>
        <v>Vessel MT</v>
      </c>
      <c r="V41" s="120" t="s">
        <v>175</v>
      </c>
      <c r="W41" s="120" t="s">
        <v>176</v>
      </c>
      <c r="X41" s="120" t="s">
        <v>177</v>
      </c>
      <c r="Y41" s="120" t="s">
        <v>178</v>
      </c>
      <c r="Z41" s="120" t="s">
        <v>200</v>
      </c>
      <c r="AA41" s="146" t="str">
        <f>$AA$8</f>
        <v xml:space="preserve">Current WS Rate </v>
      </c>
      <c r="AB41" s="128" t="s">
        <v>202</v>
      </c>
      <c r="AC41" s="150" t="s">
        <v>182</v>
      </c>
      <c r="AD41" s="136" t="s">
        <v>183</v>
      </c>
      <c r="AE41" s="146" t="s">
        <v>279</v>
      </c>
      <c r="AF41" s="136" t="s">
        <v>184</v>
      </c>
      <c r="AG41" s="136" t="s">
        <v>140</v>
      </c>
      <c r="AH41" s="136" t="str">
        <f>AH50</f>
        <v>STS</v>
      </c>
      <c r="AI41" s="136" t="s">
        <v>186</v>
      </c>
      <c r="AJ41" s="136" t="s">
        <v>187</v>
      </c>
      <c r="AK41" s="136" t="s">
        <v>141</v>
      </c>
      <c r="AL41" s="136" t="s">
        <v>188</v>
      </c>
      <c r="AM41" s="136" t="s">
        <v>17</v>
      </c>
      <c r="AN41" s="136" t="s">
        <v>207</v>
      </c>
      <c r="AO41" s="136" t="s">
        <v>189</v>
      </c>
      <c r="AP41" s="136" t="s">
        <v>152</v>
      </c>
      <c r="AQ41" s="150" t="s">
        <v>208</v>
      </c>
      <c r="AR41" s="150" t="s">
        <v>209</v>
      </c>
      <c r="AS41" s="150" t="s">
        <v>210</v>
      </c>
      <c r="AT41" s="150" t="str">
        <f>AT29</f>
        <v>Basis</v>
      </c>
      <c r="AU41" s="137" t="s">
        <v>211</v>
      </c>
      <c r="AW41" s="137" t="s">
        <v>195</v>
      </c>
      <c r="AY41" s="1011" t="s">
        <v>196</v>
      </c>
      <c r="AZ41" s="1011"/>
      <c r="BB41"/>
      <c r="BC41"/>
      <c r="BD41"/>
      <c r="BE41"/>
      <c r="BF41"/>
      <c r="BG41"/>
      <c r="BH41"/>
      <c r="BI41"/>
      <c r="BJ41"/>
      <c r="BK41"/>
    </row>
    <row r="42" spans="1:63" ht="17.25" customHeight="1" thickBot="1" x14ac:dyDescent="0.4">
      <c r="A42" s="163">
        <f>A39</f>
        <v>45031</v>
      </c>
      <c r="B42" s="163">
        <f t="shared" ref="B42:B48" si="79">IF(ISBLANK(A42),"",A42+2)</f>
        <v>45033</v>
      </c>
      <c r="D42" s="64"/>
      <c r="E42" s="65">
        <f>IF(G42=J42,0,INDEX('[2]Flat Rates 2023'!$A:$DB,MATCH(G42,'[2]Flat Rates 2023'!$A:$A,0),MATCH(J42,'[2]Flat Rates 2023'!$A$1:$DB$1,0)))</f>
        <v>0</v>
      </c>
      <c r="F42" s="65">
        <f>INDEX(Control!$E$17:$J$21,MATCH(L42,Control!$E$17:$E$21,0),MATCH(G42,Control!$E$17:$J$17,0))</f>
        <v>0.5</v>
      </c>
      <c r="G42" s="65" t="str">
        <f t="shared" ref="G42:G48" si="80">$G$9</f>
        <v>Corpus Christi</v>
      </c>
      <c r="H42" s="116">
        <f>INDEX(Vessel_Minimum_MT,MATCH(L42,Control!$E$11:$E$15,0),MATCH(G42,Control!$E$11:$J$11,0))</f>
        <v>50000</v>
      </c>
      <c r="I42" s="131">
        <f t="shared" ref="I42:I48" si="81">M42/$BD$17</f>
        <v>90096.96796338672</v>
      </c>
      <c r="J42" s="65" t="s">
        <v>45</v>
      </c>
      <c r="K42" s="65" t="str">
        <f t="shared" ref="K42:K48" si="82">IF(J42=G42,"",CONCATENATE(CONCATENATE(VLOOKUP(G42,Zones,2,FALSE),"/",VLOOKUP(J42,Zones,2,FALSE))))</f>
        <v/>
      </c>
      <c r="L42" s="156" t="s">
        <v>22</v>
      </c>
      <c r="M42" s="68">
        <v>700000</v>
      </c>
      <c r="N42" s="69">
        <v>0</v>
      </c>
      <c r="O42" s="70">
        <v>0</v>
      </c>
      <c r="P42" s="71">
        <f t="shared" ref="P42:P48" si="83">IF($G42="Esmeraldas",IF(N42&gt;1000,IF(O42=0,N42,O42)/M42*1.1,((H42*E42*(IF(O42=0,N42,O42)/100))+IF(I42&lt;H42,0,(I42-H42)*E42*IF(O42=0,N42,O42)/100*F42))/M42*1.1),IF(N42&gt;1000,IF(O42=0,N42,O42)/M42,((H42*E42*(IF(O42=0,N42,O42)/100))+IF(I42&lt;H42,0,(I42-H42)*E42*IF(O42=0,N42,O42)/100*F42)))/M42)</f>
        <v>0</v>
      </c>
      <c r="Q42" s="2"/>
      <c r="R42" s="138">
        <f>INDEX('[2]Flat Rates 2023'!$A:$DZ,MATCH(T42,'[2]Flat Rates 2023'!$A:$A,0),MATCH(X42,'[2]Flat Rates 2023'!$A$1:$DZ$1,0))</f>
        <v>15.7</v>
      </c>
      <c r="S42" s="138">
        <f>INDEX(Control!$E$17:$O$21,MATCH(W42,Control!$E$17:$E$21,0),MATCH(T42,Control!$E$17:$O$17,0))</f>
        <v>0.5</v>
      </c>
      <c r="T42" s="138" t="s">
        <v>104</v>
      </c>
      <c r="U42" s="116">
        <f>INDEX(Vessel_Minimum_MT,MATCH(W42,Control!$E$11:$E$15,0),MATCH(T42,Control!$E$11:$O$11,0))</f>
        <v>145000</v>
      </c>
      <c r="V42" s="140">
        <f t="shared" ref="V42:V48" si="84">Z42/$BD$17</f>
        <v>128709.9542334096</v>
      </c>
      <c r="W42" s="48" t="s">
        <v>24</v>
      </c>
      <c r="X42" s="164" t="s">
        <v>42</v>
      </c>
      <c r="Y42" s="142" t="str">
        <f t="shared" ref="Y42:Y48" si="85">IF(X42=T42,"",CONCATENATE(CONCATENATE(VLOOKUP(T42,Zones,2,FALSE),"/",VLOOKUP(X42,Zones,2,FALSE))))</f>
        <v>USGC/Nsea</v>
      </c>
      <c r="Z42" s="379">
        <v>1000000</v>
      </c>
      <c r="AA42" s="141">
        <v>70</v>
      </c>
      <c r="AB42" s="263">
        <v>145</v>
      </c>
      <c r="AC42" s="149">
        <f>IF(AA42&gt;1000,IF(AB42=0,AA42,AB42)/Z42,((U42*R42*(IF(AB42=0,AA42,AB42)/100))+IF(V42&lt;U42,0,(V42-U42)*R42*IF(AB42=0,AA42,AB42)/100*S42))/Z42)</f>
        <v>3.3009249999999999</v>
      </c>
      <c r="AD42" s="144">
        <v>1</v>
      </c>
      <c r="AE42" s="155">
        <f>IF(INDEX(Index,MATCH(X42,TVM_PortList,0),MATCH("Type",Control!$Q$3:$U$3,0))="BL",INDEX(Index,MATCH(X42,TVM_PortList,0),MATCH("Payment",Control!$Q$3:$U$3,0))-INDEX(Index,MATCH(T42,TVM_PortList,0),MATCH("Payment",Control!$Q$3:$U$3,0)),AW42+INDEX(Index,MATCH(X42,TVM_PortList,0),MATCH("Payment",Control!$Q$3:$U$3,0))-INDEX(Index,MATCH(T42,TVM_PortList,0),MATCH("Payment",Control!$Q$3:$U$3,0)))</f>
        <v>0</v>
      </c>
      <c r="AF42" s="143">
        <f t="shared" ref="AF42:AF48" si="86">AD42*VLOOKUP($W42,$BF$9:$BH$13,3,FALSE)/$Z42</f>
        <v>0.04</v>
      </c>
      <c r="AG42" s="143">
        <f t="shared" ref="AG42:AG48" si="87">IF(AE42&lt;0,0,$AE42*$BD$11)</f>
        <v>0</v>
      </c>
      <c r="AH42" s="143">
        <f t="shared" ref="AH42:AH48" si="88">IF(((Z42-VLOOKUP(W42,$BJ$10:$BK$14,2,FALSE))/$BD$18)&lt;=0,0,ROUNDUP(((Z42-VLOOKUP(W42,$BJ$10:$BK$14,2,FALSE))/$BD$18),0)*$BH$15/Z42)</f>
        <v>0</v>
      </c>
      <c r="AI42" s="143">
        <f t="shared" ref="AI42:AI48" si="89">IF(G42="Corpus Christi",$BD$10,0)</f>
        <v>0</v>
      </c>
      <c r="AJ42" s="143">
        <v>0</v>
      </c>
      <c r="AK42" s="143">
        <f t="shared" ref="AK42:AK48" si="90">$BD$12</f>
        <v>5.0000000000000001E-3</v>
      </c>
      <c r="AL42" s="143">
        <f t="shared" ref="AL42:AL48" si="91">$BD$13</f>
        <v>6.7299999999999999E-2</v>
      </c>
      <c r="AM42" s="143">
        <f>IF(INDEX(Control!$Q$3:$S$62,MATCH($X42,Control!$Q$3:$Q$62,0),MATCH(AM$8,Control!$Q$3:$S$3,0))=1,$BD$14*$BE$14,0)</f>
        <v>0</v>
      </c>
      <c r="AN42" s="143" t="e">
        <f>IF(INDEX(Control!$Q$3:$S$62,MATCH($X42,Control!$Q$3:$Q$62,0),MATCH(AN$8,Control!$Q$3:$S$3,0))=1,$BD$15/$Z42,0)</f>
        <v>#N/A</v>
      </c>
      <c r="AO42" s="143">
        <f>IF(X42="Rotterdam",0.19,"")</f>
        <v>0.19</v>
      </c>
      <c r="AP42" s="143">
        <f t="shared" ref="AP42:AP48" si="92">IF(AND(J42="Chiriqui Grande",T42="Puerto Armuelles"),$BG$18,0)</f>
        <v>0</v>
      </c>
      <c r="AQ42" s="149" t="e">
        <f t="shared" ref="AQ42:AQ43" si="93">SUM(AF42:AP42)</f>
        <v>#N/A</v>
      </c>
      <c r="AR42" s="149" t="e">
        <f t="shared" ref="AR42:AR48" si="94">+P42+AC42+AQ42</f>
        <v>#N/A</v>
      </c>
      <c r="AS42" s="149" t="e">
        <f t="shared" ref="AS42:AS48" si="95">IF(MONTH(A42)=MONTH(AZ42),0,IF(MONTH(AZ42)-MONTH(A42)&gt;1,VLOOKUP("Spreads",$AQ$3:$AU$4,MATCH(EOMONTH(AZ42,0),$AQ$3:$AU$3,0),FALSE)+VLOOKUP("Spreads",$AQ$3:$AU$4,MATCH(EOMONTH(AZ42,-1),$AQ$3:$AU$3,0),FALSE),VLOOKUP("Spreads",$AQ$3:$AU$4,MATCH(EOMONTH(AZ42,0),$AQ$3:$AU$3,0))))</f>
        <v>#N/A</v>
      </c>
      <c r="AT42" s="149" t="e">
        <f>-HLOOKUP(EOMONTH(AZ42,0),$AR$3:$AU$6,3,FALSE)</f>
        <v>#N/A</v>
      </c>
      <c r="AU42" s="135" t="e">
        <f t="shared" ref="AU42:AU48" si="96">$L$3+AR42+AS42+AT42</f>
        <v>#N/A</v>
      </c>
      <c r="AW42" s="153">
        <f>INDEX('[1]Transit Time'!$A:$DZ,MATCH(G42,'[1]Transit Time'!$A:$A,0),MATCH(J42,'[1]Transit Time'!$A$1:$DZ$1,0))+INDEX('[1]Transit Time'!$A:$DZ,MATCH(J42,'[1]Transit Time'!$A:$A,0),MATCH(T42,'[1]Transit Time'!$A$1:$DZ$1,0))+INDEX('[1]Transit Time'!$A:$DZ,MATCH(T42,'[1]Transit Time'!$A:$A,0),MATCH(X42,'[1]Transit Time'!$A$1:$DZ$1,0))</f>
        <v>16</v>
      </c>
      <c r="AY42" s="163">
        <f>IF(ISBLANK(A42),"",A42+$AW42)</f>
        <v>45047</v>
      </c>
      <c r="AZ42" s="163">
        <f t="shared" ref="AZ42:AZ48" si="97">IFERROR(IF(ISBLANK(B42),"",B42+$AW42),"")</f>
        <v>45049</v>
      </c>
      <c r="BA42" s="78">
        <f>((Z42-VLOOKUP(W42,$BJ$10:$BK$14,2,FALSE))/$BD$18)</f>
        <v>0</v>
      </c>
      <c r="BB42"/>
      <c r="BC42"/>
      <c r="BD42"/>
      <c r="BE42"/>
      <c r="BF42"/>
      <c r="BG42"/>
      <c r="BH42"/>
      <c r="BI42"/>
      <c r="BJ42"/>
      <c r="BK42"/>
    </row>
    <row r="43" spans="1:63" x14ac:dyDescent="0.35">
      <c r="A43" s="230">
        <f t="shared" ref="A43:A48" si="98">+$A$9</f>
        <v>45031</v>
      </c>
      <c r="B43" s="230">
        <f t="shared" si="79"/>
        <v>45033</v>
      </c>
      <c r="D43" s="244"/>
      <c r="E43" s="245">
        <f>IF(G43=J43,0,INDEX('[2]Flat Rates 2023'!$A:$DB,MATCH(G43,'[2]Flat Rates 2023'!$A:$A,0),MATCH(J43,'[2]Flat Rates 2023'!$A$1:$DB$1,0)))</f>
        <v>0</v>
      </c>
      <c r="F43" s="245">
        <f>INDEX(Control!$E$17:$J$21,MATCH(L43,Control!$E$17:$E$21,0),MATCH(G43,Control!$E$17:$J$17,0))</f>
        <v>0.5</v>
      </c>
      <c r="G43" s="245" t="str">
        <f t="shared" si="80"/>
        <v>Corpus Christi</v>
      </c>
      <c r="H43" s="213">
        <f>INDEX(Vessel_Minimum_MT,MATCH(L43,Control!$E$11:$E$15,0),MATCH(G43,Control!$E$11:$J$11,0))</f>
        <v>50000</v>
      </c>
      <c r="I43" s="246">
        <f t="shared" si="81"/>
        <v>90096.96796338672</v>
      </c>
      <c r="J43" s="245" t="s">
        <v>45</v>
      </c>
      <c r="K43" s="245" t="str">
        <f t="shared" si="82"/>
        <v/>
      </c>
      <c r="L43" s="247" t="s">
        <v>22</v>
      </c>
      <c r="M43" s="246">
        <v>700000</v>
      </c>
      <c r="N43" s="248">
        <v>0</v>
      </c>
      <c r="O43" s="249">
        <v>0</v>
      </c>
      <c r="P43" s="250">
        <f t="shared" si="83"/>
        <v>0</v>
      </c>
      <c r="Q43" s="2"/>
      <c r="R43" s="191">
        <v>22.58</v>
      </c>
      <c r="S43" s="220">
        <f>INDEX(Control!$E$17:$O$21,MATCH(W43,Control!$E$17:$E$21,0),MATCH(T43,Control!$E$17:$O$17,0))</f>
        <v>0.5</v>
      </c>
      <c r="T43" s="220" t="s">
        <v>104</v>
      </c>
      <c r="U43" s="213">
        <f>INDEX(Vessel_Minimum_MT,MATCH(W43,Control!$E$11:$E$15,0),MATCH(T43,Control!$E$11:$O$11,0))</f>
        <v>145000</v>
      </c>
      <c r="V43" s="222">
        <f t="shared" si="84"/>
        <v>128709.9542334096</v>
      </c>
      <c r="W43" s="215" t="s">
        <v>24</v>
      </c>
      <c r="X43" s="223" t="s">
        <v>78</v>
      </c>
      <c r="Y43" s="212" t="str">
        <f t="shared" si="85"/>
        <v>USGC/Nsea</v>
      </c>
      <c r="Z43" s="312">
        <f>Z42</f>
        <v>1000000</v>
      </c>
      <c r="AA43" s="214">
        <v>150</v>
      </c>
      <c r="AB43" s="262">
        <v>145</v>
      </c>
      <c r="AC43" s="225">
        <f t="shared" ref="AC43:AC48" si="99">IF(AA43&gt;1000,IF(AB43=0,AA43,AB43)/Z43,((U43*R43*(IF(AB43=0,AA43,AB43)/100))+IF(V43&lt;U43,0,(V43-U43)*R43*IF(AB43=0,AA43,AB43)/100*S43))/Z43)</f>
        <v>4.747444999999999</v>
      </c>
      <c r="AD43" s="226"/>
      <c r="AE43" s="214">
        <f>IF(INDEX(Index,MATCH(X43,TVM_PortList,0),MATCH("Type",Control!$Q$3:$U$3,0))="BL",INDEX(Index,MATCH(X43,TVM_PortList,0),MATCH("Payment",Control!$Q$3:$U$3,0))-INDEX(Index,MATCH(T43,TVM_PortList,0),MATCH("Payment",Control!$Q$3:$U$3,0)),AW43+INDEX(Index,MATCH(X43,TVM_PortList,0),MATCH("Payment",Control!$Q$3:$U$3,0))-INDEX(Index,MATCH(T43,TVM_PortList,0),MATCH("Payment",Control!$Q$3:$U$3,0)))</f>
        <v>0</v>
      </c>
      <c r="AF43" s="227">
        <f t="shared" si="86"/>
        <v>0</v>
      </c>
      <c r="AG43" s="227">
        <f t="shared" si="87"/>
        <v>0</v>
      </c>
      <c r="AH43" s="227">
        <f t="shared" si="88"/>
        <v>0</v>
      </c>
      <c r="AI43" s="227">
        <f t="shared" si="89"/>
        <v>0</v>
      </c>
      <c r="AJ43" s="227">
        <v>0</v>
      </c>
      <c r="AK43" s="227">
        <f t="shared" si="90"/>
        <v>5.0000000000000001E-3</v>
      </c>
      <c r="AL43" s="227">
        <f t="shared" si="91"/>
        <v>6.7299999999999999E-2</v>
      </c>
      <c r="AM43" s="227">
        <f>IF(INDEX(Control!$Q$3:$S$62,MATCH($X43,Control!$Q$3:$Q$62,0),MATCH(AM$8,Control!$Q$3:$S$3,0))=1,$BD$14*$BE$14,0)</f>
        <v>0</v>
      </c>
      <c r="AN43" s="227" t="e">
        <f>IF(INDEX(Control!$Q$3:$S$62,MATCH($X43,Control!$Q$3:$Q$62,0),MATCH(AN$8,Control!$Q$3:$S$3,0))=1,$BD$15/$Z43,0)</f>
        <v>#N/A</v>
      </c>
      <c r="AO43" s="227" t="str">
        <f t="shared" ref="AO43:AO48" si="100">IF(X43="Rotterdam",0.19,"")</f>
        <v/>
      </c>
      <c r="AP43" s="227">
        <f t="shared" si="92"/>
        <v>0</v>
      </c>
      <c r="AQ43" s="225" t="e">
        <f t="shared" si="93"/>
        <v>#N/A</v>
      </c>
      <c r="AR43" s="225" t="e">
        <f t="shared" si="94"/>
        <v>#N/A</v>
      </c>
      <c r="AS43" s="225" t="e">
        <f t="shared" si="95"/>
        <v>#N/A</v>
      </c>
      <c r="AT43" s="225"/>
      <c r="AU43" s="228" t="e">
        <f t="shared" si="96"/>
        <v>#N/A</v>
      </c>
      <c r="AV43" s="220"/>
      <c r="AW43" s="229">
        <v>21</v>
      </c>
      <c r="AX43" s="204"/>
      <c r="AY43" s="230">
        <f t="shared" ref="AY43:AY48" si="101">IF(ISBLANK(A43),"",A43+$AW43)</f>
        <v>45052</v>
      </c>
      <c r="AZ43" s="230">
        <f t="shared" si="97"/>
        <v>45054</v>
      </c>
      <c r="BB43"/>
      <c r="BC43"/>
      <c r="BD43"/>
      <c r="BE43"/>
      <c r="BF43"/>
      <c r="BG43"/>
      <c r="BH43"/>
      <c r="BI43"/>
      <c r="BJ43"/>
      <c r="BK43"/>
    </row>
    <row r="44" spans="1:63" x14ac:dyDescent="0.35">
      <c r="A44" s="163">
        <f t="shared" si="98"/>
        <v>45031</v>
      </c>
      <c r="B44" s="163">
        <f t="shared" si="79"/>
        <v>45033</v>
      </c>
      <c r="D44" s="157"/>
      <c r="E44" s="158">
        <f>IF(G44=J44,0,INDEX('[2]Flat Rates 2023'!$A:$DB,MATCH(G44,'[2]Flat Rates 2023'!$A:$A,0),MATCH(J44,'[2]Flat Rates 2023'!$A$1:$DB$1,0)))</f>
        <v>0</v>
      </c>
      <c r="F44" s="158">
        <f>INDEX(Control!$E$17:$J$21,MATCH(L44,Control!$E$17:$E$21,0),MATCH(G44,Control!$E$17:$J$17,0))</f>
        <v>0.5</v>
      </c>
      <c r="G44" s="158" t="str">
        <f t="shared" si="80"/>
        <v>Corpus Christi</v>
      </c>
      <c r="H44" s="116">
        <f>INDEX(Vessel_Minimum_MT,MATCH(L44,Control!$E$11:$E$15,0),MATCH(G44,Control!$E$11:$J$11,0))</f>
        <v>50000</v>
      </c>
      <c r="I44" s="159">
        <f t="shared" si="81"/>
        <v>90096.96796338672</v>
      </c>
      <c r="J44" s="158" t="s">
        <v>45</v>
      </c>
      <c r="K44" s="158" t="str">
        <f t="shared" si="82"/>
        <v/>
      </c>
      <c r="L44" s="156" t="s">
        <v>22</v>
      </c>
      <c r="M44" s="159">
        <v>700000</v>
      </c>
      <c r="N44" s="160">
        <v>0</v>
      </c>
      <c r="O44" s="161">
        <v>0</v>
      </c>
      <c r="P44" s="162">
        <f t="shared" si="83"/>
        <v>0</v>
      </c>
      <c r="Q44" s="2"/>
      <c r="R44" s="191">
        <f>INDEX('[2]Flat Rates 2023'!$A:$DZ,MATCH(T44,'[2]Flat Rates 2023'!$A:$A,0),MATCH(X44,'[2]Flat Rates 2023'!$A$1:$DZ$1,0))</f>
        <v>0</v>
      </c>
      <c r="S44" s="138">
        <f>INDEX(Control!$E$17:$O$21,MATCH(W44,Control!$E$17:$E$21,0),MATCH(T44,Control!$E$17:$O$17,0))</f>
        <v>0.5</v>
      </c>
      <c r="T44" s="138" t="s">
        <v>104</v>
      </c>
      <c r="U44" s="116">
        <f>INDEX(Vessel_Minimum_MT,MATCH(W44,Control!$E$11:$E$15,0),MATCH(T44,Control!$E$11:$O$11,0))</f>
        <v>145000</v>
      </c>
      <c r="V44" s="140">
        <f t="shared" si="84"/>
        <v>81087.271167048049</v>
      </c>
      <c r="W44" s="405" t="s">
        <v>24</v>
      </c>
      <c r="X44" s="164" t="s">
        <v>96</v>
      </c>
      <c r="Y44" s="142" t="str">
        <f t="shared" si="85"/>
        <v>USGC/Nsea</v>
      </c>
      <c r="Z44" s="141">
        <v>630000</v>
      </c>
      <c r="AA44" s="141">
        <v>70</v>
      </c>
      <c r="AB44" s="151">
        <f>AB42</f>
        <v>145</v>
      </c>
      <c r="AC44" s="149">
        <f t="shared" si="99"/>
        <v>0</v>
      </c>
      <c r="AD44" s="144">
        <f t="shared" ref="AD44:AD48" si="102">$AD$42</f>
        <v>1</v>
      </c>
      <c r="AE44" s="155">
        <f>IF(INDEX(Index,MATCH(X44,TVM_PortList,0),MATCH("Type",Control!$Q$3:$U$3,0))="BL",INDEX(Index,MATCH(X44,TVM_PortList,0),MATCH("Payment",Control!$Q$3:$U$3,0))-INDEX(Index,MATCH(T44,TVM_PortList,0),MATCH("Payment",Control!$Q$3:$U$3,0)),AW44+INDEX(Index,MATCH(X44,TVM_PortList,0),MATCH("Payment",Control!$Q$3:$U$3,0))-INDEX(Index,MATCH(T44,TVM_PortList,0),MATCH("Payment",Control!$Q$3:$U$3,0)))</f>
        <v>0</v>
      </c>
      <c r="AF44" s="143">
        <f t="shared" si="86"/>
        <v>6.3492063492063489E-2</v>
      </c>
      <c r="AG44" s="143">
        <f t="shared" si="87"/>
        <v>0</v>
      </c>
      <c r="AH44" s="143">
        <f t="shared" si="88"/>
        <v>0</v>
      </c>
      <c r="AI44" s="143">
        <f t="shared" si="89"/>
        <v>0</v>
      </c>
      <c r="AJ44" s="143">
        <v>0</v>
      </c>
      <c r="AK44" s="143">
        <f t="shared" si="90"/>
        <v>5.0000000000000001E-3</v>
      </c>
      <c r="AL44" s="143">
        <f t="shared" si="91"/>
        <v>6.7299999999999999E-2</v>
      </c>
      <c r="AM44" s="143">
        <f>IF(INDEX(Control!$Q$3:$S$62,MATCH($X44,Control!$Q$3:$Q$62,0),MATCH(AM$8,Control!$Q$3:$S$3,0))=1,$BD$14*$BE$14,0)</f>
        <v>0</v>
      </c>
      <c r="AN44" s="143" t="e">
        <f>IF(INDEX(Control!$Q$3:$S$62,MATCH($X44,Control!$Q$3:$Q$62,0),MATCH(AN$8,Control!$Q$3:$S$3,0))=1,$BD$15/$Z44,0)</f>
        <v>#N/A</v>
      </c>
      <c r="AO44" s="143" t="str">
        <f t="shared" si="100"/>
        <v/>
      </c>
      <c r="AP44" s="143">
        <f t="shared" si="92"/>
        <v>0</v>
      </c>
      <c r="AQ44" s="149" t="e">
        <f t="shared" ref="AQ44" si="103">SUM(AF44:AP44)</f>
        <v>#N/A</v>
      </c>
      <c r="AR44" s="149" t="e">
        <f t="shared" si="94"/>
        <v>#N/A</v>
      </c>
      <c r="AS44" s="149">
        <f t="shared" si="95"/>
        <v>0</v>
      </c>
      <c r="AT44" s="149" t="e">
        <f t="shared" ref="AT44:AT48" si="104">-HLOOKUP(EOMONTH(AZ44,0),$AR$3:$AU$6,3,FALSE)</f>
        <v>#N/A</v>
      </c>
      <c r="AU44" s="135" t="e">
        <f t="shared" si="96"/>
        <v>#N/A</v>
      </c>
      <c r="AW44" s="153">
        <f>INDEX('[1]Transit Time'!$A:$DZ,MATCH(G44,'[1]Transit Time'!$A:$A,0),MATCH(J44,'[1]Transit Time'!$A$1:$DZ$1,0))+INDEX('[1]Transit Time'!$A:$DZ,MATCH(J44,'[1]Transit Time'!$A:$A,0),MATCH(T44,'[1]Transit Time'!$A$1:$DZ$1,0))+INDEX('[1]Transit Time'!$A:$DZ,MATCH(T44,'[1]Transit Time'!$A:$A,0),MATCH(X44,'[1]Transit Time'!$A$1:$DZ$1,0))</f>
        <v>0</v>
      </c>
      <c r="AX44" s="152"/>
      <c r="AY44" s="163">
        <f t="shared" si="101"/>
        <v>45031</v>
      </c>
      <c r="AZ44" s="163">
        <f t="shared" si="97"/>
        <v>45033</v>
      </c>
      <c r="BB44"/>
      <c r="BC44"/>
      <c r="BD44"/>
      <c r="BE44"/>
      <c r="BF44"/>
      <c r="BG44"/>
      <c r="BH44"/>
      <c r="BI44"/>
      <c r="BJ44"/>
      <c r="BK44"/>
    </row>
    <row r="45" spans="1:63" ht="17.25" customHeight="1" x14ac:dyDescent="0.35">
      <c r="A45" s="230">
        <f t="shared" si="98"/>
        <v>45031</v>
      </c>
      <c r="B45" s="230">
        <f t="shared" si="79"/>
        <v>45033</v>
      </c>
      <c r="D45" s="251"/>
      <c r="E45" s="252">
        <f>IF(G45=J45,0,INDEX('[2]Flat Rates 2023'!$A:$DB,MATCH(G45,'[2]Flat Rates 2023'!$A:$A,0),MATCH(J45,'[2]Flat Rates 2023'!$A$1:$DB$1,0)))</f>
        <v>0</v>
      </c>
      <c r="F45" s="252">
        <f>INDEX(Control!$E$17:$J$21,MATCH(L45,Control!$E$17:$E$21,0),MATCH(G45,Control!$E$17:$J$17,0))</f>
        <v>0.5</v>
      </c>
      <c r="G45" s="252" t="str">
        <f t="shared" si="80"/>
        <v>Corpus Christi</v>
      </c>
      <c r="H45" s="213">
        <f>INDEX(Vessel_Minimum_MT,MATCH(L45,Control!$E$11:$E$15,0),MATCH(G45,Control!$E$11:$J$11,0))</f>
        <v>50000</v>
      </c>
      <c r="I45" s="253">
        <f t="shared" si="81"/>
        <v>90096.96796338672</v>
      </c>
      <c r="J45" s="252" t="s">
        <v>45</v>
      </c>
      <c r="K45" s="252" t="str">
        <f t="shared" si="82"/>
        <v/>
      </c>
      <c r="L45" s="247" t="s">
        <v>22</v>
      </c>
      <c r="M45" s="254">
        <v>700000</v>
      </c>
      <c r="N45" s="255">
        <v>0</v>
      </c>
      <c r="O45" s="256">
        <v>0</v>
      </c>
      <c r="P45" s="257">
        <f t="shared" si="83"/>
        <v>0</v>
      </c>
      <c r="Q45" s="2"/>
      <c r="R45" s="220">
        <f>INDEX('[2]Flat Rates 2023'!$A:$DZ,MATCH(T45,'[2]Flat Rates 2023'!$A:$A,0),MATCH(X45,'[2]Flat Rates 2023'!$A$1:$DZ$1,0))</f>
        <v>18.52</v>
      </c>
      <c r="S45" s="220">
        <f>INDEX(Control!$E$17:$O$21,MATCH(W45,Control!$E$17:$E$21,0),MATCH(T45,Control!$E$17:$O$17,0))</f>
        <v>0.5</v>
      </c>
      <c r="T45" s="220" t="s">
        <v>104</v>
      </c>
      <c r="U45" s="213">
        <f>INDEX(Vessel_Minimum_MT,MATCH(W45,Control!$E$11:$E$15,0),MATCH(T45,Control!$E$11:$O$11,0))</f>
        <v>145000</v>
      </c>
      <c r="V45" s="222">
        <f t="shared" si="84"/>
        <v>128709.9542334096</v>
      </c>
      <c r="W45" s="258" t="s">
        <v>24</v>
      </c>
      <c r="X45" s="223" t="s">
        <v>29</v>
      </c>
      <c r="Y45" s="212" t="str">
        <f t="shared" si="85"/>
        <v>USGC/Med</v>
      </c>
      <c r="Z45" s="214">
        <f t="shared" ref="Z45:Z46" si="105">$Z$42</f>
        <v>1000000</v>
      </c>
      <c r="AA45" s="214">
        <v>70</v>
      </c>
      <c r="AB45" s="224">
        <f>AB44</f>
        <v>145</v>
      </c>
      <c r="AC45" s="225">
        <f t="shared" si="99"/>
        <v>3.8938299999999999</v>
      </c>
      <c r="AD45" s="226">
        <f t="shared" si="102"/>
        <v>1</v>
      </c>
      <c r="AE45" s="214">
        <f>IF(INDEX(Index,MATCH(X45,TVM_PortList,0),MATCH("Type",Control!$Q$3:$U$3,0))="BL",INDEX(Index,MATCH(X45,TVM_PortList,0),MATCH("Payment",Control!$Q$3:$U$3,0))-INDEX(Index,MATCH(T45,TVM_PortList,0),MATCH("Payment",Control!$Q$3:$U$3,0)),AW45+INDEX(Index,MATCH(X45,TVM_PortList,0),MATCH("Payment",Control!$Q$3:$U$3,0))-INDEX(Index,MATCH(T45,TVM_PortList,0),MATCH("Payment",Control!$Q$3:$U$3,0)))</f>
        <v>0</v>
      </c>
      <c r="AF45" s="227">
        <f t="shared" si="86"/>
        <v>0.04</v>
      </c>
      <c r="AG45" s="227">
        <f t="shared" si="87"/>
        <v>0</v>
      </c>
      <c r="AH45" s="227">
        <f t="shared" si="88"/>
        <v>0</v>
      </c>
      <c r="AI45" s="227">
        <f t="shared" si="89"/>
        <v>0</v>
      </c>
      <c r="AJ45" s="227">
        <v>0</v>
      </c>
      <c r="AK45" s="227">
        <f t="shared" si="90"/>
        <v>5.0000000000000001E-3</v>
      </c>
      <c r="AL45" s="227">
        <f t="shared" si="91"/>
        <v>6.7299999999999999E-2</v>
      </c>
      <c r="AM45" s="227">
        <f>IF(INDEX(Control!$Q$3:$S$62,MATCH($X45,Control!$Q$3:$Q$62,0),MATCH(AM$8,Control!$Q$3:$S$3,0))=1,$BD$14*$BE$14,0)</f>
        <v>0</v>
      </c>
      <c r="AN45" s="227" t="e">
        <f>IF(INDEX(Control!$Q$3:$S$62,MATCH($X45,Control!$Q$3:$Q$62,0),MATCH(AN$8,Control!$Q$3:$S$3,0))=1,$BD$15/$Z45,0)</f>
        <v>#N/A</v>
      </c>
      <c r="AO45" s="227" t="str">
        <f t="shared" si="100"/>
        <v/>
      </c>
      <c r="AP45" s="227">
        <f t="shared" si="92"/>
        <v>0</v>
      </c>
      <c r="AQ45" s="225" t="e">
        <f t="shared" ref="AQ45" si="106">SUM(AF45:AP45)</f>
        <v>#N/A</v>
      </c>
      <c r="AR45" s="225" t="e">
        <f t="shared" si="94"/>
        <v>#N/A</v>
      </c>
      <c r="AS45" s="225">
        <f t="shared" si="95"/>
        <v>0</v>
      </c>
      <c r="AT45" s="225" t="e">
        <f t="shared" si="104"/>
        <v>#N/A</v>
      </c>
      <c r="AU45" s="228" t="e">
        <f t="shared" si="96"/>
        <v>#N/A</v>
      </c>
      <c r="AV45" s="220"/>
      <c r="AW45" s="229">
        <f>INDEX('[1]Transit Time'!$A:$DZ,MATCH(G45,'[1]Transit Time'!$A:$A,0),MATCH(J45,'[1]Transit Time'!$A$1:$DZ$1,0))+INDEX('[1]Transit Time'!$A:$DZ,MATCH(J45,'[1]Transit Time'!$A:$A,0),MATCH(T45,'[1]Transit Time'!$A$1:$DZ$1,0))+INDEX('[1]Transit Time'!$A:$DZ,MATCH(T45,'[1]Transit Time'!$A:$A,0),MATCH(X45,'[1]Transit Time'!$A$1:$DZ$1,0))</f>
        <v>0</v>
      </c>
      <c r="AX45" s="220"/>
      <c r="AY45" s="230">
        <f t="shared" si="101"/>
        <v>45031</v>
      </c>
      <c r="AZ45" s="230">
        <f t="shared" si="97"/>
        <v>45033</v>
      </c>
      <c r="BB45"/>
      <c r="BC45"/>
      <c r="BD45"/>
      <c r="BE45"/>
      <c r="BF45"/>
      <c r="BG45"/>
      <c r="BH45"/>
      <c r="BI45"/>
      <c r="BJ45"/>
      <c r="BK45"/>
    </row>
    <row r="46" spans="1:63" ht="16" thickBot="1" x14ac:dyDescent="0.4">
      <c r="A46" s="163">
        <f t="shared" si="98"/>
        <v>45031</v>
      </c>
      <c r="B46" s="163">
        <f t="shared" si="79"/>
        <v>45033</v>
      </c>
      <c r="D46" s="157"/>
      <c r="E46" s="158">
        <f>IF(G46=J46,0,INDEX('[2]Flat Rates 2023'!$A:$DB,MATCH(G46,'[2]Flat Rates 2023'!$A:$A,0),MATCH(J46,'[2]Flat Rates 2023'!$A$1:$DB$1,0)))</f>
        <v>0</v>
      </c>
      <c r="F46" s="158">
        <f>INDEX(Control!$E$17:$J$21,MATCH(L46,Control!$E$17:$E$21,0),MATCH(G46,Control!$E$17:$J$17,0))</f>
        <v>0.5</v>
      </c>
      <c r="G46" s="158" t="str">
        <f t="shared" si="80"/>
        <v>Corpus Christi</v>
      </c>
      <c r="H46" s="116">
        <f>INDEX(Vessel_Minimum_MT,MATCH(L46,Control!$E$11:$E$15,0),MATCH(G46,Control!$E$11:$J$11,0))</f>
        <v>50000</v>
      </c>
      <c r="I46" s="159">
        <f t="shared" si="81"/>
        <v>90096.96796338672</v>
      </c>
      <c r="J46" s="158" t="s">
        <v>45</v>
      </c>
      <c r="K46" s="158" t="str">
        <f t="shared" si="82"/>
        <v/>
      </c>
      <c r="L46" s="156" t="s">
        <v>22</v>
      </c>
      <c r="M46" s="159">
        <v>700000</v>
      </c>
      <c r="N46" s="160">
        <v>0</v>
      </c>
      <c r="O46" s="161">
        <v>0</v>
      </c>
      <c r="P46" s="162">
        <f t="shared" si="83"/>
        <v>0</v>
      </c>
      <c r="Q46" s="2"/>
      <c r="R46" s="138">
        <f>INDEX('[2]Flat Rates 2023'!$A:$DZ,MATCH(T46,'[2]Flat Rates 2023'!$A:$A,0),MATCH(X46,'[2]Flat Rates 2023'!$A$1:$DZ$1,0))</f>
        <v>0</v>
      </c>
      <c r="S46" s="138">
        <f>INDEX(Control!$E$17:$O$21,MATCH(W46,Control!$E$17:$E$21,0),MATCH(T46,Control!$E$17:$O$17,0))</f>
        <v>0.5</v>
      </c>
      <c r="T46" s="138" t="s">
        <v>104</v>
      </c>
      <c r="U46" s="116">
        <f>INDEX(Vessel_Minimum_MT,MATCH(W46,Control!$E$11:$E$15,0),MATCH(T46,Control!$E$11:$O$11,0))</f>
        <v>145000</v>
      </c>
      <c r="V46" s="140">
        <f t="shared" si="84"/>
        <v>128709.9542334096</v>
      </c>
      <c r="W46" s="147" t="s">
        <v>24</v>
      </c>
      <c r="X46" s="164" t="s">
        <v>75</v>
      </c>
      <c r="Y46" s="142" t="str">
        <f t="shared" si="85"/>
        <v>USGC/Nsea</v>
      </c>
      <c r="Z46" s="141">
        <f t="shared" si="105"/>
        <v>1000000</v>
      </c>
      <c r="AA46" s="141">
        <v>70</v>
      </c>
      <c r="AB46" s="49">
        <f>AB44</f>
        <v>145</v>
      </c>
      <c r="AC46" s="149">
        <f t="shared" si="99"/>
        <v>0</v>
      </c>
      <c r="AD46" s="28">
        <f t="shared" si="102"/>
        <v>1</v>
      </c>
      <c r="AE46" s="155">
        <f>IF(INDEX(Index,MATCH(X46,TVM_PortList,0),MATCH("Type",Control!$Q$3:$U$3,0))="BL",INDEX(Index,MATCH(X46,TVM_PortList,0),MATCH("Payment",Control!$Q$3:$U$3,0))-INDEX(Index,MATCH(T46,TVM_PortList,0),MATCH("Payment",Control!$Q$3:$U$3,0)),AW46+INDEX(Index,MATCH(X46,TVM_PortList,0),MATCH("Payment",Control!$Q$3:$U$3,0))-INDEX(Index,MATCH(T46,TVM_PortList,0),MATCH("Payment",Control!$Q$3:$U$3,0)))</f>
        <v>0</v>
      </c>
      <c r="AF46" s="143">
        <f t="shared" si="86"/>
        <v>0.04</v>
      </c>
      <c r="AG46" s="143">
        <f t="shared" si="87"/>
        <v>0</v>
      </c>
      <c r="AH46" s="143">
        <f t="shared" si="88"/>
        <v>0</v>
      </c>
      <c r="AI46" s="143">
        <f t="shared" si="89"/>
        <v>0</v>
      </c>
      <c r="AJ46" s="143">
        <v>0</v>
      </c>
      <c r="AK46" s="143">
        <f t="shared" si="90"/>
        <v>5.0000000000000001E-3</v>
      </c>
      <c r="AL46" s="143">
        <f t="shared" si="91"/>
        <v>6.7299999999999999E-2</v>
      </c>
      <c r="AM46" s="143">
        <f>IF(INDEX(Control!$Q$3:$S$62,MATCH($X46,Control!$Q$3:$Q$62,0),MATCH(AM$8,Control!$Q$3:$S$3,0))=1,$BD$14*$BE$14,0)</f>
        <v>0</v>
      </c>
      <c r="AN46" s="143" t="e">
        <f>IF(INDEX(Control!$Q$3:$S$62,MATCH($X46,Control!$Q$3:$Q$62,0),MATCH(AN$8,Control!$Q$3:$S$3,0))=1,$BD$15/$Z46,0)</f>
        <v>#N/A</v>
      </c>
      <c r="AO46" s="143" t="str">
        <f t="shared" si="100"/>
        <v/>
      </c>
      <c r="AP46" s="143">
        <f t="shared" si="92"/>
        <v>0</v>
      </c>
      <c r="AQ46" s="149" t="e">
        <f t="shared" ref="AQ46:AQ47" si="107">SUM(AF46:AP46)</f>
        <v>#N/A</v>
      </c>
      <c r="AR46" s="149" t="e">
        <f t="shared" si="94"/>
        <v>#N/A</v>
      </c>
      <c r="AS46" s="149">
        <f t="shared" si="95"/>
        <v>0</v>
      </c>
      <c r="AT46" s="149" t="e">
        <f t="shared" si="104"/>
        <v>#N/A</v>
      </c>
      <c r="AU46" s="135" t="e">
        <f t="shared" si="96"/>
        <v>#N/A</v>
      </c>
      <c r="AW46" s="153">
        <f>INDEX('[1]Transit Time'!$A:$DZ,MATCH(G46,'[1]Transit Time'!$A:$A,0),MATCH(J46,'[1]Transit Time'!$A$1:$DZ$1,0))+INDEX('[1]Transit Time'!$A:$DZ,MATCH(J46,'[1]Transit Time'!$A:$A,0),MATCH(T46,'[1]Transit Time'!$A$1:$DZ$1,0))+INDEX('[1]Transit Time'!$A:$DZ,MATCH(T46,'[1]Transit Time'!$A:$A,0),MATCH(X46,'[1]Transit Time'!$A$1:$DZ$1,0))</f>
        <v>0</v>
      </c>
      <c r="AX46" s="152"/>
      <c r="AY46" s="163">
        <f t="shared" si="101"/>
        <v>45031</v>
      </c>
      <c r="AZ46" s="163">
        <f t="shared" si="97"/>
        <v>45033</v>
      </c>
      <c r="BB46"/>
      <c r="BC46"/>
      <c r="BD46"/>
      <c r="BE46"/>
      <c r="BF46"/>
      <c r="BG46"/>
      <c r="BH46"/>
      <c r="BI46"/>
      <c r="BJ46"/>
      <c r="BK46"/>
    </row>
    <row r="47" spans="1:63" ht="16" thickBot="1" x14ac:dyDescent="0.4">
      <c r="A47" s="230">
        <f t="shared" si="98"/>
        <v>45031</v>
      </c>
      <c r="B47" s="230">
        <f t="shared" si="79"/>
        <v>45033</v>
      </c>
      <c r="D47" s="244"/>
      <c r="E47" s="245">
        <f>IF(G47=J47,0,INDEX('[2]Flat Rates 2023'!$A:$DB,MATCH(G47,'[2]Flat Rates 2023'!$A:$A,0),MATCH(J47,'[2]Flat Rates 2023'!$A$1:$DB$1,0)))</f>
        <v>0</v>
      </c>
      <c r="F47" s="245">
        <f>INDEX(Control!$E$17:$J$21,MATCH(L47,Control!$E$17:$E$21,0),MATCH(G47,Control!$E$17:$J$17,0))</f>
        <v>0.5</v>
      </c>
      <c r="G47" s="245" t="str">
        <f t="shared" si="80"/>
        <v>Corpus Christi</v>
      </c>
      <c r="H47" s="213">
        <f>INDEX(Vessel_Minimum_MT,MATCH(L47,Control!$E$11:$E$15,0),MATCH(G47,Control!$E$11:$J$11,0))</f>
        <v>50000</v>
      </c>
      <c r="I47" s="246">
        <f t="shared" si="81"/>
        <v>90096.96796338672</v>
      </c>
      <c r="J47" s="245" t="s">
        <v>45</v>
      </c>
      <c r="K47" s="245" t="str">
        <f t="shared" si="82"/>
        <v/>
      </c>
      <c r="L47" s="247" t="s">
        <v>22</v>
      </c>
      <c r="M47" s="246">
        <v>700000</v>
      </c>
      <c r="N47" s="248">
        <v>0</v>
      </c>
      <c r="O47" s="249">
        <v>0</v>
      </c>
      <c r="P47" s="250">
        <f t="shared" si="83"/>
        <v>0</v>
      </c>
      <c r="Q47" s="2"/>
      <c r="R47" s="220">
        <f>INDEX('[2]Flat Rates 2023'!$A:$DZ,MATCH(T47,'[2]Flat Rates 2023'!$A:$A,0),MATCH(X47,'[2]Flat Rates 2023'!$A$1:$DZ$1,0))</f>
        <v>15.7</v>
      </c>
      <c r="S47" s="220">
        <f>INDEX(Control!$E$17:$O$21,MATCH(W47,Control!$E$17:$E$21,0),MATCH(T47,Control!$E$17:$O$17,0))</f>
        <v>0.5</v>
      </c>
      <c r="T47" s="220" t="s">
        <v>104</v>
      </c>
      <c r="U47" s="213">
        <f>INDEX(Vessel_Minimum_MT,MATCH(W47,Control!$E$11:$E$15,0),MATCH(T47,Control!$E$11:$O$11,0))</f>
        <v>145000</v>
      </c>
      <c r="V47" s="222">
        <f t="shared" si="84"/>
        <v>109403.46109839817</v>
      </c>
      <c r="W47" s="215" t="s">
        <v>24</v>
      </c>
      <c r="X47" s="223" t="s">
        <v>42</v>
      </c>
      <c r="Y47" s="212" t="str">
        <f t="shared" si="85"/>
        <v>USGC/Nsea</v>
      </c>
      <c r="Z47" s="214">
        <v>850000</v>
      </c>
      <c r="AA47" s="214">
        <v>70</v>
      </c>
      <c r="AB47" s="377">
        <v>70</v>
      </c>
      <c r="AC47" s="225">
        <f t="shared" si="99"/>
        <v>1.8747647058823529</v>
      </c>
      <c r="AD47" s="306">
        <f t="shared" si="102"/>
        <v>1</v>
      </c>
      <c r="AE47" s="214">
        <f>IF(INDEX(Index,MATCH(X47,TVM_PortList,0),MATCH("Type",Control!$Q$3:$U$3,0))="BL",INDEX(Index,MATCH(X47,TVM_PortList,0),MATCH("Payment",Control!$Q$3:$U$3,0))-INDEX(Index,MATCH(T47,TVM_PortList,0),MATCH("Payment",Control!$Q$3:$U$3,0)),AW47+INDEX(Index,MATCH(X47,TVM_PortList,0),MATCH("Payment",Control!$Q$3:$U$3,0))-INDEX(Index,MATCH(T47,TVM_PortList,0),MATCH("Payment",Control!$Q$3:$U$3,0)))</f>
        <v>0</v>
      </c>
      <c r="AF47" s="227">
        <f t="shared" si="86"/>
        <v>4.7058823529411764E-2</v>
      </c>
      <c r="AG47" s="227">
        <f t="shared" si="87"/>
        <v>0</v>
      </c>
      <c r="AH47" s="227">
        <f t="shared" si="88"/>
        <v>0</v>
      </c>
      <c r="AI47" s="227">
        <f t="shared" si="89"/>
        <v>0</v>
      </c>
      <c r="AJ47" s="227">
        <v>0</v>
      </c>
      <c r="AK47" s="227">
        <f t="shared" si="90"/>
        <v>5.0000000000000001E-3</v>
      </c>
      <c r="AL47" s="227">
        <f t="shared" si="91"/>
        <v>6.7299999999999999E-2</v>
      </c>
      <c r="AM47" s="227">
        <f>IF(INDEX(Control!$Q$3:$S$62,MATCH($X47,Control!$Q$3:$Q$62,0),MATCH(AM$8,Control!$Q$3:$S$3,0))=1,$BD$14*$BE$14,0)</f>
        <v>0</v>
      </c>
      <c r="AN47" s="227" t="e">
        <f>IF(INDEX(Control!$Q$3:$S$62,MATCH($X47,Control!$Q$3:$Q$62,0),MATCH(AN$8,Control!$Q$3:$S$3,0))=1,$BD$15/$Z47,0)</f>
        <v>#N/A</v>
      </c>
      <c r="AO47" s="227">
        <f t="shared" si="100"/>
        <v>0.19</v>
      </c>
      <c r="AP47" s="227">
        <f t="shared" si="92"/>
        <v>0</v>
      </c>
      <c r="AQ47" s="225" t="e">
        <f t="shared" si="107"/>
        <v>#N/A</v>
      </c>
      <c r="AR47" s="225" t="e">
        <f t="shared" si="94"/>
        <v>#N/A</v>
      </c>
      <c r="AS47" s="225" t="e">
        <f t="shared" si="95"/>
        <v>#N/A</v>
      </c>
      <c r="AT47" s="225" t="e">
        <f t="shared" si="104"/>
        <v>#N/A</v>
      </c>
      <c r="AU47" s="228" t="e">
        <f t="shared" si="96"/>
        <v>#N/A</v>
      </c>
      <c r="AV47" s="220"/>
      <c r="AW47" s="229">
        <f>INDEX('[1]Transit Time'!$A:$DZ,MATCH(G47,'[1]Transit Time'!$A:$A,0),MATCH(J47,'[1]Transit Time'!$A$1:$DZ$1,0))+INDEX('[1]Transit Time'!$A:$DZ,MATCH(J47,'[1]Transit Time'!$A:$A,0),MATCH(T47,'[1]Transit Time'!$A$1:$DZ$1,0))+INDEX('[1]Transit Time'!$A:$DZ,MATCH(T47,'[1]Transit Time'!$A:$A,0),MATCH(X47,'[1]Transit Time'!$A$1:$DZ$1,0))</f>
        <v>16</v>
      </c>
      <c r="AX47" s="204"/>
      <c r="AY47" s="230">
        <f t="shared" si="101"/>
        <v>45047</v>
      </c>
      <c r="AZ47" s="230">
        <f t="shared" si="97"/>
        <v>45049</v>
      </c>
      <c r="BB47"/>
      <c r="BC47"/>
      <c r="BD47"/>
      <c r="BE47"/>
      <c r="BF47"/>
      <c r="BG47"/>
      <c r="BH47"/>
      <c r="BI47"/>
      <c r="BJ47"/>
      <c r="BK47"/>
    </row>
    <row r="48" spans="1:63" ht="16" thickBot="1" x14ac:dyDescent="0.4">
      <c r="A48" s="163">
        <f t="shared" si="98"/>
        <v>45031</v>
      </c>
      <c r="B48" s="163">
        <f t="shared" si="79"/>
        <v>45033</v>
      </c>
      <c r="D48" s="157"/>
      <c r="E48" s="158">
        <f>IF(G48=J48,0,INDEX('[2]Flat Rates 2023'!$A:$DB,MATCH(G48,'[2]Flat Rates 2023'!$A:$A,0),MATCH(J48,'[2]Flat Rates 2023'!$A$1:$DB$1,0)))</f>
        <v>0</v>
      </c>
      <c r="F48" s="158">
        <f>INDEX(Control!$E$17:$J$21,MATCH(L48,Control!$E$17:$E$21,0),MATCH(G48,Control!$E$17:$J$17,0))</f>
        <v>0.5</v>
      </c>
      <c r="G48" s="158" t="str">
        <f t="shared" si="80"/>
        <v>Corpus Christi</v>
      </c>
      <c r="H48" s="116">
        <f>INDEX(Vessel_Minimum_MT,MATCH(L48,Control!$E$11:$E$15,0),MATCH(G48,Control!$E$11:$J$11,0))</f>
        <v>50000</v>
      </c>
      <c r="I48" s="159">
        <f t="shared" si="81"/>
        <v>90096.96796338672</v>
      </c>
      <c r="J48" s="158" t="s">
        <v>45</v>
      </c>
      <c r="K48" s="158" t="str">
        <f t="shared" si="82"/>
        <v/>
      </c>
      <c r="L48" s="156" t="s">
        <v>22</v>
      </c>
      <c r="M48" s="159">
        <v>700000</v>
      </c>
      <c r="N48" s="160">
        <v>0</v>
      </c>
      <c r="O48" s="161">
        <v>0</v>
      </c>
      <c r="P48" s="162">
        <f t="shared" si="83"/>
        <v>0</v>
      </c>
      <c r="Q48" s="2"/>
      <c r="R48" s="138">
        <f>INDEX('[2]Flat Rates 2023'!$A:$DZ,MATCH(T48,'[2]Flat Rates 2023'!$A:$A,0),MATCH(X48,'[2]Flat Rates 2023'!$A$1:$DZ$1,0))</f>
        <v>15.7</v>
      </c>
      <c r="S48" s="138">
        <f>INDEX(Control!$E$17:$O$21,MATCH(W48,Control!$E$17:$E$21,0),MATCH(T48,Control!$E$17:$O$17,0))</f>
        <v>0.5</v>
      </c>
      <c r="T48" s="138" t="s">
        <v>104</v>
      </c>
      <c r="U48" s="116">
        <f>INDEX(Vessel_Minimum_MT,MATCH(W48,Control!$E$11:$E$15,0),MATCH(T48,Control!$E$11:$O$11,0))</f>
        <v>270000</v>
      </c>
      <c r="V48" s="140">
        <f t="shared" si="84"/>
        <v>263855.40617848968</v>
      </c>
      <c r="W48" s="147" t="s">
        <v>25</v>
      </c>
      <c r="X48" s="164" t="s">
        <v>42</v>
      </c>
      <c r="Y48" s="142" t="str">
        <f t="shared" si="85"/>
        <v>USGC/Nsea</v>
      </c>
      <c r="Z48" s="141">
        <v>2050000</v>
      </c>
      <c r="AA48" s="141">
        <v>1001</v>
      </c>
      <c r="AB48" s="202">
        <v>1750000</v>
      </c>
      <c r="AC48" s="149">
        <f t="shared" si="99"/>
        <v>0.85365853658536583</v>
      </c>
      <c r="AD48" s="28">
        <f t="shared" si="102"/>
        <v>1</v>
      </c>
      <c r="AE48" s="155">
        <f>IF(INDEX(Index,MATCH(X48,TVM_PortList,0),MATCH("Type",Control!$Q$3:$U$3,0))="BL",INDEX(Index,MATCH(X48,TVM_PortList,0),MATCH("Payment",Control!$Q$3:$U$3,0))-INDEX(Index,MATCH(T48,TVM_PortList,0),MATCH("Payment",Control!$Q$3:$U$3,0)),AW48+INDEX(Index,MATCH(X48,TVM_PortList,0),MATCH("Payment",Control!$Q$3:$U$3,0))-INDEX(Index,MATCH(T48,TVM_PortList,0),MATCH("Payment",Control!$Q$3:$U$3,0)))</f>
        <v>0</v>
      </c>
      <c r="AF48" s="143">
        <f t="shared" si="86"/>
        <v>2.4390243902439025E-2</v>
      </c>
      <c r="AG48" s="143">
        <f t="shared" si="87"/>
        <v>0</v>
      </c>
      <c r="AH48" s="143">
        <f t="shared" si="88"/>
        <v>0.13414634146341464</v>
      </c>
      <c r="AI48" s="143">
        <f t="shared" si="89"/>
        <v>0</v>
      </c>
      <c r="AJ48" s="143">
        <v>0</v>
      </c>
      <c r="AK48" s="143">
        <f t="shared" si="90"/>
        <v>5.0000000000000001E-3</v>
      </c>
      <c r="AL48" s="143">
        <f t="shared" si="91"/>
        <v>6.7299999999999999E-2</v>
      </c>
      <c r="AM48" s="143">
        <f>IF(INDEX(Control!$Q$3:$S$62,MATCH($X48,Control!$Q$3:$Q$62,0),MATCH(AM$8,Control!$Q$3:$S$3,0))=1,$BD$14*$BE$14,0)</f>
        <v>0</v>
      </c>
      <c r="AN48" s="143" t="e">
        <f>IF(INDEX(Control!$Q$3:$S$62,MATCH($X48,Control!$Q$3:$Q$62,0),MATCH(AN$8,Control!$Q$3:$S$3,0))=1,$BD$15/$Z48,0)</f>
        <v>#N/A</v>
      </c>
      <c r="AO48" s="143">
        <f t="shared" si="100"/>
        <v>0.19</v>
      </c>
      <c r="AP48" s="143">
        <f t="shared" si="92"/>
        <v>0</v>
      </c>
      <c r="AQ48" s="149" t="e">
        <f t="shared" ref="AQ48" si="108">SUM(AF48:AP48)</f>
        <v>#N/A</v>
      </c>
      <c r="AR48" s="149" t="e">
        <f t="shared" si="94"/>
        <v>#N/A</v>
      </c>
      <c r="AS48" s="149" t="e">
        <f t="shared" si="95"/>
        <v>#N/A</v>
      </c>
      <c r="AT48" s="149" t="e">
        <f t="shared" si="104"/>
        <v>#N/A</v>
      </c>
      <c r="AU48" s="145" t="e">
        <f t="shared" si="96"/>
        <v>#N/A</v>
      </c>
      <c r="AW48" s="153">
        <f>INDEX('[1]Transit Time'!$A:$DZ,MATCH(G48,'[1]Transit Time'!$A:$A,0),MATCH(J48,'[1]Transit Time'!$A$1:$DZ$1,0))+INDEX('[1]Transit Time'!$A:$DZ,MATCH(J48,'[1]Transit Time'!$A:$A,0),MATCH(T48,'[1]Transit Time'!$A$1:$DZ$1,0))+INDEX('[1]Transit Time'!$A:$DZ,MATCH(T48,'[1]Transit Time'!$A:$A,0),MATCH(X48,'[1]Transit Time'!$A$1:$DZ$1,0))</f>
        <v>16</v>
      </c>
      <c r="AX48" s="152"/>
      <c r="AY48" s="163">
        <f t="shared" si="101"/>
        <v>45047</v>
      </c>
      <c r="AZ48" s="163">
        <f t="shared" si="97"/>
        <v>45049</v>
      </c>
      <c r="BB48"/>
      <c r="BC48"/>
      <c r="BD48"/>
      <c r="BE48"/>
      <c r="BF48"/>
      <c r="BG48"/>
      <c r="BH48"/>
      <c r="BI48"/>
      <c r="BJ48"/>
      <c r="BK48"/>
    </row>
    <row r="49" spans="1:63" ht="18.75" customHeight="1" thickBot="1" x14ac:dyDescent="0.5">
      <c r="A49" s="163"/>
      <c r="B49" s="163"/>
      <c r="D49" s="1053" t="str">
        <f>D7</f>
        <v>CORPUS-PTP</v>
      </c>
      <c r="E49" s="1054"/>
      <c r="F49" s="1054"/>
      <c r="G49" s="1054"/>
      <c r="H49" s="1054"/>
      <c r="I49" s="1054"/>
      <c r="J49" s="1054"/>
      <c r="K49" s="1054"/>
      <c r="L49" s="1054"/>
      <c r="M49" s="1054"/>
      <c r="N49" s="1054"/>
      <c r="O49" s="1054"/>
      <c r="P49" s="1055"/>
      <c r="Q49" s="2"/>
      <c r="R49" s="9"/>
      <c r="S49" s="9"/>
      <c r="T49" s="9"/>
      <c r="U49" s="9"/>
      <c r="V49" s="9"/>
      <c r="W49" s="1053" t="s">
        <v>284</v>
      </c>
      <c r="X49" s="1054"/>
      <c r="Y49" s="1054"/>
      <c r="Z49" s="1054"/>
      <c r="AA49" s="1054"/>
      <c r="AB49" s="1054"/>
      <c r="AC49" s="1054"/>
      <c r="AD49" s="1054"/>
      <c r="AE49" s="1054"/>
      <c r="AF49" s="1054"/>
      <c r="AG49" s="1054"/>
      <c r="AH49" s="1054"/>
      <c r="AI49" s="1054"/>
      <c r="AJ49" s="1054"/>
      <c r="AK49" s="1054"/>
      <c r="AL49" s="1054"/>
      <c r="AM49" s="1054"/>
      <c r="AN49" s="1054"/>
      <c r="AO49" s="1054"/>
      <c r="AP49" s="1054"/>
      <c r="AQ49" s="1054"/>
      <c r="AR49" s="1054"/>
      <c r="AS49" s="1054"/>
      <c r="AT49" s="1054"/>
      <c r="AU49" s="1055"/>
      <c r="AW49"/>
      <c r="AY49"/>
      <c r="AZ49"/>
      <c r="BB49"/>
      <c r="BC49"/>
      <c r="BD49"/>
      <c r="BE49"/>
      <c r="BF49"/>
      <c r="BG49"/>
      <c r="BH49"/>
      <c r="BI49"/>
      <c r="BJ49"/>
      <c r="BK49"/>
    </row>
    <row r="50" spans="1:63" ht="29.5" customHeight="1" x14ac:dyDescent="0.35">
      <c r="A50" s="1005" t="s">
        <v>167</v>
      </c>
      <c r="B50" s="1005"/>
      <c r="D50" s="120" t="s">
        <v>276</v>
      </c>
      <c r="E50" s="152" t="s">
        <v>172</v>
      </c>
      <c r="F50" s="152" t="s">
        <v>2</v>
      </c>
      <c r="G50" s="152" t="s">
        <v>173</v>
      </c>
      <c r="H50" s="152" t="s">
        <v>174</v>
      </c>
      <c r="I50" s="125" t="s">
        <v>175</v>
      </c>
      <c r="J50" s="152" t="s">
        <v>177</v>
      </c>
      <c r="K50" s="152" t="s">
        <v>178</v>
      </c>
      <c r="L50" s="122" t="s">
        <v>176</v>
      </c>
      <c r="M50" s="120" t="s">
        <v>200</v>
      </c>
      <c r="N50" s="120" t="str">
        <f>$N$8</f>
        <v>WS Rate</v>
      </c>
      <c r="O50" s="121" t="s">
        <v>202</v>
      </c>
      <c r="P50" s="123" t="s">
        <v>278</v>
      </c>
      <c r="Q50" s="2"/>
      <c r="R50" s="120" t="s">
        <v>172</v>
      </c>
      <c r="S50" s="120" t="s">
        <v>2</v>
      </c>
      <c r="T50" s="120" t="s">
        <v>173</v>
      </c>
      <c r="U50" s="152" t="str">
        <f>$U$8</f>
        <v>Vessel MT</v>
      </c>
      <c r="V50" s="120" t="s">
        <v>175</v>
      </c>
      <c r="W50" s="120" t="s">
        <v>176</v>
      </c>
      <c r="X50" s="120" t="s">
        <v>177</v>
      </c>
      <c r="Y50" s="120" t="s">
        <v>178</v>
      </c>
      <c r="Z50" s="120" t="s">
        <v>200</v>
      </c>
      <c r="AA50" s="146" t="str">
        <f>$AA$8</f>
        <v xml:space="preserve">Current WS Rate </v>
      </c>
      <c r="AB50" s="128" t="s">
        <v>202</v>
      </c>
      <c r="AC50" s="150" t="s">
        <v>182</v>
      </c>
      <c r="AD50" s="136" t="s">
        <v>183</v>
      </c>
      <c r="AE50" s="146" t="s">
        <v>279</v>
      </c>
      <c r="AF50" s="136" t="s">
        <v>184</v>
      </c>
      <c r="AG50" s="136" t="s">
        <v>140</v>
      </c>
      <c r="AH50" s="136" t="str">
        <f>AH29</f>
        <v>STS</v>
      </c>
      <c r="AI50" s="136" t="s">
        <v>186</v>
      </c>
      <c r="AJ50" s="136" t="s">
        <v>187</v>
      </c>
      <c r="AK50" s="136" t="s">
        <v>141</v>
      </c>
      <c r="AL50" s="136" t="s">
        <v>188</v>
      </c>
      <c r="AM50" s="136" t="s">
        <v>17</v>
      </c>
      <c r="AN50" s="136" t="s">
        <v>207</v>
      </c>
      <c r="AO50" s="136" t="s">
        <v>189</v>
      </c>
      <c r="AP50" s="136" t="s">
        <v>152</v>
      </c>
      <c r="AQ50" s="150" t="s">
        <v>208</v>
      </c>
      <c r="AR50" s="150" t="s">
        <v>209</v>
      </c>
      <c r="AS50" s="150" t="s">
        <v>210</v>
      </c>
      <c r="AT50" s="150" t="str">
        <f>AT41</f>
        <v>Basis</v>
      </c>
      <c r="AU50" s="137" t="s">
        <v>211</v>
      </c>
      <c r="AW50" s="137" t="s">
        <v>195</v>
      </c>
      <c r="AY50" s="1011" t="s">
        <v>196</v>
      </c>
      <c r="AZ50" s="1011"/>
      <c r="BB50"/>
      <c r="BC50"/>
      <c r="BD50"/>
      <c r="BE50"/>
      <c r="BF50"/>
      <c r="BG50"/>
      <c r="BH50"/>
      <c r="BI50"/>
      <c r="BJ50"/>
      <c r="BK50"/>
    </row>
    <row r="51" spans="1:63" x14ac:dyDescent="0.35">
      <c r="A51" s="163">
        <f t="shared" ref="A51" si="109">+$A$9</f>
        <v>45031</v>
      </c>
      <c r="B51" s="163">
        <f t="shared" ref="B51" si="110">IF(ISBLANK(A51),"",A51+2)</f>
        <v>45033</v>
      </c>
      <c r="D51" s="16"/>
      <c r="E51" s="138">
        <f>INDEX('[2]Flat Rates 2023'!$A:$DB,MATCH(G51,'[2]Flat Rates 2023'!$A:$A,0),MATCH(J51,'[2]Flat Rates 2023'!$A$1:$DB$1,0))</f>
        <v>0</v>
      </c>
      <c r="F51" s="138">
        <f>INDEX(Control!$E$17:$J$21,MATCH(L51,Control!$E$17:$E$21,0),MATCH(G51,Control!$E$17:$J$17,0))</f>
        <v>0</v>
      </c>
      <c r="G51" s="138" t="str">
        <f t="shared" ref="G51" si="111">$G$9</f>
        <v>Corpus Christi</v>
      </c>
      <c r="H51" s="116">
        <f>INDEX(Vessel_Minimum_MT,MATCH(L51,Control!$E$11:$E$15,0),MATCH(G51,Control!$E$11:$J$11,0))</f>
        <v>70000</v>
      </c>
      <c r="I51" s="116">
        <f>M51/$BD$17</f>
        <v>96532.465675057203</v>
      </c>
      <c r="J51" s="138" t="s">
        <v>55</v>
      </c>
      <c r="K51" s="138" t="str">
        <f>IF(J51=G51,"",CONCATENATE(CONCATENATE(VLOOKUP(G51,Zones,2,FALSE),"/",VLOOKUP(J51,Zones,2,FALSE))))</f>
        <v>USGC/CARIBS</v>
      </c>
      <c r="L51" s="147" t="s">
        <v>23</v>
      </c>
      <c r="M51" s="141">
        <v>750000</v>
      </c>
      <c r="N51" s="17">
        <v>170</v>
      </c>
      <c r="O51" s="18">
        <v>82.5</v>
      </c>
      <c r="P51" s="148">
        <f>IF($G51="Esmeraldas",IF(N51&gt;1000,IF(O51=0,N51,O51)/M51*1.1,((H51*E51*(IF(O51=0,N51,O51)/100))+IF(I51&lt;H51,0,(I51-H51)*E51*IF(O51=0,N51,O51)/100*F51))/M51*1.1),IF(N51&gt;1000,IF(O51=0,N51,O51)/M51,((H51*E51*(IF(O51=0,N51,O51)/100))+IF(I51&lt;H51,0,(I51-H51)*E51*IF(O51=0,N51,O51)/100*F51)))/M51)</f>
        <v>0</v>
      </c>
      <c r="Q51" s="2"/>
      <c r="R51" s="138">
        <f>INDEX('[2]Flat Rates 2023'!$A:$DZ,MATCH(T51,'[2]Flat Rates 2023'!$A:$A,0),MATCH(X51,'[2]Flat Rates 2023'!$A$1:$DZ$1,0))</f>
        <v>18.82</v>
      </c>
      <c r="S51" s="138">
        <f>INDEX(Control!$E$17:$O$21,MATCH(W51,Control!$E$17:$E$21,0),MATCH(T51,Control!$E$17:$O$17,0))</f>
        <v>0.5</v>
      </c>
      <c r="T51" s="138" t="s">
        <v>55</v>
      </c>
      <c r="U51" s="116">
        <f>INDEX(Vessel_Minimum_MT,MATCH(W51,Control!$E$11:$E$15,0),MATCH(T51,Control!$E$11:$O$11,0))</f>
        <v>150000</v>
      </c>
      <c r="V51" s="140">
        <f>Z51/$BD$17</f>
        <v>128709.9542334096</v>
      </c>
      <c r="W51" s="147" t="s">
        <v>24</v>
      </c>
      <c r="X51" s="164" t="s">
        <v>42</v>
      </c>
      <c r="Y51" s="142" t="str">
        <f>IF(X51=T51,"",CONCATENATE(CONCATENATE(VLOOKUP(T51,Zones,2,FALSE),"/",VLOOKUP(X51,Zones,2,FALSE))))</f>
        <v>CARIBS/Nsea</v>
      </c>
      <c r="Z51" s="141">
        <v>1000000</v>
      </c>
      <c r="AA51" s="141">
        <f>$AA$42</f>
        <v>70</v>
      </c>
      <c r="AB51" s="151">
        <f>AB48</f>
        <v>1750000</v>
      </c>
      <c r="AC51" s="149">
        <f>IF($T51="Esmeraldas",IF(AA51&gt;1000,IF(AB51=0,AA51,AB51)/Z51*1.1,((U51*R51*(IF(AB51=0,AA51,AB51)/100))+IF(V51&lt;U51,0,(V51-U51)*R51*IF(AB51=0,AA51,AB51)/100*S51))/Z51*1.1),IF(AA51&gt;1000,IF(AB51=0,AA51,AB51)/Z51,((U51*R51*(IF(AB51=0,AA51,AB51)/100))+IF(V51&lt;U51,0,(V51-U51)*R51*IF(AB51=0,AA51,AB51)/100*S51))/Z51))</f>
        <v>49402.5</v>
      </c>
      <c r="AD51" s="134">
        <v>2</v>
      </c>
      <c r="AE51" s="155">
        <f>IF(INDEX(Index,MATCH(X51,TVM_PortList,0),MATCH("Type",Control!$Q$3:$U$3,0))="BL",INDEX(Index,MATCH(X51,TVM_PortList,0),MATCH("Payment",Control!$Q$3:$U$3,0))-INDEX(Index,MATCH(T51,TVM_PortList,0),MATCH("Payment",Control!$Q$3:$U$3,0)),AW51+INDEX(Index,MATCH(X51,TVM_PortList,0),MATCH("Payment",Control!$Q$3:$U$3,0))-INDEX(Index,MATCH(T51,TVM_PortList,0),MATCH("Payment",Control!$Q$3:$U$3,0)))</f>
        <v>17</v>
      </c>
      <c r="AF51" s="143">
        <f>AD51*VLOOKUP($W51,$BF$9:$BH$13,3,FALSE)/$Z51</f>
        <v>0.08</v>
      </c>
      <c r="AG51" s="143">
        <f>IF(AE51&lt;0,0,$AE51*$BD$11)</f>
        <v>4.6575342465753428E-2</v>
      </c>
      <c r="AH51" s="143">
        <f>IF(((Z51-VLOOKUP(W51,$BJ$10:$BK$14,2,FALSE))/$BD$18)&lt;=0,0,$BH$15/Z51)</f>
        <v>0</v>
      </c>
      <c r="AI51" s="143">
        <f>IF(G51="Corpus Christi",$BD$10,0)</f>
        <v>0</v>
      </c>
      <c r="AJ51" s="143">
        <v>0</v>
      </c>
      <c r="AK51" s="143">
        <f t="shared" ref="AK51" si="112">$BD$12</f>
        <v>5.0000000000000001E-3</v>
      </c>
      <c r="AL51" s="143">
        <f t="shared" ref="AL51" si="113">$BD$13</f>
        <v>6.7299999999999999E-2</v>
      </c>
      <c r="AM51" s="143">
        <f>IF(INDEX(Control!$Q$3:$S$62,MATCH($X51,Control!$Q$3:$Q$62,0),MATCH(AM$8,Control!$Q$3:$S$3,0))=1,$BD$14*$BE$14,0)</f>
        <v>0</v>
      </c>
      <c r="AN51" s="143" t="e">
        <f>IF(INDEX(Control!$Q$3:$S$62,MATCH($X51,Control!$Q$3:$Q$62,0),MATCH(AN$8,Control!$Q$3:$S$3,0))=1,$BD$15/$Z51,0)</f>
        <v>#N/A</v>
      </c>
      <c r="AO51" s="143">
        <f>$BD$16</f>
        <v>0</v>
      </c>
      <c r="AP51" s="143">
        <f>IF(AND(J51="Chiriqui Grande",T51="Puerto Armuelles"),$BG$18,0)</f>
        <v>0</v>
      </c>
      <c r="AQ51" s="149" t="e">
        <f t="shared" ref="AQ51" si="114">SUM(AF51:AP51)</f>
        <v>#N/A</v>
      </c>
      <c r="AR51" s="149" t="e">
        <f>+P51+AC51+AQ51</f>
        <v>#N/A</v>
      </c>
      <c r="AS51" s="149" t="e">
        <f t="shared" ref="AS51" si="115">IF(MONTH(A51)=MONTH(AZ51),0,IF(MONTH(AZ51)-MONTH(A51)&gt;1,VLOOKUP("Spreads",$AQ$3:$AU$4,MATCH(EOMONTH(AZ51,0),$AQ$3:$AU$3,0),FALSE)+VLOOKUP("Spreads",$AQ$3:$AU$4,MATCH(EOMONTH(AZ51,-1),$AQ$3:$AU$3,0),FALSE),VLOOKUP("Spreads",$AQ$3:$AU$4,MATCH(EOMONTH(AZ51,0),$AQ$3:$AU$3,0))))</f>
        <v>#N/A</v>
      </c>
      <c r="AT51" s="149" t="e">
        <f>-HLOOKUP(EOMONTH(AZ51,0),$AR$3:$AU$6,3,FALSE)</f>
        <v>#N/A</v>
      </c>
      <c r="AU51" s="145" t="e">
        <f>$L$3+AR51+AS51+AT51</f>
        <v>#N/A</v>
      </c>
      <c r="AW51" s="153">
        <f>INDEX('[1]Transit Time'!$A:$DZ,MATCH(G51,'[1]Transit Time'!$A:$A,0),MATCH(J51,'[1]Transit Time'!$A$1:$DZ$1,0))+INDEX('[1]Transit Time'!$A:$DZ,MATCH(J51,'[1]Transit Time'!$A:$A,0),MATCH(T51,'[1]Transit Time'!$A$1:$DZ$1,0))+INDEX('[1]Transit Time'!$A:$DZ,MATCH(T51,'[1]Transit Time'!$A:$A,0),MATCH(X51,'[1]Transit Time'!$A$1:$DZ$1,0))</f>
        <v>24.5</v>
      </c>
      <c r="AY51" s="163">
        <f>IF(ISBLANK(A51),"",A51+$AW51)</f>
        <v>45055.5</v>
      </c>
      <c r="AZ51" s="163">
        <f>IFERROR(IF(ISBLANK(B51),"",B51+$AW51),"")</f>
        <v>45057.5</v>
      </c>
      <c r="BB51"/>
      <c r="BC51"/>
      <c r="BD51"/>
      <c r="BE51"/>
      <c r="BF51"/>
      <c r="BG51"/>
      <c r="BH51"/>
      <c r="BI51"/>
      <c r="BJ51"/>
      <c r="BK51"/>
    </row>
    <row r="52" spans="1:63" x14ac:dyDescent="0.35">
      <c r="A52"/>
      <c r="B52"/>
      <c r="M52"/>
      <c r="N52"/>
      <c r="O52"/>
      <c r="Q52" s="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B52"/>
      <c r="BC52"/>
      <c r="BD52"/>
      <c r="BE52"/>
      <c r="BF52"/>
      <c r="BG52"/>
      <c r="BH52"/>
      <c r="BI52"/>
      <c r="BJ52"/>
      <c r="BK52"/>
    </row>
    <row r="53" spans="1:63" x14ac:dyDescent="0.35">
      <c r="A53"/>
      <c r="B53"/>
      <c r="M53"/>
      <c r="N53"/>
      <c r="O53"/>
      <c r="Q53" s="2"/>
      <c r="AA53" s="3"/>
      <c r="AB53"/>
      <c r="AC53"/>
      <c r="AD53"/>
      <c r="AE53" s="308"/>
      <c r="AF53" s="308"/>
      <c r="AG53"/>
      <c r="AH53"/>
      <c r="AI53"/>
      <c r="AJ53"/>
      <c r="AK53"/>
      <c r="AL53"/>
      <c r="AM53"/>
      <c r="AN53"/>
      <c r="AO53"/>
      <c r="AP53"/>
      <c r="AQ53"/>
      <c r="AR53"/>
      <c r="AT53"/>
      <c r="AU53"/>
      <c r="AV53"/>
      <c r="AW53"/>
      <c r="AX53"/>
      <c r="AY53"/>
      <c r="AZ53"/>
      <c r="BB53"/>
      <c r="BC53"/>
      <c r="BD53"/>
      <c r="BE53"/>
      <c r="BF53"/>
      <c r="BG53"/>
      <c r="BH53"/>
      <c r="BI53"/>
      <c r="BJ53"/>
      <c r="BK53"/>
    </row>
    <row r="54" spans="1:63" x14ac:dyDescent="0.35">
      <c r="A54"/>
      <c r="B54"/>
      <c r="M54"/>
      <c r="N54"/>
      <c r="O54"/>
      <c r="Q54" s="2"/>
      <c r="X54" s="308"/>
      <c r="AB54"/>
      <c r="AC54"/>
      <c r="AD54"/>
      <c r="AF54" s="362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B54"/>
      <c r="BC54"/>
      <c r="BD54"/>
      <c r="BE54"/>
      <c r="BF54"/>
      <c r="BG54"/>
      <c r="BH54"/>
      <c r="BI54"/>
      <c r="BJ54"/>
      <c r="BK54"/>
    </row>
    <row r="55" spans="1:63" x14ac:dyDescent="0.35">
      <c r="A55"/>
      <c r="B55"/>
      <c r="M55"/>
      <c r="N55"/>
      <c r="O55"/>
      <c r="Q55" s="2"/>
      <c r="W55" s="362"/>
      <c r="X55" s="308"/>
      <c r="AB55">
        <v>5.05</v>
      </c>
      <c r="AC55" s="2"/>
      <c r="AD55" s="3"/>
      <c r="AE55" s="195"/>
      <c r="AF55" s="195"/>
      <c r="AG55"/>
      <c r="AH55"/>
      <c r="AI55"/>
      <c r="AJ55"/>
      <c r="AK55"/>
      <c r="AL55"/>
      <c r="AM55"/>
      <c r="AN55"/>
      <c r="AO55"/>
      <c r="AP55"/>
      <c r="AQ55"/>
      <c r="AR55"/>
      <c r="AS55" s="195"/>
      <c r="AT55" s="195"/>
      <c r="AU55" s="77"/>
      <c r="AV55"/>
      <c r="AW55"/>
      <c r="AX55"/>
      <c r="AY55"/>
      <c r="AZ55"/>
      <c r="BB55"/>
      <c r="BC55"/>
      <c r="BD55"/>
      <c r="BE55"/>
      <c r="BF55"/>
      <c r="BG55"/>
      <c r="BH55"/>
      <c r="BI55"/>
      <c r="BJ55"/>
      <c r="BK55"/>
    </row>
    <row r="56" spans="1:63" x14ac:dyDescent="0.35">
      <c r="A56"/>
      <c r="B56"/>
      <c r="Q56" s="2"/>
      <c r="AB56" s="4">
        <f>-AR5</f>
        <v>-13.5</v>
      </c>
      <c r="AC56" s="3"/>
      <c r="AD56" s="3"/>
      <c r="AE56" s="3"/>
      <c r="AF56" s="3"/>
      <c r="AK56" s="133"/>
      <c r="BB56"/>
      <c r="BC56"/>
      <c r="BD56"/>
      <c r="BE56"/>
      <c r="BF56"/>
      <c r="BG56"/>
      <c r="BH56"/>
      <c r="BI56"/>
      <c r="BJ56"/>
      <c r="BK56"/>
    </row>
    <row r="57" spans="1:63" x14ac:dyDescent="0.35">
      <c r="A57"/>
      <c r="B57"/>
      <c r="Q57" s="2"/>
      <c r="AB57" s="2">
        <f>SUM(AB55:AB56)</f>
        <v>-8.4499999999999993</v>
      </c>
      <c r="AC57" s="3"/>
      <c r="AD57" s="3"/>
      <c r="AE57" s="2"/>
      <c r="AG57" s="3"/>
      <c r="AK57" s="133"/>
    </row>
    <row r="58" spans="1:63" x14ac:dyDescent="0.35">
      <c r="A58"/>
      <c r="B58"/>
      <c r="Q58" s="2"/>
      <c r="Y58" s="34"/>
      <c r="AB58" s="34"/>
      <c r="AC58" s="2"/>
      <c r="AD58" s="3"/>
      <c r="AE58" s="2"/>
      <c r="AK58" s="133"/>
    </row>
    <row r="59" spans="1:63" x14ac:dyDescent="0.35">
      <c r="A59"/>
      <c r="B59"/>
      <c r="Q59" s="2"/>
      <c r="AB59" s="2"/>
      <c r="AC59" s="132"/>
      <c r="AD59" s="3"/>
      <c r="AE59" s="2"/>
      <c r="AK59" s="133"/>
    </row>
    <row r="60" spans="1:63" x14ac:dyDescent="0.35">
      <c r="A60"/>
      <c r="B60"/>
      <c r="AB60" s="2"/>
      <c r="AC60" s="132"/>
      <c r="AD60" s="3"/>
      <c r="AE60" s="2"/>
      <c r="AK60" s="133"/>
    </row>
    <row r="61" spans="1:63" x14ac:dyDescent="0.35">
      <c r="A61"/>
      <c r="B61"/>
      <c r="AB61" s="2"/>
      <c r="AC61" s="2"/>
      <c r="AD61" s="3"/>
      <c r="AE61" s="2"/>
      <c r="AK61" s="133"/>
    </row>
    <row r="62" spans="1:63" x14ac:dyDescent="0.35">
      <c r="AB62" s="2"/>
      <c r="AC62" s="2"/>
      <c r="AE62" s="2"/>
      <c r="AK62" s="133"/>
    </row>
    <row r="63" spans="1:63" x14ac:dyDescent="0.35">
      <c r="Z63" s="4"/>
      <c r="AC63" s="3"/>
      <c r="AD63" s="34"/>
      <c r="AH63" s="1"/>
      <c r="AI63" s="1"/>
    </row>
    <row r="64" spans="1:63" x14ac:dyDescent="0.35">
      <c r="X64">
        <v>1.8</v>
      </c>
      <c r="Y64" s="2">
        <v>2.5499999999999998</v>
      </c>
      <c r="Z64" s="4">
        <f>X64+Y64</f>
        <v>4.3499999999999996</v>
      </c>
      <c r="AC64" s="124"/>
      <c r="AD64" s="34"/>
      <c r="AH64" s="1"/>
      <c r="AI64" s="1"/>
    </row>
    <row r="65" spans="12:49" x14ac:dyDescent="0.35">
      <c r="X65">
        <v>1.8</v>
      </c>
      <c r="Y65" s="2">
        <v>2.5499999999999998</v>
      </c>
      <c r="Z65" s="4">
        <f>X65+Y65</f>
        <v>4.3499999999999996</v>
      </c>
      <c r="AD65" s="2">
        <v>-2.95</v>
      </c>
      <c r="AE65" s="124">
        <v>8</v>
      </c>
      <c r="AH65" s="1"/>
      <c r="AI65" s="1"/>
    </row>
    <row r="66" spans="12:49" x14ac:dyDescent="0.35">
      <c r="Z66" s="2">
        <v>3.75</v>
      </c>
      <c r="AD66" s="2">
        <v>-3.3</v>
      </c>
      <c r="AE66" s="124">
        <v>7</v>
      </c>
      <c r="AH66" s="1"/>
      <c r="AI66" s="1"/>
    </row>
    <row r="67" spans="12:49" x14ac:dyDescent="0.35">
      <c r="Z67" s="4">
        <f>AVERAGE(Z64:Z66)</f>
        <v>4.1499999999999995</v>
      </c>
      <c r="AE67" s="3" cm="1">
        <f t="array" ref="AE67">SUMPRODUCT(AD65:AD66,AE65:AE66/SUM(AE65:AE66))</f>
        <v>-3.1133333333333333</v>
      </c>
      <c r="AH67" s="1"/>
      <c r="AI67" s="1"/>
    </row>
    <row r="68" spans="12:49" x14ac:dyDescent="0.35">
      <c r="O68" s="3"/>
      <c r="Z68" s="21" t="e">
        <f>AR39</f>
        <v>#N/A</v>
      </c>
      <c r="AH68" s="1"/>
      <c r="AI68" s="1"/>
    </row>
    <row r="69" spans="12:49" x14ac:dyDescent="0.35">
      <c r="L69" s="2"/>
      <c r="P69" s="2"/>
      <c r="Q69" s="2"/>
      <c r="R69" s="2"/>
      <c r="S69" s="2"/>
      <c r="T69" s="2"/>
      <c r="V69" s="2"/>
      <c r="W69" s="2"/>
      <c r="X69" s="2"/>
      <c r="Z69" s="4">
        <f>AS6</f>
        <v>-1.7</v>
      </c>
      <c r="AA69" s="2"/>
      <c r="AB69" s="2"/>
      <c r="AC69" s="2"/>
      <c r="AE69" s="2"/>
      <c r="AH69" s="1"/>
      <c r="AI69" s="1"/>
      <c r="AQ69" s="2"/>
      <c r="AR69" s="2"/>
      <c r="AS69" s="2"/>
      <c r="AT69" s="2"/>
      <c r="AU69" s="2"/>
      <c r="AW69" s="2"/>
    </row>
    <row r="70" spans="12:49" x14ac:dyDescent="0.35">
      <c r="L70" s="2"/>
      <c r="P70" s="2"/>
      <c r="Q70" s="2"/>
      <c r="R70" s="2"/>
      <c r="S70" s="2"/>
      <c r="T70" s="2"/>
      <c r="V70" s="2"/>
      <c r="W70" s="2"/>
      <c r="X70" s="2"/>
      <c r="Z70" s="4" t="e">
        <f>SUM(Z67:Z69)</f>
        <v>#N/A</v>
      </c>
      <c r="AA70" s="2"/>
      <c r="AB70" s="2"/>
      <c r="AC70" s="2"/>
      <c r="AE70" s="2"/>
      <c r="AH70" s="1"/>
      <c r="AI70" s="1"/>
      <c r="AQ70" s="2"/>
      <c r="AR70" s="2"/>
      <c r="AS70" s="2"/>
      <c r="AT70" s="2"/>
      <c r="AU70" s="2"/>
      <c r="AW70" s="2"/>
    </row>
    <row r="71" spans="12:49" x14ac:dyDescent="0.35">
      <c r="L71" s="2"/>
      <c r="P71" s="2"/>
      <c r="Q71" s="2"/>
      <c r="R71" s="2"/>
      <c r="S71" s="2"/>
      <c r="T71" s="2"/>
      <c r="V71" s="2"/>
      <c r="W71" s="2"/>
      <c r="X71" s="2"/>
      <c r="AA71" s="2"/>
      <c r="AB71" s="2"/>
      <c r="AC71" s="2"/>
      <c r="AE71" s="2"/>
      <c r="AH71" s="1"/>
      <c r="AI71" s="1"/>
      <c r="AQ71" s="2"/>
      <c r="AR71" s="2"/>
      <c r="AS71" s="2"/>
      <c r="AT71" s="2"/>
      <c r="AU71" s="2"/>
      <c r="AW71" s="2"/>
    </row>
    <row r="72" spans="12:49" x14ac:dyDescent="0.35">
      <c r="AD72" s="2">
        <v>-5</v>
      </c>
    </row>
    <row r="73" spans="12:49" x14ac:dyDescent="0.35">
      <c r="AD73" s="2">
        <v>2.8</v>
      </c>
    </row>
  </sheetData>
  <mergeCells count="26">
    <mergeCell ref="AY8:AZ8"/>
    <mergeCell ref="D2:AU2"/>
    <mergeCell ref="AA5:AC5"/>
    <mergeCell ref="A7:B7"/>
    <mergeCell ref="D7:P7"/>
    <mergeCell ref="W7:AU7"/>
    <mergeCell ref="D16:P16"/>
    <mergeCell ref="W16:AU16"/>
    <mergeCell ref="A17:B17"/>
    <mergeCell ref="AY17:AZ17"/>
    <mergeCell ref="D24:P24"/>
    <mergeCell ref="W24:AU24"/>
    <mergeCell ref="A25:B25"/>
    <mergeCell ref="AY25:AZ25"/>
    <mergeCell ref="D28:P28"/>
    <mergeCell ref="W28:AU28"/>
    <mergeCell ref="A29:B29"/>
    <mergeCell ref="AY29:AZ29"/>
    <mergeCell ref="A50:B50"/>
    <mergeCell ref="AY50:AZ50"/>
    <mergeCell ref="D40:P40"/>
    <mergeCell ref="W40:AU40"/>
    <mergeCell ref="A41:B41"/>
    <mergeCell ref="AY41:AZ41"/>
    <mergeCell ref="D49:P49"/>
    <mergeCell ref="W49:AU49"/>
  </mergeCells>
  <conditionalFormatting sqref="A8:B15">
    <cfRule type="expression" dxfId="71" priority="20">
      <formula>LEN(A8)=0</formula>
    </cfRule>
  </conditionalFormatting>
  <conditionalFormatting sqref="A18:B23">
    <cfRule type="expression" dxfId="70" priority="4">
      <formula>LEN(A18)=0</formula>
    </cfRule>
  </conditionalFormatting>
  <conditionalFormatting sqref="A26:B27">
    <cfRule type="expression" dxfId="69" priority="37">
      <formula>LEN(A26)=0</formula>
    </cfRule>
  </conditionalFormatting>
  <conditionalFormatting sqref="A30:B39">
    <cfRule type="expression" dxfId="68" priority="3">
      <formula>LEN(A30)=0</formula>
    </cfRule>
  </conditionalFormatting>
  <conditionalFormatting sqref="A49:B49 A51:B51">
    <cfRule type="expression" dxfId="67" priority="33">
      <formula>LEN(A49)=0</formula>
    </cfRule>
  </conditionalFormatting>
  <conditionalFormatting sqref="AD9:AD15 AD26:AD27">
    <cfRule type="cellIs" dxfId="66" priority="43" operator="greaterThan">
      <formula>2</formula>
    </cfRule>
  </conditionalFormatting>
  <conditionalFormatting sqref="AD18:AD23">
    <cfRule type="cellIs" dxfId="65" priority="6" operator="greaterThan">
      <formula>2</formula>
    </cfRule>
  </conditionalFormatting>
  <conditionalFormatting sqref="AD30:AD39">
    <cfRule type="cellIs" dxfId="64" priority="23" operator="greaterThan">
      <formula>2</formula>
    </cfRule>
  </conditionalFormatting>
  <conditionalFormatting sqref="AD42:AD48">
    <cfRule type="cellIs" dxfId="63" priority="13" operator="greaterThan">
      <formula>2</formula>
    </cfRule>
  </conditionalFormatting>
  <conditionalFormatting sqref="AD51">
    <cfRule type="cellIs" dxfId="62" priority="35" operator="greaterThan">
      <formula>2</formula>
    </cfRule>
  </conditionalFormatting>
  <conditionalFormatting sqref="AY9:AZ15">
    <cfRule type="expression" dxfId="61" priority="41">
      <formula>LEN(AY9)=0</formula>
    </cfRule>
  </conditionalFormatting>
  <conditionalFormatting sqref="AY18:AZ23">
    <cfRule type="expression" dxfId="60" priority="5">
      <formula>LEN(AY18)=0</formula>
    </cfRule>
  </conditionalFormatting>
  <conditionalFormatting sqref="AY26:AZ27">
    <cfRule type="expression" dxfId="59" priority="42">
      <formula>LEN(AY26)=0</formula>
    </cfRule>
  </conditionalFormatting>
  <conditionalFormatting sqref="AY30:AZ39">
    <cfRule type="expression" dxfId="58" priority="1">
      <formula>LEN(AY30)=0</formula>
    </cfRule>
  </conditionalFormatting>
  <conditionalFormatting sqref="AY51:AZ51">
    <cfRule type="expression" dxfId="57" priority="34">
      <formula>LEN(AY51)=0</formula>
    </cfRule>
  </conditionalFormatting>
  <dataValidations disablePrompts="1" count="1">
    <dataValidation type="list" allowBlank="1" showInputMessage="1" showErrorMessage="1" sqref="X18:X23 X9:X15 G9:G15 J9:J15 T9:T15 J18:J23 X26:X27 X51 J51 G51 T51 T18:T23 X42:X48 G30:G39 G26:G27 T26:T27 J26:J27 T30:T39 J30:J39 X30:X39 G18:G23" xr:uid="{4D487B39-C444-44B4-81CD-55AE79E026A8}">
      <formula1>Port_List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80CD846-E168-4C28-934F-993CB7D43447}">
          <x14:formula1>
            <xm:f>Control!$E$6:$E$9</xm:f>
          </x14:formula1>
          <xm:sqref>W18:W23 W30:W39 L51 W51 L9:L15 W9:W15 W26:W27 L26:L27 L30:L39 L18:L23</xm:sqref>
        </x14:dataValidation>
        <x14:dataValidation type="list" allowBlank="1" showInputMessage="1" showErrorMessage="1" xr:uid="{F7BD8F55-6EE2-4FDE-886D-717EC19D825A}">
          <x14:formula1>
            <xm:f>Control!$E$2:$E$4</xm:f>
          </x14:formula1>
          <xm:sqref>D26:D27 D30:D39 D51 D9:D15 D18:D23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D82C-6116-4ABB-B084-467A60CF2E41}">
  <sheetPr codeName="Sheet10">
    <tabColor rgb="FFFFCCFF"/>
    <outlinePr summaryRight="0"/>
  </sheetPr>
  <dimension ref="A1:BK71"/>
  <sheetViews>
    <sheetView showGridLines="0" topLeftCell="A2" zoomScale="80" zoomScaleNormal="80" workbookViewId="0">
      <pane xSplit="1" ySplit="7" topLeftCell="B32" activePane="bottomRight" state="frozen"/>
      <selection pane="topRight" activeCell="B2" sqref="B2"/>
      <selection pane="bottomLeft" activeCell="A8" sqref="A8"/>
      <selection pane="bottomRight" activeCell="B2" sqref="B2"/>
    </sheetView>
  </sheetViews>
  <sheetFormatPr defaultColWidth="8.81640625" defaultRowHeight="15.5" outlineLevelCol="1" x14ac:dyDescent="0.35"/>
  <cols>
    <col min="1" max="2" width="8.453125" style="2" bestFit="1" customWidth="1"/>
    <col min="3" max="3" width="1.1796875" customWidth="1"/>
    <col min="4" max="4" width="12.54296875" style="2" customWidth="1" collapsed="1"/>
    <col min="5" max="5" width="5.54296875" style="2" hidden="1" customWidth="1" outlineLevel="1"/>
    <col min="6" max="7" width="9.453125" style="2" hidden="1" customWidth="1" outlineLevel="1"/>
    <col min="8" max="8" width="18" style="2" hidden="1" customWidth="1" outlineLevel="1"/>
    <col min="9" max="9" width="14" style="124" hidden="1" customWidth="1" outlineLevel="1"/>
    <col min="10" max="10" width="15.81640625" style="2" hidden="1" customWidth="1" outlineLevel="1"/>
    <col min="11" max="11" width="14.54296875" style="2" hidden="1" customWidth="1" outlineLevel="1"/>
    <col min="12" max="12" width="11.453125" style="133" customWidth="1"/>
    <col min="13" max="13" width="12.54296875" style="2" bestFit="1" customWidth="1"/>
    <col min="14" max="14" width="10.453125" style="2" bestFit="1" customWidth="1"/>
    <col min="15" max="15" width="12.54296875" style="2" customWidth="1"/>
    <col min="16" max="16" width="12.54296875" customWidth="1"/>
    <col min="17" max="17" width="2.54296875" customWidth="1" collapsed="1"/>
    <col min="18" max="18" width="6.54296875" hidden="1" customWidth="1" outlineLevel="1"/>
    <col min="19" max="19" width="9.453125" hidden="1" customWidth="1" outlineLevel="1"/>
    <col min="20" max="20" width="17.453125" hidden="1" customWidth="1" outlineLevel="1"/>
    <col min="21" max="21" width="18" style="2" hidden="1" customWidth="1" outlineLevel="1"/>
    <col min="22" max="22" width="12.54296875" hidden="1" customWidth="1" outlineLevel="1"/>
    <col min="23" max="23" width="11.453125" customWidth="1"/>
    <col min="24" max="24" width="18.54296875" customWidth="1"/>
    <col min="25" max="25" width="18.453125" style="2" customWidth="1"/>
    <col min="26" max="26" width="13.453125" style="2" bestFit="1" customWidth="1"/>
    <col min="27" max="27" width="17.453125" style="124" bestFit="1" customWidth="1"/>
    <col min="28" max="28" width="16.1796875" style="124" customWidth="1"/>
    <col min="29" max="29" width="15.453125" style="21" customWidth="1"/>
    <col min="30" max="30" width="12.54296875" style="2" customWidth="1"/>
    <col min="31" max="31" width="12.54296875" style="124" bestFit="1" customWidth="1"/>
    <col min="32" max="32" width="9.1796875" style="2" customWidth="1"/>
    <col min="33" max="33" width="7.54296875" style="2" customWidth="1"/>
    <col min="34" max="34" width="9" style="2" bestFit="1" customWidth="1" collapsed="1"/>
    <col min="35" max="35" width="10.453125" style="2" hidden="1" customWidth="1" outlineLevel="1"/>
    <col min="36" max="36" width="16" style="2" hidden="1" customWidth="1" outlineLevel="1"/>
    <col min="37" max="37" width="11" style="2" hidden="1" customWidth="1" outlineLevel="1"/>
    <col min="38" max="38" width="11.54296875" style="2" hidden="1" customWidth="1" outlineLevel="1"/>
    <col min="39" max="39" width="17" style="2" hidden="1" customWidth="1" outlineLevel="1"/>
    <col min="40" max="40" width="9.54296875" style="2" hidden="1" customWidth="1" outlineLevel="1"/>
    <col min="41" max="41" width="11.54296875" style="2" hidden="1" customWidth="1" outlineLevel="1"/>
    <col min="42" max="42" width="12.54296875" style="2" hidden="1" customWidth="1" outlineLevel="1"/>
    <col min="43" max="43" width="11" style="21" customWidth="1"/>
    <col min="44" max="44" width="8.453125" style="21" customWidth="1"/>
    <col min="45" max="45" width="9.453125" style="21" customWidth="1"/>
    <col min="46" max="46" width="9" style="21" customWidth="1"/>
    <col min="47" max="47" width="15.81640625" style="6" bestFit="1" customWidth="1"/>
    <col min="48" max="48" width="1.1796875" style="2" customWidth="1"/>
    <col min="49" max="49" width="13.81640625" style="43" bestFit="1" customWidth="1"/>
    <col min="50" max="50" width="1.1796875" style="2" customWidth="1"/>
    <col min="51" max="52" width="9" style="2" bestFit="1" customWidth="1"/>
    <col min="53" max="53" width="9.54296875" bestFit="1" customWidth="1"/>
    <col min="54" max="54" width="28.54296875" style="2" bestFit="1" customWidth="1"/>
    <col min="55" max="56" width="14.54296875" style="2" bestFit="1" customWidth="1"/>
    <col min="57" max="57" width="11.453125" style="2" bestFit="1" customWidth="1"/>
    <col min="58" max="58" width="8.81640625" style="2"/>
    <col min="59" max="59" width="12.54296875" style="2" bestFit="1" customWidth="1"/>
    <col min="60" max="60" width="10.453125" style="2" bestFit="1" customWidth="1"/>
    <col min="61" max="61" width="8.81640625" style="2"/>
    <col min="62" max="62" width="13.453125" style="2" bestFit="1" customWidth="1"/>
    <col min="63" max="63" width="11.453125" style="2" bestFit="1" customWidth="1"/>
  </cols>
  <sheetData>
    <row r="1" spans="1:63" ht="15.65" hidden="1" customHeight="1" x14ac:dyDescent="0.35">
      <c r="P1" s="20"/>
      <c r="Q1" s="2"/>
      <c r="R1" s="2"/>
      <c r="S1" s="2"/>
      <c r="T1" s="2"/>
      <c r="U1" s="2" t="e">
        <f>INDEX(Vessel_Minimum_MT,MATCH(W1,Control!$E$11:$E$15,0),MATCH(T1,Control!$E$11:$O$11,0))</f>
        <v>#N/A</v>
      </c>
      <c r="V1" s="2"/>
      <c r="W1" s="2"/>
      <c r="X1" s="2"/>
      <c r="AF1" s="2" t="e">
        <f>AD1*VLOOKUP($W1,$BF$9:$BH$13,3,FALSE)/$Z1</f>
        <v>#N/A</v>
      </c>
    </row>
    <row r="2" spans="1:63" ht="29" thickBot="1" x14ac:dyDescent="0.7">
      <c r="A2" s="386"/>
      <c r="B2"/>
      <c r="D2" s="1063" t="s">
        <v>330</v>
      </c>
      <c r="E2" s="1063"/>
      <c r="F2" s="1063"/>
      <c r="G2" s="1063"/>
      <c r="H2" s="1063"/>
      <c r="I2" s="1063"/>
      <c r="J2" s="1063"/>
      <c r="K2" s="1063"/>
      <c r="L2" s="1063"/>
      <c r="M2" s="1063"/>
      <c r="N2" s="1063"/>
      <c r="O2" s="1063"/>
      <c r="P2" s="1063"/>
      <c r="Q2" s="1063"/>
      <c r="R2" s="1063"/>
      <c r="S2" s="1063"/>
      <c r="T2" s="1063"/>
      <c r="U2" s="1063"/>
      <c r="V2" s="1063"/>
      <c r="W2" s="1063"/>
      <c r="X2" s="1063"/>
      <c r="Y2" s="1063"/>
      <c r="Z2" s="1063"/>
      <c r="AA2" s="1063"/>
      <c r="AB2" s="1063"/>
      <c r="AC2" s="1063"/>
      <c r="AD2" s="1063"/>
      <c r="AE2" s="1063"/>
      <c r="AF2" s="1063"/>
      <c r="AG2" s="1063"/>
      <c r="AH2" s="1063"/>
      <c r="AI2" s="1063"/>
      <c r="AJ2" s="1063"/>
      <c r="AK2" s="1063"/>
      <c r="AL2" s="1063"/>
      <c r="AM2" s="1063"/>
      <c r="AN2" s="1063"/>
      <c r="AO2" s="1063"/>
      <c r="AP2" s="1063"/>
      <c r="AQ2" s="1063"/>
      <c r="AR2" s="1063"/>
      <c r="AS2" s="1063"/>
      <c r="AT2" s="1063"/>
      <c r="AU2" s="1063"/>
      <c r="AW2"/>
      <c r="AY2" s="195" t="s">
        <v>322</v>
      </c>
      <c r="AZ2" s="201" t="e">
        <v>#N/A</v>
      </c>
      <c r="BA2" s="114"/>
      <c r="BB2" s="133" t="s">
        <v>151</v>
      </c>
      <c r="BC2" s="2">
        <f>BC21*$BC$4</f>
        <v>2.4</v>
      </c>
      <c r="BD2" s="268">
        <f>$BC$2*$BD$14/365/100</f>
        <v>5.917808219178082E-3</v>
      </c>
    </row>
    <row r="3" spans="1:63" s="364" customFormat="1" ht="18" customHeight="1" thickBot="1" x14ac:dyDescent="0.4">
      <c r="A3" s="387"/>
      <c r="C3"/>
      <c r="D3" s="203" t="s">
        <v>331</v>
      </c>
      <c r="E3" s="204"/>
      <c r="F3" s="204"/>
      <c r="G3" s="205"/>
      <c r="H3" s="206"/>
      <c r="I3" s="207"/>
      <c r="J3" s="206"/>
      <c r="K3" s="206"/>
      <c r="L3" s="208">
        <v>-1</v>
      </c>
      <c r="M3" s="11"/>
      <c r="N3" s="193"/>
      <c r="O3" s="193"/>
      <c r="P3" s="193"/>
      <c r="Q3" s="37"/>
      <c r="R3" s="37"/>
      <c r="S3" s="126"/>
      <c r="T3" s="38"/>
      <c r="U3" s="126"/>
      <c r="V3" s="37"/>
      <c r="W3" s="193"/>
      <c r="X3" s="109"/>
      <c r="Y3" s="36"/>
      <c r="Z3" s="22"/>
      <c r="AA3" s="193"/>
      <c r="AB3" s="36"/>
      <c r="AC3" s="193"/>
      <c r="AD3" s="24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371"/>
      <c r="AQ3" s="307"/>
      <c r="AR3" s="373">
        <f>WTI!BD3</f>
        <v>46296</v>
      </c>
      <c r="AS3" s="374">
        <f>EOMONTH(AR3,1)</f>
        <v>46356</v>
      </c>
      <c r="AT3" s="374">
        <f>EOMONTH(AS3,1)</f>
        <v>46387</v>
      </c>
      <c r="AU3" s="374">
        <f>EOMONTH(AT3,1)</f>
        <v>46418</v>
      </c>
      <c r="AV3" s="2"/>
      <c r="AX3" s="365"/>
      <c r="AY3" s="366"/>
      <c r="AZ3" s="367"/>
      <c r="BA3" s="368"/>
      <c r="BB3" s="369"/>
      <c r="BC3" s="365"/>
      <c r="BD3" s="370"/>
      <c r="BE3" s="365"/>
      <c r="BF3" s="365"/>
      <c r="BG3" s="365"/>
      <c r="BH3" s="365"/>
      <c r="BI3" s="365"/>
      <c r="BJ3" s="365"/>
      <c r="BK3" s="365"/>
    </row>
    <row r="4" spans="1:63" ht="15.65" customHeight="1" x14ac:dyDescent="0.35">
      <c r="B4"/>
      <c r="R4" t="s">
        <v>160</v>
      </c>
      <c r="S4" t="s">
        <v>161</v>
      </c>
      <c r="T4" t="s">
        <v>162</v>
      </c>
      <c r="X4" s="194"/>
      <c r="AD4" s="124"/>
      <c r="AE4" s="2"/>
      <c r="AP4" s="21"/>
      <c r="AQ4" s="46" t="s">
        <v>164</v>
      </c>
      <c r="AR4" s="46">
        <f>WTI!BD4</f>
        <v>3.75</v>
      </c>
      <c r="AS4" s="46">
        <f>WTI!BE4</f>
        <v>2.9</v>
      </c>
      <c r="AT4" s="46">
        <f>WTI!BF4</f>
        <v>2.25</v>
      </c>
      <c r="AU4" s="46">
        <v>1.06</v>
      </c>
      <c r="AW4" s="194"/>
      <c r="AY4" s="198" t="s">
        <v>323</v>
      </c>
      <c r="AZ4" s="114" t="e">
        <f>L3+AR35+AR4+AS4+AS6</f>
        <v>#N/A</v>
      </c>
      <c r="BA4" s="114"/>
      <c r="BC4" s="2">
        <v>1.2</v>
      </c>
      <c r="BJ4" s="132"/>
      <c r="BK4" s="127"/>
    </row>
    <row r="5" spans="1:63" ht="15" customHeight="1" thickBot="1" x14ac:dyDescent="0.4">
      <c r="E5" s="204"/>
      <c r="F5" s="204"/>
      <c r="G5" s="205"/>
      <c r="H5" s="206"/>
      <c r="I5" s="207"/>
      <c r="J5" s="206"/>
      <c r="K5" s="206"/>
      <c r="N5" s="3">
        <f>INDEX(Index,MATCH(T35,TVM_PortList,0),MATCH("Payment",Control!$Q$3:$U$3,0))</f>
        <v>30</v>
      </c>
      <c r="P5" s="20"/>
      <c r="Q5" s="2"/>
      <c r="R5" s="194">
        <f>A8</f>
        <v>45641</v>
      </c>
      <c r="S5">
        <v>13</v>
      </c>
      <c r="T5" s="375">
        <f>R5+AW35+S5</f>
        <v>45697</v>
      </c>
      <c r="V5" s="2"/>
      <c r="W5" s="35">
        <f>DATE(YEAR(A8),MONTH(EOMONTH(A8,1)),20)</f>
        <v>45311</v>
      </c>
      <c r="X5" s="35">
        <f>IF(INDEX(Index,MATCH(X34,TVM_PortList,0),MATCH("Type",Control!$Q$3:$U$3,0))="BL",$A$8+INDEX(Index,MATCH(T18,TVM_PortList,0),MATCH("Payment",Control!$Q$3:$U$3,0)),$A$8+INDEX(Index,MATCH(X34,TVM_PortList,0),MATCH("Payment",Control!$Q$3:$U$3,0))+AW34)</f>
        <v>45694</v>
      </c>
      <c r="Y5" s="376">
        <f>X5-W5</f>
        <v>383</v>
      </c>
      <c r="Z5" s="52"/>
      <c r="AA5" s="1043" t="s">
        <v>288</v>
      </c>
      <c r="AB5" s="1043"/>
      <c r="AC5" s="1043"/>
      <c r="AD5" s="124"/>
      <c r="AE5" s="2"/>
      <c r="AP5" s="21"/>
      <c r="AQ5" s="203" t="s">
        <v>229</v>
      </c>
      <c r="AR5" s="208">
        <f>WTI!BD5</f>
        <v>13.5</v>
      </c>
      <c r="AS5" s="208">
        <f>WTI!BE5</f>
        <v>5.28</v>
      </c>
      <c r="AT5" s="208">
        <f>WTI!BF5</f>
        <v>3.98</v>
      </c>
      <c r="AU5" s="208">
        <f>WTI!BG5</f>
        <v>2.93</v>
      </c>
      <c r="AW5" s="85"/>
      <c r="AY5" s="198"/>
      <c r="AZ5" s="3" t="e">
        <f>AZ4-AZ2</f>
        <v>#N/A</v>
      </c>
    </row>
    <row r="6" spans="1:63" ht="15" customHeight="1" thickBot="1" x14ac:dyDescent="0.4">
      <c r="E6" s="204"/>
      <c r="F6" s="204"/>
      <c r="G6" s="205"/>
      <c r="H6" s="206"/>
      <c r="I6" s="207"/>
      <c r="J6" s="206"/>
      <c r="K6" s="206"/>
      <c r="P6" s="20"/>
      <c r="Q6" s="2"/>
      <c r="T6" s="2"/>
      <c r="V6" s="2"/>
      <c r="W6" s="2"/>
      <c r="X6" s="2"/>
      <c r="Y6" s="52"/>
      <c r="Z6" s="52"/>
      <c r="AA6" s="192"/>
      <c r="AB6" s="192"/>
      <c r="AC6" s="192"/>
      <c r="AD6" s="383" t="s">
        <v>332</v>
      </c>
      <c r="AE6" s="384" t="s">
        <v>325</v>
      </c>
      <c r="AF6" s="384" t="s">
        <v>333</v>
      </c>
      <c r="AG6" s="382" t="s">
        <v>163</v>
      </c>
      <c r="AQ6" s="203" t="s">
        <v>254</v>
      </c>
      <c r="AR6" s="208">
        <f>WTI!BD6</f>
        <v>-5.25</v>
      </c>
      <c r="AS6" s="208">
        <f>WTI!BE6</f>
        <v>-1.7</v>
      </c>
      <c r="AT6" s="208">
        <f>WTI!BF6</f>
        <v>-0.9</v>
      </c>
      <c r="AU6" s="208">
        <v>2</v>
      </c>
      <c r="AW6" s="385"/>
      <c r="AY6" s="195"/>
      <c r="AZ6" s="3"/>
    </row>
    <row r="7" spans="1:63" ht="19" thickBot="1" x14ac:dyDescent="0.5">
      <c r="A7" s="1005" t="s">
        <v>167</v>
      </c>
      <c r="B7" s="1005"/>
      <c r="D7" s="1057" t="s">
        <v>334</v>
      </c>
      <c r="E7" s="1058"/>
      <c r="F7" s="1058"/>
      <c r="G7" s="1058"/>
      <c r="H7" s="1058"/>
      <c r="I7" s="1058"/>
      <c r="J7" s="1058"/>
      <c r="K7" s="1058"/>
      <c r="L7" s="1058"/>
      <c r="M7" s="1058"/>
      <c r="N7" s="1058"/>
      <c r="O7" s="1058"/>
      <c r="P7" s="1059"/>
      <c r="Q7" s="2"/>
      <c r="R7" s="9"/>
      <c r="S7" s="9"/>
      <c r="T7" s="9"/>
      <c r="U7" s="9"/>
      <c r="V7" s="9"/>
      <c r="W7" s="1057" t="s">
        <v>290</v>
      </c>
      <c r="X7" s="1058"/>
      <c r="Y7" s="1058"/>
      <c r="Z7" s="1058"/>
      <c r="AA7" s="1058"/>
      <c r="AB7" s="1058"/>
      <c r="AC7" s="1058"/>
      <c r="AD7" s="1058"/>
      <c r="AE7" s="1058"/>
      <c r="AF7" s="1058"/>
      <c r="AG7" s="1058"/>
      <c r="AH7" s="1058"/>
      <c r="AI7" s="1058"/>
      <c r="AJ7" s="1058"/>
      <c r="AK7" s="1058"/>
      <c r="AL7" s="1058"/>
      <c r="AM7" s="1058"/>
      <c r="AN7" s="1058"/>
      <c r="AO7" s="1058"/>
      <c r="AP7" s="1058"/>
      <c r="AQ7" s="1058"/>
      <c r="AR7" s="1058"/>
      <c r="AS7" s="1058"/>
      <c r="AT7" s="1058"/>
      <c r="AU7" s="1059"/>
      <c r="AW7" s="112"/>
      <c r="AY7" s="78"/>
      <c r="AZ7" s="76"/>
      <c r="BB7"/>
    </row>
    <row r="8" spans="1:63" ht="29.5" customHeight="1" thickBot="1" x14ac:dyDescent="0.4">
      <c r="A8" s="309">
        <v>45641</v>
      </c>
      <c r="B8" s="310">
        <f t="shared" ref="B8:B15" si="0">IF(ISBLANK(A8),"",A8+2)</f>
        <v>45643</v>
      </c>
      <c r="D8" s="120" t="s">
        <v>276</v>
      </c>
      <c r="E8" s="152" t="s">
        <v>172</v>
      </c>
      <c r="F8" s="152" t="s">
        <v>2</v>
      </c>
      <c r="G8" s="152" t="s">
        <v>173</v>
      </c>
      <c r="H8" s="152" t="s">
        <v>174</v>
      </c>
      <c r="I8" s="125" t="s">
        <v>175</v>
      </c>
      <c r="J8" s="152" t="s">
        <v>177</v>
      </c>
      <c r="K8" s="152" t="s">
        <v>178</v>
      </c>
      <c r="L8" s="122" t="s">
        <v>176</v>
      </c>
      <c r="M8" s="120" t="s">
        <v>200</v>
      </c>
      <c r="N8" s="120" t="s">
        <v>277</v>
      </c>
      <c r="O8" s="121" t="s">
        <v>202</v>
      </c>
      <c r="P8" s="123" t="s">
        <v>335</v>
      </c>
      <c r="Q8" s="2"/>
      <c r="R8" s="120" t="s">
        <v>172</v>
      </c>
      <c r="S8" s="120" t="s">
        <v>2</v>
      </c>
      <c r="T8" s="120" t="s">
        <v>173</v>
      </c>
      <c r="U8" s="152" t="s">
        <v>174</v>
      </c>
      <c r="V8" s="120" t="s">
        <v>175</v>
      </c>
      <c r="W8" s="120" t="s">
        <v>176</v>
      </c>
      <c r="X8" s="120" t="s">
        <v>177</v>
      </c>
      <c r="Y8" s="120" t="s">
        <v>178</v>
      </c>
      <c r="Z8" s="120" t="s">
        <v>179</v>
      </c>
      <c r="AA8" s="146" t="s">
        <v>180</v>
      </c>
      <c r="AB8" s="128" t="s">
        <v>181</v>
      </c>
      <c r="AC8" s="150" t="s">
        <v>182</v>
      </c>
      <c r="AD8" s="136" t="s">
        <v>183</v>
      </c>
      <c r="AE8" s="146" t="s">
        <v>279</v>
      </c>
      <c r="AF8" s="136" t="s">
        <v>184</v>
      </c>
      <c r="AG8" s="136" t="s">
        <v>140</v>
      </c>
      <c r="AH8" s="136" t="s">
        <v>98</v>
      </c>
      <c r="AI8" s="136" t="s">
        <v>186</v>
      </c>
      <c r="AJ8" s="136" t="s">
        <v>187</v>
      </c>
      <c r="AK8" s="136" t="s">
        <v>141</v>
      </c>
      <c r="AL8" s="136" t="s">
        <v>188</v>
      </c>
      <c r="AM8" s="136" t="s">
        <v>17</v>
      </c>
      <c r="AN8" s="136" t="s">
        <v>207</v>
      </c>
      <c r="AO8" s="136" t="s">
        <v>189</v>
      </c>
      <c r="AP8" s="136" t="s">
        <v>152</v>
      </c>
      <c r="AQ8" s="150" t="s">
        <v>190</v>
      </c>
      <c r="AR8" s="150" t="s">
        <v>191</v>
      </c>
      <c r="AS8" s="150" t="s">
        <v>192</v>
      </c>
      <c r="AT8" s="150" t="s">
        <v>193</v>
      </c>
      <c r="AU8" s="137" t="s">
        <v>194</v>
      </c>
      <c r="AW8" s="137" t="s">
        <v>195</v>
      </c>
      <c r="AY8" s="1011" t="s">
        <v>196</v>
      </c>
      <c r="AZ8" s="1011"/>
      <c r="BB8" s="118" t="s">
        <v>135</v>
      </c>
      <c r="BJ8" s="132"/>
      <c r="BK8" s="127"/>
    </row>
    <row r="9" spans="1:63" x14ac:dyDescent="0.35">
      <c r="A9" s="82">
        <f>+$A$8</f>
        <v>45641</v>
      </c>
      <c r="B9" s="82">
        <f t="shared" si="0"/>
        <v>45643</v>
      </c>
      <c r="D9" s="16"/>
      <c r="E9" s="138">
        <f>INDEX('[2]Flat Rates 2023'!$A:$DB,MATCH(G9,'[2]Flat Rates 2023'!$A:$A,0),MATCH(J9,'[2]Flat Rates 2023'!$A$1:$DB$1,0))</f>
        <v>6.86</v>
      </c>
      <c r="F9" s="138">
        <f>INDEX(Control!$E$17:$O$21,MATCH(L9,Control!$E$17:$E$21,0),MATCH(G9,Control!$E$17:$O$17,0))</f>
        <v>0</v>
      </c>
      <c r="G9" s="138" t="s">
        <v>336</v>
      </c>
      <c r="H9" s="116">
        <f>INDEX(Vessel_Minimum_MT,MATCH(L9,Control!$E$11:$E$15,0),MATCH(G9,Control!$E$11:$O$11,0))</f>
        <v>70000</v>
      </c>
      <c r="I9" s="116">
        <f t="shared" ref="I9:I15" si="1">M9/$BD$17</f>
        <v>90096.96796338672</v>
      </c>
      <c r="J9" s="138" t="s">
        <v>55</v>
      </c>
      <c r="K9" s="138" t="str">
        <f t="shared" ref="K9:K15" si="2">IF(J9=G9,"",CONCATENATE(CONCATENATE(VLOOKUP(G9,Zones,2,FALSE),"/",VLOOKUP(J9,Zones,2,FALSE))))</f>
        <v>CARIBS/CARIBS</v>
      </c>
      <c r="L9" s="147" t="s">
        <v>23</v>
      </c>
      <c r="M9" s="15">
        <v>700000</v>
      </c>
      <c r="N9" s="17">
        <v>170</v>
      </c>
      <c r="O9" s="18">
        <v>85</v>
      </c>
      <c r="P9" s="149">
        <f t="shared" ref="P9:P15" si="3">IF($G9="Esmeraldas",IF(N9&gt;1000,IF(O9=0,N9,O9)/M9*1.1,((H9*E9*(IF(O9=0,N9,O9)/100))+IF(I9&lt;H9,0,(I9-H9)*E9*IF(O9=0,N9,O9)/100*F9))/M9*1.1),IF(N9&gt;1000,IF(O9=0,N9,O9)/M9,((H9*E9*(IF(O9=0,N9,O9)/100))+IF(I9&lt;H9,0,(I9-H9)*E9*IF(O9=0,N9,O9)/100*F9)))/M9)</f>
        <v>0.58309999999999995</v>
      </c>
      <c r="Q9" s="2"/>
      <c r="R9" s="165">
        <f>INDEX('[2]Flat Rates 2023'!$A:$DB,MATCH(T9,'[2]Flat Rates 2023'!$A:$A,0),MATCH(X9,'[2]Flat Rates 2023'!$A$1:$DB$1,0))</f>
        <v>10.63</v>
      </c>
      <c r="S9" s="138">
        <f>INDEX(Control!$E$17:$J$21,MATCH(W9,Control!$E$17:$E$21,0),MATCH(T9,Control!$E$17:$J$17,0))</f>
        <v>0.5</v>
      </c>
      <c r="T9" s="138" t="s">
        <v>63</v>
      </c>
      <c r="U9" s="116">
        <f>INDEX(Vessel_Minimum_MT,MATCH(W9,Control!$E$11:$E$15,0),MATCH(T9,Control!$E$11:$O$11,0))</f>
        <v>50000</v>
      </c>
      <c r="V9" s="140">
        <f t="shared" ref="V9:V15" si="4">Z9/$BD$17</f>
        <v>62424.327803203661</v>
      </c>
      <c r="W9" s="147" t="s">
        <v>22</v>
      </c>
      <c r="X9" s="164" t="s">
        <v>110</v>
      </c>
      <c r="Y9" s="142" t="str">
        <f t="shared" ref="Y9:Y15" si="5">IF(X9=T9,"",CONCATENATE(CONCATENATE(VLOOKUP(T9,Zones,2,FALSE),"/",VLOOKUP(X9,Zones,2,FALSE))))</f>
        <v>Panama WC/LATAM WEST</v>
      </c>
      <c r="Z9" s="141">
        <v>485000</v>
      </c>
      <c r="AA9" s="141">
        <v>245</v>
      </c>
      <c r="AB9" s="151">
        <v>100</v>
      </c>
      <c r="AC9" s="149">
        <f>IF(AB9&gt;1000,IF(AB9=0,AB9,AB9)/Z9,((U9*R9*(IF(AB9=0,AB9,AB9)/100))+IF(V9&lt;U9,0,(V9-U9)*R9*IF(AB9=0,AB9,AB9)/100*S9))/Z9)</f>
        <v>1.2320315510804691</v>
      </c>
      <c r="AD9" s="144">
        <v>5</v>
      </c>
      <c r="AE9" s="155">
        <f>IF(INDEX(Index,MATCH(X9,TVM_PortList,0),MATCH("Type",Control!$Q$3:$U$3,0))="BL",INDEX(Index,MATCH(X9,TVM_PortList,0),MATCH("Payment",Control!$Q$3:$U$3,0))-INDEX(Index,MATCH(T9,TVM_PortList,0),MATCH("Payment",Control!$Q$3:$U$3,0)),AW9+INDEX(Index,MATCH(X9,TVM_PortList,0),MATCH("Payment",Control!$Q$3:$U$3,0))-INDEX(Index,MATCH(T9,TVM_PortList,0),MATCH("Payment",Control!$Q$3:$U$3,0)))</f>
        <v>15</v>
      </c>
      <c r="AF9" s="143">
        <f t="shared" ref="AF9:AF15" si="6">AD9*VLOOKUP($W9,$BF$9:$BH$13,3,FALSE)/$Z9</f>
        <v>0.19072164948453607</v>
      </c>
      <c r="AG9" s="143">
        <f t="shared" ref="AG9:AG15" si="7">IF(AE9&lt;0,0,$AE9*$BD$11)</f>
        <v>7.3972602739726029E-2</v>
      </c>
      <c r="AH9" s="143">
        <f>INDEX(Lightering,MATCH($T9,Control!$AB$3:$AB$30,0),MATCH(LIZA!$W9,Control!$AB$3:$AF$3,0))*($Z9/$BD$18)*$BH$15/$Z9</f>
        <v>0</v>
      </c>
      <c r="AI9" s="143">
        <f t="shared" ref="AI9:AI15" si="8">IF(G9="LIZA FPSO",$BD$10,0)</f>
        <v>0</v>
      </c>
      <c r="AJ9" s="143">
        <v>0</v>
      </c>
      <c r="AK9" s="143">
        <f t="shared" ref="AK9:AK15" si="9">$BD$12</f>
        <v>5.0000000000000001E-3</v>
      </c>
      <c r="AL9" s="143">
        <f t="shared" ref="AL9:AL15" si="10">$BD$13</f>
        <v>2.9999999999999997E-4</v>
      </c>
      <c r="AM9" s="143">
        <f>IF(INDEX(Control!$Q$3:$S$62,MATCH($X9,Control!$Q$3:$Q$62,0),MATCH(AM$8,Control!$Q$3:$S$3,0))=1,$BD$14*$BE$14,0)</f>
        <v>0</v>
      </c>
      <c r="AN9" s="143" t="e">
        <f>IF(INDEX(Control!$Q$3:$S$62,MATCH($X9,Control!$Q$3:$Q$62,0),MATCH(AN$8,Control!$Q$3:$S$3,0))=1,$BD$15/$Z9,0)</f>
        <v>#N/A</v>
      </c>
      <c r="AO9" s="143">
        <f t="shared" ref="AO9:AO15" si="11">$BD$16</f>
        <v>0</v>
      </c>
      <c r="AP9" s="143">
        <f t="shared" ref="AP9:AP15" si="12">IF(AND(J9="Chiriqui Grande",T9="Puerto Armuelles"),$BG$18,0)</f>
        <v>0.55000000000000004</v>
      </c>
      <c r="AQ9" s="149" t="e">
        <f>SUM(AF9:AP9)</f>
        <v>#N/A</v>
      </c>
      <c r="AR9" s="149" t="e">
        <f t="shared" ref="AR9:AR15" si="13">+P9+AC9+AQ9</f>
        <v>#N/A</v>
      </c>
      <c r="AS9" s="149" t="e">
        <f>IF(MONTH(A9)=MONTH(AZ9),0,IF(MONTH(AZ9)-MONTH(A9)&gt;1,VLOOKUP("Spreads",$AQ$3:$AU$4,MATCH(EOMONTH(AZ9,0),$AQ$3:$AU$3,0),FALSE)+VLOOKUP("Spreads",$AQ$3:$AU$4,MATCH(EOMONTH(AZ9,-1),$AQ$3:$AU$3,0),FALSE),VLOOKUP("Spreads",$AQ$3:$AU$4,MATCH(EOMONTH(AZ9,0),$AQ$3:$AU$3,0))))</f>
        <v>#N/A</v>
      </c>
      <c r="AT9" s="149">
        <f>+IF($AQ$3=1,HLOOKUP(EOMONTH(AZ9,0),$AR$3:$AU$6,4,FALSE),IF($AQ$3=2,HLOOKUP(EOMONTH(AZ9,0),$AR$3:$AU$6,3,FALSE),0))</f>
        <v>0</v>
      </c>
      <c r="AU9" s="135" t="e">
        <f t="shared" ref="AU9:AU15" si="14">$L$3+AR9+AS9+AT9</f>
        <v>#N/A</v>
      </c>
      <c r="AW9" s="153">
        <f>INDEX('[1]Transit Time'!$A:$DC,MATCH(G9,'[1]Transit Time'!$A:$A,0),MATCH(J9,'[1]Transit Time'!$A$1:$DC$1,0))+INDEX('[1]Transit Time'!$A:$DC,MATCH(J9,'[1]Transit Time'!$A:$A,0),MATCH(T9,'[1]Transit Time'!$A$1:$DC$1,0))+INDEX('[1]Transit Time'!$A:$DC,MATCH(T9,'[1]Transit Time'!$A:$A,0),MATCH(X9,'[1]Transit Time'!$A$1:$DC$1,0))</f>
        <v>25</v>
      </c>
      <c r="AY9" s="163">
        <f>IF(ISBLANK(A9),"",A9+$AW9)</f>
        <v>45666</v>
      </c>
      <c r="AZ9" s="163">
        <f>IF(ISBLANK(B9),"",B9+$AW9)</f>
        <v>45668</v>
      </c>
      <c r="BB9" s="118" t="s">
        <v>136</v>
      </c>
      <c r="BC9"/>
      <c r="BD9" s="2">
        <v>43.3</v>
      </c>
      <c r="BE9"/>
      <c r="BF9" s="185" t="s">
        <v>137</v>
      </c>
      <c r="BG9" s="185"/>
      <c r="BH9" s="186" t="s">
        <v>138</v>
      </c>
      <c r="BJ9" s="118" t="s">
        <v>102</v>
      </c>
    </row>
    <row r="10" spans="1:63" x14ac:dyDescent="0.35">
      <c r="A10" s="209">
        <f>+$A$9</f>
        <v>45641</v>
      </c>
      <c r="B10" s="209">
        <f t="shared" si="0"/>
        <v>45643</v>
      </c>
      <c r="D10" s="211"/>
      <c r="E10" s="212">
        <f>INDEX('[2]Flat Rates 2023'!$A:$DB,MATCH(G10,'[2]Flat Rates 2023'!$A:$A,0),MATCH(J10,'[2]Flat Rates 2023'!$A$1:$DB$1,0))</f>
        <v>6.86</v>
      </c>
      <c r="F10" s="212">
        <f>INDEX(Control!$E$17:$O$21,MATCH(L10,Control!$E$17:$E$21,0),MATCH(G10,Control!$E$17:$O$17,0))</f>
        <v>0</v>
      </c>
      <c r="G10" s="212" t="s">
        <v>336</v>
      </c>
      <c r="H10" s="213">
        <f>INDEX(Vessel_Minimum_MT,MATCH(L10,Control!$E$11:$E$15,0),MATCH(G10,Control!$E$11:$O$11,0))</f>
        <v>70000</v>
      </c>
      <c r="I10" s="214">
        <f t="shared" si="1"/>
        <v>90096.96796338672</v>
      </c>
      <c r="J10" s="212" t="s">
        <v>55</v>
      </c>
      <c r="K10" s="212" t="str">
        <f t="shared" si="2"/>
        <v>CARIBS/CARIBS</v>
      </c>
      <c r="L10" s="215" t="s">
        <v>23</v>
      </c>
      <c r="M10" s="216">
        <v>700000</v>
      </c>
      <c r="N10" s="217">
        <v>170</v>
      </c>
      <c r="O10" s="218">
        <v>85</v>
      </c>
      <c r="P10" s="219">
        <f t="shared" si="3"/>
        <v>0.58309999999999995</v>
      </c>
      <c r="Q10" s="2"/>
      <c r="R10" s="220">
        <f>INDEX('[2]Flat Rates 2023'!$A:$DB,MATCH(T10,'[2]Flat Rates 2023'!$A:$A,0),MATCH(X10,'[2]Flat Rates 2023'!$A$1:$DB$1,0))</f>
        <v>10.63</v>
      </c>
      <c r="S10" s="220">
        <f>INDEX(Control!$E$17:$J$21,MATCH(W10,Control!$E$17:$E$21,0),MATCH(T10,Control!$E$17:$J$17,0))</f>
        <v>0.5</v>
      </c>
      <c r="T10" s="220" t="s">
        <v>63</v>
      </c>
      <c r="U10" s="213">
        <f>INDEX(Vessel_Minimum_MT,MATCH(W10,Control!$E$11:$E$15,0),MATCH(T10,Control!$E$11:$O$11,0))</f>
        <v>70000</v>
      </c>
      <c r="V10" s="222">
        <f t="shared" si="4"/>
        <v>96532.465675057203</v>
      </c>
      <c r="W10" s="215" t="s">
        <v>23</v>
      </c>
      <c r="X10" s="223" t="s">
        <v>110</v>
      </c>
      <c r="Y10" s="212" t="str">
        <f t="shared" si="5"/>
        <v>Panama WC/LATAM WEST</v>
      </c>
      <c r="Z10" s="214">
        <v>750000</v>
      </c>
      <c r="AA10" s="214">
        <v>155</v>
      </c>
      <c r="AB10" s="224"/>
      <c r="AC10" s="225">
        <f t="shared" ref="AC10:AC15" si="15">IF(AA10&gt;1000,IF(AB10=0,AA10,AB10)/Z10,((U10*R10*(IF(AB10=0,AA10,AB10)/100))+IF(V10&lt;U10,0,(V10-U10)*R10*IF(AB10=0,AA10,AB10)/100*S10))/Z10)</f>
        <v>1.82924811379672</v>
      </c>
      <c r="AD10" s="226">
        <v>0</v>
      </c>
      <c r="AE10" s="214">
        <f>IF(INDEX(Index,MATCH(X10,TVM_PortList,0),MATCH("Type",Control!$Q$3:$U$3,0))="BL",INDEX(Index,MATCH(X10,TVM_PortList,0),MATCH("Payment",Control!$Q$3:$U$3,0))-INDEX(Index,MATCH(T10,TVM_PortList,0),MATCH("Payment",Control!$Q$3:$U$3,0)),AW10+INDEX(Index,MATCH(X10,TVM_PortList,0),MATCH("Payment",Control!$Q$3:$U$3,0))-INDEX(Index,MATCH(T10,TVM_PortList,0),MATCH("Payment",Control!$Q$3:$U$3,0)))</f>
        <v>15</v>
      </c>
      <c r="AF10" s="227">
        <f t="shared" si="6"/>
        <v>0</v>
      </c>
      <c r="AG10" s="227">
        <f t="shared" si="7"/>
        <v>7.3972602739726029E-2</v>
      </c>
      <c r="AH10" s="227">
        <f>INDEX(Lightering,MATCH($T10,Control!$AB$3:$AB$29,0),MATCH(LIZA!$W10,Control!$AB$3:$AF$3,0))*($Z10/$BD$18)*$BH$15/$Z10</f>
        <v>0</v>
      </c>
      <c r="AI10" s="227">
        <f t="shared" si="8"/>
        <v>0</v>
      </c>
      <c r="AJ10" s="227">
        <v>0</v>
      </c>
      <c r="AK10" s="227">
        <f t="shared" si="9"/>
        <v>5.0000000000000001E-3</v>
      </c>
      <c r="AL10" s="227">
        <f t="shared" si="10"/>
        <v>2.9999999999999997E-4</v>
      </c>
      <c r="AM10" s="227">
        <f>IF(INDEX(Control!$Q$3:$S$62,MATCH($X10,Control!$Q$3:$Q$62,0),MATCH(AM$8,Control!$Q$3:$S$3,0))=1,$BD$14*$BE$14,0)</f>
        <v>0</v>
      </c>
      <c r="AN10" s="227" t="e">
        <f>IF(INDEX(Control!$Q$3:$S$62,MATCH($X10,Control!$Q$3:$Q$62,0),MATCH(AN$8,Control!$Q$3:$S$3,0))=1,$BD$15/$Z10,0)</f>
        <v>#N/A</v>
      </c>
      <c r="AO10" s="227">
        <f t="shared" si="11"/>
        <v>0</v>
      </c>
      <c r="AP10" s="227">
        <f t="shared" si="12"/>
        <v>0.55000000000000004</v>
      </c>
      <c r="AQ10" s="225" t="e">
        <f t="shared" ref="AQ10:AQ15" si="16">SUM(AF10:AP10)</f>
        <v>#N/A</v>
      </c>
      <c r="AR10" s="225" t="e">
        <f t="shared" si="13"/>
        <v>#N/A</v>
      </c>
      <c r="AS10" s="225" t="e">
        <f t="shared" ref="AS10:AS15" si="17">IF(MONTH(A10)=MONTH(AZ10),0,IF(MONTH(AZ10)-MONTH(A10)&gt;1,VLOOKUP("Spreads",$AQ$3:$AU$4,MATCH(EOMONTH(AZ10,0),$AQ$3:$AU$3,0),FALSE)+VLOOKUP("Spreads",$AQ$3:$AU$4,MATCH(EOMONTH(AZ10,-1),$AQ$3:$AU$3,0),FALSE),VLOOKUP("Spreads",$AQ$3:$AU$4,MATCH(EOMONTH(AZ10,0),$AQ$3:$AU$3,0))))</f>
        <v>#N/A</v>
      </c>
      <c r="AT10" s="225">
        <f t="shared" ref="AT10:AT15" si="18">+IF($AQ$3=1,HLOOKUP(EOMONTH(AZ10,0),$AR$3:$AU$6,4,FALSE),IF($AQ$3=2,HLOOKUP(EOMONTH(AZ10,0),$AR$3:$AU$6,3,FALSE),0))</f>
        <v>0</v>
      </c>
      <c r="AU10" s="228" t="e">
        <f t="shared" si="14"/>
        <v>#N/A</v>
      </c>
      <c r="AV10" s="220"/>
      <c r="AW10" s="229">
        <f>INDEX('[1]Transit Time'!$A:$DC,MATCH(G10,'[1]Transit Time'!$A:$A,0),MATCH(J10,'[1]Transit Time'!$A$1:$DC$1,0))+INDEX('[1]Transit Time'!$A:$DC,MATCH(J10,'[1]Transit Time'!$A:$A,0),MATCH(T10,'[1]Transit Time'!$A$1:$DC$1,0))+INDEX('[1]Transit Time'!$A:$DC,MATCH(T10,'[1]Transit Time'!$A:$A,0),MATCH(X10,'[1]Transit Time'!$A$1:$DC$1,0))</f>
        <v>25</v>
      </c>
      <c r="AX10" s="220"/>
      <c r="AY10" s="230">
        <f t="shared" ref="AY10:AY15" si="19">IF(ISBLANK(A10),"",A10+$AW10)</f>
        <v>45666</v>
      </c>
      <c r="AZ10" s="230">
        <f t="shared" ref="AZ10:AZ15" si="20">IFERROR(IF(ISBLANK(B10),"",B10+$AW10),"")</f>
        <v>45668</v>
      </c>
      <c r="BB10" s="183" t="s">
        <v>139</v>
      </c>
      <c r="BC10" s="183"/>
      <c r="BD10" s="184"/>
      <c r="BE10" s="181"/>
      <c r="BF10" s="133" t="s">
        <v>22</v>
      </c>
      <c r="BG10" s="133"/>
      <c r="BH10" s="154">
        <v>18500</v>
      </c>
      <c r="BI10" s="165"/>
      <c r="BJ10" s="2" t="s">
        <v>22</v>
      </c>
      <c r="BK10" s="267">
        <v>490000</v>
      </c>
    </row>
    <row r="11" spans="1:63" x14ac:dyDescent="0.35">
      <c r="A11" s="163">
        <f t="shared" ref="A11:A15" si="21">+$A$9</f>
        <v>45641</v>
      </c>
      <c r="B11" s="163">
        <f t="shared" si="0"/>
        <v>45643</v>
      </c>
      <c r="D11" s="8"/>
      <c r="E11" s="142">
        <f>INDEX('[2]Flat Rates 2023'!$A:$DB,MATCH(G11,'[2]Flat Rates 2023'!$A:$A,0),MATCH(J11,'[2]Flat Rates 2023'!$A$1:$DB$1,0))</f>
        <v>6.86</v>
      </c>
      <c r="F11" s="142">
        <f>INDEX(Control!$E$17:$O$21,MATCH(L11,Control!$E$17:$E$21,0),MATCH(G11,Control!$E$17:$O$17,0))</f>
        <v>0</v>
      </c>
      <c r="G11" s="142" t="str">
        <f>$G$9</f>
        <v>LIZA FPSO</v>
      </c>
      <c r="H11" s="116">
        <f>INDEX(Vessel_Minimum_MT,MATCH(L11,Control!$E$11:$E$15,0),MATCH(G11,Control!$E$11:$O$11,0))</f>
        <v>70000</v>
      </c>
      <c r="I11" s="141">
        <f t="shared" si="1"/>
        <v>90096.96796338672</v>
      </c>
      <c r="J11" s="142" t="s">
        <v>55</v>
      </c>
      <c r="K11" s="142" t="str">
        <f t="shared" si="2"/>
        <v>CARIBS/CARIBS</v>
      </c>
      <c r="L11" s="147" t="s">
        <v>23</v>
      </c>
      <c r="M11" s="15">
        <v>700000</v>
      </c>
      <c r="N11" s="13">
        <v>170</v>
      </c>
      <c r="O11" s="14">
        <v>85</v>
      </c>
      <c r="P11" s="259">
        <f t="shared" si="3"/>
        <v>0.58309999999999995</v>
      </c>
      <c r="Q11" s="2"/>
      <c r="R11" s="191">
        <f>INDEX('[2]Flat Rates 2023'!$A:$DB,MATCH(T11,'[2]Flat Rates 2023'!$A:$A,0),MATCH(X11,'[2]Flat Rates 2023'!$A$1:$DB$1,0))</f>
        <v>10.63</v>
      </c>
      <c r="S11" s="138">
        <f>INDEX(Control!$E$17:$J$21,MATCH(W11,Control!$E$17:$E$21,0),MATCH(T11,Control!$E$17:$J$17,0))</f>
        <v>0.5</v>
      </c>
      <c r="T11" s="138" t="s">
        <v>63</v>
      </c>
      <c r="U11" s="116">
        <f>INDEX(Vessel_Minimum_MT,MATCH(W11,Control!$E$11:$E$15,0),MATCH(T11,Control!$E$11:$O$11,0))</f>
        <v>145000</v>
      </c>
      <c r="V11" s="140">
        <f t="shared" si="4"/>
        <v>128709.9542334096</v>
      </c>
      <c r="W11" s="147" t="s">
        <v>24</v>
      </c>
      <c r="X11" s="164" t="s">
        <v>110</v>
      </c>
      <c r="Y11" s="142" t="str">
        <f t="shared" si="5"/>
        <v>Panama WC/LATAM WEST</v>
      </c>
      <c r="Z11" s="141">
        <v>1000000</v>
      </c>
      <c r="AA11" s="141">
        <v>110</v>
      </c>
      <c r="AB11" s="151"/>
      <c r="AC11" s="149">
        <f t="shared" si="15"/>
        <v>1.6954850000000001</v>
      </c>
      <c r="AD11" s="144">
        <v>0</v>
      </c>
      <c r="AE11" s="141">
        <f>IF(INDEX(Index,MATCH(X11,TVM_PortList,0),MATCH("Type",Control!$Q$3:$U$3,0))="BL",INDEX(Index,MATCH(X11,TVM_PortList,0),MATCH("Payment",Control!$Q$3:$U$3,0))-INDEX(Index,MATCH(T11,TVM_PortList,0),MATCH("Payment",Control!$Q$3:$U$3,0)),AW11+INDEX(Index,MATCH(X11,TVM_PortList,0),MATCH("Payment",Control!$Q$3:$U$3,0))-INDEX(Index,MATCH(T11,TVM_PortList,0),MATCH("Payment",Control!$Q$3:$U$3,0)))</f>
        <v>15</v>
      </c>
      <c r="AF11" s="143">
        <f t="shared" si="6"/>
        <v>0</v>
      </c>
      <c r="AG11" s="143">
        <f t="shared" si="7"/>
        <v>7.3972602739726029E-2</v>
      </c>
      <c r="AH11" s="143">
        <f>INDEX(Lightering,MATCH($T11,Control!$AB$3:$AB$29,0),MATCH(LIZA!$W11,Control!$AB$3:$AF$3,0))*($Z11/$BD$18)*$BH$15/$Z11</f>
        <v>0</v>
      </c>
      <c r="AI11" s="143">
        <f t="shared" si="8"/>
        <v>0</v>
      </c>
      <c r="AJ11" s="143">
        <v>0</v>
      </c>
      <c r="AK11" s="143">
        <f t="shared" si="9"/>
        <v>5.0000000000000001E-3</v>
      </c>
      <c r="AL11" s="143">
        <f t="shared" si="10"/>
        <v>2.9999999999999997E-4</v>
      </c>
      <c r="AM11" s="143">
        <f>IF(INDEX(Control!$Q$3:$S$62,MATCH($X11,Control!$Q$3:$Q$62,0),MATCH(AM$8,Control!$Q$3:$S$3,0))=1,$BD$14*$BE$14,0)</f>
        <v>0</v>
      </c>
      <c r="AN11" s="143" t="e">
        <f>IF(INDEX(Control!$Q$3:$S$62,MATCH($X11,Control!$Q$3:$Q$62,0),MATCH(AN$8,Control!$Q$3:$S$3,0))=1,$BD$15/$Z11,0)</f>
        <v>#N/A</v>
      </c>
      <c r="AO11" s="143">
        <f t="shared" si="11"/>
        <v>0</v>
      </c>
      <c r="AP11" s="143">
        <f t="shared" si="12"/>
        <v>0.55000000000000004</v>
      </c>
      <c r="AQ11" s="149" t="e">
        <f t="shared" si="16"/>
        <v>#N/A</v>
      </c>
      <c r="AR11" s="149" t="e">
        <f t="shared" si="13"/>
        <v>#N/A</v>
      </c>
      <c r="AS11" s="149" t="e">
        <f t="shared" si="17"/>
        <v>#N/A</v>
      </c>
      <c r="AT11" s="149">
        <f t="shared" si="18"/>
        <v>0</v>
      </c>
      <c r="AU11" s="145" t="e">
        <f t="shared" si="14"/>
        <v>#N/A</v>
      </c>
      <c r="AW11" s="153">
        <f>INDEX('[1]Transit Time'!$A:$DC,MATCH(G11,'[1]Transit Time'!$A:$A,0),MATCH(J11,'[1]Transit Time'!$A$1:$DC$1,0))+INDEX('[1]Transit Time'!$A:$DC,MATCH(J11,'[1]Transit Time'!$A:$A,0),MATCH(T11,'[1]Transit Time'!$A$1:$DC$1,0))+INDEX('[1]Transit Time'!$A:$DC,MATCH(T11,'[1]Transit Time'!$A:$A,0),MATCH(X11,'[1]Transit Time'!$A$1:$DC$1,0))</f>
        <v>25</v>
      </c>
      <c r="AY11" s="163">
        <f t="shared" si="19"/>
        <v>45666</v>
      </c>
      <c r="AZ11" s="163">
        <f t="shared" si="20"/>
        <v>45668</v>
      </c>
      <c r="BB11" s="133" t="s">
        <v>140</v>
      </c>
      <c r="BC11" s="133"/>
      <c r="BD11" s="119">
        <f>BD21</f>
        <v>4.9315068493150684E-3</v>
      </c>
      <c r="BE11"/>
      <c r="BF11" s="133" t="s">
        <v>23</v>
      </c>
      <c r="BG11" s="133"/>
      <c r="BH11" s="154">
        <v>24000</v>
      </c>
      <c r="BJ11" s="2" t="s">
        <v>23</v>
      </c>
      <c r="BK11" s="267">
        <v>750000</v>
      </c>
    </row>
    <row r="12" spans="1:63" x14ac:dyDescent="0.35">
      <c r="A12" s="230">
        <f t="shared" si="21"/>
        <v>45641</v>
      </c>
      <c r="B12" s="230">
        <f t="shared" si="0"/>
        <v>45643</v>
      </c>
      <c r="D12" s="211"/>
      <c r="E12" s="212">
        <f>INDEX('[2]Flat Rates 2023'!$A:$DB,MATCH(G12,'[2]Flat Rates 2023'!$A:$A,0),MATCH(J12,'[2]Flat Rates 2023'!$A$1:$DB$1,0))</f>
        <v>6.86</v>
      </c>
      <c r="F12" s="212">
        <f>INDEX(Control!$E$17:$O$21,MATCH(L12,Control!$E$17:$E$21,0),MATCH(G12,Control!$E$17:$O$17,0))</f>
        <v>0</v>
      </c>
      <c r="G12" s="212" t="str">
        <f>$G$9</f>
        <v>LIZA FPSO</v>
      </c>
      <c r="H12" s="213">
        <f>INDEX(Vessel_Minimum_MT,MATCH(L12,Control!$E$11:$E$15,0),MATCH(G12,Control!$E$11:$O$11,0))</f>
        <v>70000</v>
      </c>
      <c r="I12" s="214">
        <f t="shared" si="1"/>
        <v>90096.96796338672</v>
      </c>
      <c r="J12" s="212" t="s">
        <v>55</v>
      </c>
      <c r="K12" s="212" t="str">
        <f t="shared" si="2"/>
        <v>CARIBS/CARIBS</v>
      </c>
      <c r="L12" s="215" t="s">
        <v>23</v>
      </c>
      <c r="M12" s="216">
        <v>700000</v>
      </c>
      <c r="N12" s="217">
        <v>170</v>
      </c>
      <c r="O12" s="218">
        <v>85</v>
      </c>
      <c r="P12" s="219">
        <f t="shared" si="3"/>
        <v>0.58309999999999995</v>
      </c>
      <c r="Q12" s="2"/>
      <c r="R12" s="220">
        <f>INDEX('[2]Flat Rates 2023'!$A:$DB,MATCH(T12,'[2]Flat Rates 2023'!$A:$A,0),MATCH(X12,'[2]Flat Rates 2023'!$A$1:$DB$1,0))</f>
        <v>5.93</v>
      </c>
      <c r="S12" s="220">
        <f>INDEX(Control!$E$17:$J$21,MATCH(W12,Control!$E$17:$E$21,0),MATCH(T12,Control!$E$17:$J$17,0))</f>
        <v>0.5</v>
      </c>
      <c r="T12" s="220" t="s">
        <v>63</v>
      </c>
      <c r="U12" s="213">
        <f>INDEX(Vessel_Minimum_MT,MATCH(W12,Control!$E$11:$E$15,0),MATCH(T12,Control!$E$11:$O$11,0))</f>
        <v>50000</v>
      </c>
      <c r="V12" s="222">
        <f t="shared" si="4"/>
        <v>61137.22826086956</v>
      </c>
      <c r="W12" s="215" t="s">
        <v>22</v>
      </c>
      <c r="X12" s="223" t="s">
        <v>94</v>
      </c>
      <c r="Y12" s="212" t="str">
        <f t="shared" si="5"/>
        <v>Panama WC/PAMPILLA</v>
      </c>
      <c r="Z12" s="214">
        <v>475000</v>
      </c>
      <c r="AA12" s="214">
        <v>1001</v>
      </c>
      <c r="AB12" s="224">
        <v>700000</v>
      </c>
      <c r="AC12" s="225">
        <f t="shared" si="15"/>
        <v>1.4736842105263157</v>
      </c>
      <c r="AD12" s="226">
        <v>0</v>
      </c>
      <c r="AE12" s="214">
        <f>IF(INDEX(Index,MATCH(X12,TVM_PortList,0),MATCH("Type",Control!$Q$3:$U$3,0))="BL",INDEX(Index,MATCH(X12,TVM_PortList,0),MATCH("Payment",Control!$Q$3:$U$3,0))-INDEX(Index,MATCH(T12,TVM_PortList,0),MATCH("Payment",Control!$Q$3:$U$3,0)),AW12+INDEX(Index,MATCH(X12,TVM_PortList,0),MATCH("Payment",Control!$Q$3:$U$3,0))-INDEX(Index,MATCH(T12,TVM_PortList,0),MATCH("Payment",Control!$Q$3:$U$3,0)))</f>
        <v>19</v>
      </c>
      <c r="AF12" s="227">
        <f t="shared" si="6"/>
        <v>0</v>
      </c>
      <c r="AG12" s="227">
        <f t="shared" si="7"/>
        <v>9.3698630136986302E-2</v>
      </c>
      <c r="AH12" s="227">
        <f>INDEX(Lightering,MATCH($T12,Control!$AB$3:$AB$29,0),MATCH(LIZA!$W12,Control!$AB$3:$AF$3,0))*($Z12/$BD$18)*$BH$15/$Z12</f>
        <v>0</v>
      </c>
      <c r="AI12" s="227">
        <f t="shared" si="8"/>
        <v>0</v>
      </c>
      <c r="AJ12" s="227">
        <v>0</v>
      </c>
      <c r="AK12" s="227">
        <f t="shared" si="9"/>
        <v>5.0000000000000001E-3</v>
      </c>
      <c r="AL12" s="227">
        <f t="shared" si="10"/>
        <v>2.9999999999999997E-4</v>
      </c>
      <c r="AM12" s="227">
        <f>IF(INDEX(Control!$Q$3:$S$62,MATCH($X12,Control!$Q$3:$Q$62,0),MATCH(AM$8,Control!$Q$3:$S$3,0))=1,$BD$14*$BE$14,0)</f>
        <v>0</v>
      </c>
      <c r="AN12" s="227" t="e">
        <f>IF(INDEX(Control!$Q$3:$S$62,MATCH($X12,Control!$Q$3:$Q$62,0),MATCH(AN$8,Control!$Q$3:$S$3,0))=1,$BD$15/$Z12,0)</f>
        <v>#N/A</v>
      </c>
      <c r="AO12" s="227">
        <f t="shared" si="11"/>
        <v>0</v>
      </c>
      <c r="AP12" s="227">
        <f t="shared" si="12"/>
        <v>0.55000000000000004</v>
      </c>
      <c r="AQ12" s="225" t="e">
        <f t="shared" si="16"/>
        <v>#N/A</v>
      </c>
      <c r="AR12" s="225" t="e">
        <f t="shared" si="13"/>
        <v>#N/A</v>
      </c>
      <c r="AS12" s="225" t="e">
        <f t="shared" si="17"/>
        <v>#N/A</v>
      </c>
      <c r="AT12" s="225">
        <f t="shared" si="18"/>
        <v>0</v>
      </c>
      <c r="AU12" s="228" t="e">
        <f t="shared" si="14"/>
        <v>#N/A</v>
      </c>
      <c r="AV12" s="220"/>
      <c r="AW12" s="229">
        <f>INDEX('[1]Transit Time'!$A:$DC,MATCH(G12,'[1]Transit Time'!$A:$A,0),MATCH(J12,'[1]Transit Time'!$A$1:$DC$1,0))+INDEX('[1]Transit Time'!$A:$DC,MATCH(J12,'[1]Transit Time'!$A:$A,0),MATCH(T12,'[1]Transit Time'!$A$1:$DC$1,0))+INDEX('[1]Transit Time'!$A:$DC,MATCH(T12,'[1]Transit Time'!$A:$A,0),MATCH(X12,'[1]Transit Time'!$A$1:$DC$1,0))</f>
        <v>21</v>
      </c>
      <c r="AX12" s="220"/>
      <c r="AY12" s="230">
        <f t="shared" si="19"/>
        <v>45662</v>
      </c>
      <c r="AZ12" s="230">
        <f t="shared" si="20"/>
        <v>45664</v>
      </c>
      <c r="BB12" s="183" t="s">
        <v>328</v>
      </c>
      <c r="BC12" s="183"/>
      <c r="BD12" s="184">
        <f>0.005</f>
        <v>5.0000000000000001E-3</v>
      </c>
      <c r="BE12" s="181"/>
      <c r="BF12" s="118" t="s">
        <v>24</v>
      </c>
      <c r="BH12" s="154">
        <v>23000</v>
      </c>
      <c r="BI12" s="165"/>
      <c r="BJ12" s="165" t="s">
        <v>24</v>
      </c>
      <c r="BK12" s="267">
        <v>1050000</v>
      </c>
    </row>
    <row r="13" spans="1:63" x14ac:dyDescent="0.35">
      <c r="A13" s="163">
        <f t="shared" si="21"/>
        <v>45641</v>
      </c>
      <c r="B13" s="163">
        <f t="shared" si="0"/>
        <v>45643</v>
      </c>
      <c r="D13" s="8"/>
      <c r="E13" s="142">
        <f>INDEX('[2]Flat Rates 2023'!$A:$DB,MATCH(G13,'[2]Flat Rates 2023'!$A:$A,0),MATCH(J13,'[2]Flat Rates 2023'!$A$1:$DB$1,0))</f>
        <v>6.86</v>
      </c>
      <c r="F13" s="142">
        <f>INDEX(Control!$E$17:$O$21,MATCH(L13,Control!$E$17:$E$21,0),MATCH(G13,Control!$E$17:$O$17,0))</f>
        <v>0</v>
      </c>
      <c r="G13" s="142" t="str">
        <f>$G$9</f>
        <v>LIZA FPSO</v>
      </c>
      <c r="H13" s="116">
        <f>INDEX(Vessel_Minimum_MT,MATCH(L13,Control!$E$11:$E$15,0),MATCH(G13,Control!$E$11:$O$11,0))</f>
        <v>70000</v>
      </c>
      <c r="I13" s="141">
        <f t="shared" si="1"/>
        <v>90096.96796338672</v>
      </c>
      <c r="J13" s="142" t="s">
        <v>55</v>
      </c>
      <c r="K13" s="142" t="str">
        <f t="shared" si="2"/>
        <v>CARIBS/CARIBS</v>
      </c>
      <c r="L13" s="147" t="s">
        <v>23</v>
      </c>
      <c r="M13" s="15">
        <v>700000</v>
      </c>
      <c r="N13" s="13">
        <v>170</v>
      </c>
      <c r="O13" s="14">
        <v>85</v>
      </c>
      <c r="P13" s="148">
        <f t="shared" si="3"/>
        <v>0.58309999999999995</v>
      </c>
      <c r="Q13" s="2"/>
      <c r="R13" s="138">
        <f>INDEX('[2]Flat Rates 2023'!$A:$DB,MATCH(T13,'[2]Flat Rates 2023'!$A:$A,0),MATCH(X13,'[2]Flat Rates 2023'!$A$1:$DB$1,0))</f>
        <v>5.93</v>
      </c>
      <c r="S13" s="138">
        <f>INDEX(Control!$E$17:$J$21,MATCH(W13,Control!$E$17:$E$21,0),MATCH(T13,Control!$E$17:$J$17,0))</f>
        <v>0.5</v>
      </c>
      <c r="T13" s="138" t="s">
        <v>63</v>
      </c>
      <c r="U13" s="116">
        <f>INDEX(Vessel_Minimum_MT,MATCH(W13,Control!$E$11:$E$15,0),MATCH(T13,Control!$E$11:$O$11,0))</f>
        <v>70000</v>
      </c>
      <c r="V13" s="140">
        <f t="shared" si="4"/>
        <v>84948.569794050345</v>
      </c>
      <c r="W13" s="147" t="s">
        <v>23</v>
      </c>
      <c r="X13" s="164" t="s">
        <v>94</v>
      </c>
      <c r="Y13" s="142" t="str">
        <f t="shared" si="5"/>
        <v>Panama WC/PAMPILLA</v>
      </c>
      <c r="Z13" s="141">
        <v>660000</v>
      </c>
      <c r="AA13" s="141">
        <v>205</v>
      </c>
      <c r="AB13" s="151">
        <v>0</v>
      </c>
      <c r="AC13" s="149">
        <f t="shared" si="15"/>
        <v>1.4269941581071006</v>
      </c>
      <c r="AD13" s="144">
        <v>0</v>
      </c>
      <c r="AE13" s="141">
        <f>IF(INDEX(Index,MATCH(X13,TVM_PortList,0),MATCH("Type",Control!$Q$3:$U$3,0))="BL",INDEX(Index,MATCH(X13,TVM_PortList,0),MATCH("Payment",Control!$Q$3:$U$3,0))-INDEX(Index,MATCH(T13,TVM_PortList,0),MATCH("Payment",Control!$Q$3:$U$3,0)),AW13+INDEX(Index,MATCH(X13,TVM_PortList,0),MATCH("Payment",Control!$Q$3:$U$3,0))-INDEX(Index,MATCH(T13,TVM_PortList,0),MATCH("Payment",Control!$Q$3:$U$3,0)))</f>
        <v>19</v>
      </c>
      <c r="AF13" s="143">
        <f t="shared" si="6"/>
        <v>0</v>
      </c>
      <c r="AG13" s="143">
        <f t="shared" si="7"/>
        <v>9.3698630136986302E-2</v>
      </c>
      <c r="AH13" s="143">
        <f>INDEX(Lightering,MATCH($T13,Control!$AB$3:$AB$29,0),MATCH(LIZA!$W13,Control!$AB$3:$AF$3,0))*($Z13/$BD$18)*$BH$15/$Z13</f>
        <v>0</v>
      </c>
      <c r="AI13" s="143">
        <f t="shared" si="8"/>
        <v>0</v>
      </c>
      <c r="AJ13" s="143">
        <v>0</v>
      </c>
      <c r="AK13" s="143">
        <f t="shared" si="9"/>
        <v>5.0000000000000001E-3</v>
      </c>
      <c r="AL13" s="143">
        <f t="shared" si="10"/>
        <v>2.9999999999999997E-4</v>
      </c>
      <c r="AM13" s="143">
        <f>IF(INDEX(Control!$Q$3:$S$62,MATCH($X13,Control!$Q$3:$Q$62,0),MATCH(AM$8,Control!$Q$3:$S$3,0))=1,$BD$14*$BE$14,0)</f>
        <v>0</v>
      </c>
      <c r="AN13" s="143" t="e">
        <f>IF(INDEX(Control!$Q$3:$S$62,MATCH($X13,Control!$Q$3:$Q$62,0),MATCH(AN$8,Control!$Q$3:$S$3,0))=1,$BD$15/$Z13,0)</f>
        <v>#N/A</v>
      </c>
      <c r="AO13" s="143">
        <f t="shared" si="11"/>
        <v>0</v>
      </c>
      <c r="AP13" s="143">
        <f t="shared" si="12"/>
        <v>0.55000000000000004</v>
      </c>
      <c r="AQ13" s="149" t="e">
        <f t="shared" si="16"/>
        <v>#N/A</v>
      </c>
      <c r="AR13" s="149" t="e">
        <f t="shared" si="13"/>
        <v>#N/A</v>
      </c>
      <c r="AS13" s="149" t="e">
        <f t="shared" si="17"/>
        <v>#N/A</v>
      </c>
      <c r="AT13" s="149">
        <f t="shared" si="18"/>
        <v>0</v>
      </c>
      <c r="AU13" s="145" t="e">
        <f t="shared" si="14"/>
        <v>#N/A</v>
      </c>
      <c r="AW13" s="153">
        <f>INDEX('[1]Transit Time'!$A:$DC,MATCH(G13,'[1]Transit Time'!$A:$A,0),MATCH(J13,'[1]Transit Time'!$A$1:$DC$1,0))+INDEX('[1]Transit Time'!$A:$DC,MATCH(J13,'[1]Transit Time'!$A:$A,0),MATCH(T13,'[1]Transit Time'!$A$1:$DC$1,0))+INDEX('[1]Transit Time'!$A:$DC,MATCH(T13,'[1]Transit Time'!$A:$A,0),MATCH(X13,'[1]Transit Time'!$A$1:$DC$1,0))</f>
        <v>21</v>
      </c>
      <c r="AY13" s="163">
        <f t="shared" si="19"/>
        <v>45662</v>
      </c>
      <c r="AZ13" s="163">
        <f t="shared" si="20"/>
        <v>45664</v>
      </c>
      <c r="BB13" s="2" t="s">
        <v>142</v>
      </c>
      <c r="BC13"/>
      <c r="BD13" s="117">
        <f>0.0003</f>
        <v>2.9999999999999997E-4</v>
      </c>
      <c r="BE13"/>
      <c r="BF13" s="133" t="s">
        <v>25</v>
      </c>
      <c r="BG13" s="133"/>
      <c r="BH13" s="154">
        <v>33000</v>
      </c>
      <c r="BJ13" s="2" t="s">
        <v>25</v>
      </c>
      <c r="BK13" s="267">
        <v>2050000</v>
      </c>
    </row>
    <row r="14" spans="1:63" x14ac:dyDescent="0.35">
      <c r="A14" s="230">
        <f t="shared" si="21"/>
        <v>45641</v>
      </c>
      <c r="B14" s="230">
        <f t="shared" si="0"/>
        <v>45643</v>
      </c>
      <c r="D14" s="211"/>
      <c r="E14" s="212">
        <f>INDEX('[2]Flat Rates 2023'!$A:$DB,MATCH(G14,'[2]Flat Rates 2023'!$A:$A,0),MATCH(J14,'[2]Flat Rates 2023'!$A$1:$DB$1,0))</f>
        <v>6.86</v>
      </c>
      <c r="F14" s="212">
        <f>INDEX(Control!$E$17:$O$21,MATCH(L14,Control!$E$17:$E$21,0),MATCH(G14,Control!$E$17:$O$17,0))</f>
        <v>0</v>
      </c>
      <c r="G14" s="212" t="str">
        <f>$G$9</f>
        <v>LIZA FPSO</v>
      </c>
      <c r="H14" s="213">
        <f>INDEX(Vessel_Minimum_MT,MATCH(L14,Control!$E$11:$E$15,0),MATCH(G14,Control!$E$11:$O$11,0))</f>
        <v>70000</v>
      </c>
      <c r="I14" s="214">
        <f t="shared" si="1"/>
        <v>90096.96796338672</v>
      </c>
      <c r="J14" s="212" t="s">
        <v>55</v>
      </c>
      <c r="K14" s="212" t="str">
        <f t="shared" si="2"/>
        <v>CARIBS/CARIBS</v>
      </c>
      <c r="L14" s="215" t="s">
        <v>23</v>
      </c>
      <c r="M14" s="216">
        <v>700000</v>
      </c>
      <c r="N14" s="217">
        <v>170</v>
      </c>
      <c r="O14" s="218">
        <v>85</v>
      </c>
      <c r="P14" s="219">
        <f t="shared" si="3"/>
        <v>0.58309999999999995</v>
      </c>
      <c r="Q14" s="2"/>
      <c r="R14" s="220" t="e">
        <f>INDEX('[2]Flat Rates 2023'!$A:$DB,MATCH(T14,'[2]Flat Rates 2023'!$A:$A,0),MATCH(X14,'[2]Flat Rates 2023'!$A$1:$DB$1,0))</f>
        <v>#N/A</v>
      </c>
      <c r="S14" s="220">
        <f>INDEX(Control!$E$17:$J$21,MATCH(W14,Control!$E$17:$E$21,0),MATCH(T14,Control!$E$17:$J$17,0))</f>
        <v>0.5</v>
      </c>
      <c r="T14" s="220" t="s">
        <v>63</v>
      </c>
      <c r="U14" s="213">
        <f>INDEX(Vessel_Minimum_MT,MATCH(W14,Control!$E$11:$E$15,0),MATCH(T14,Control!$E$11:$O$11,0))</f>
        <v>50000</v>
      </c>
      <c r="V14" s="222">
        <f t="shared" si="4"/>
        <v>51355.271739130432</v>
      </c>
      <c r="W14" s="215" t="s">
        <v>22</v>
      </c>
      <c r="X14" s="223" t="s">
        <v>199</v>
      </c>
      <c r="Y14" s="212" t="e">
        <f t="shared" si="5"/>
        <v>#N/A</v>
      </c>
      <c r="Z14" s="214">
        <v>399000</v>
      </c>
      <c r="AA14" s="214">
        <v>1001</v>
      </c>
      <c r="AB14" s="224">
        <v>700000</v>
      </c>
      <c r="AC14" s="225">
        <f t="shared" si="15"/>
        <v>1.7543859649122806</v>
      </c>
      <c r="AD14" s="226">
        <v>0</v>
      </c>
      <c r="AE14" s="214" t="e">
        <f>IF(INDEX(Index,MATCH(X14,TVM_PortList,0),MATCH("Type",Control!$Q$3:$U$3,0))="BL",INDEX(Index,MATCH(X14,TVM_PortList,0),MATCH("Payment",Control!$Q$3:$U$3,0))-INDEX(Index,MATCH(T14,TVM_PortList,0),MATCH("Payment",Control!$Q$3:$U$3,0)),AW14+INDEX(Index,MATCH(X14,TVM_PortList,0),MATCH("Payment",Control!$Q$3:$U$3,0))-INDEX(Index,MATCH(T14,TVM_PortList,0),MATCH("Payment",Control!$Q$3:$U$3,0)))</f>
        <v>#N/A</v>
      </c>
      <c r="AF14" s="227">
        <f t="shared" si="6"/>
        <v>0</v>
      </c>
      <c r="AG14" s="227" t="e">
        <f t="shared" si="7"/>
        <v>#N/A</v>
      </c>
      <c r="AH14" s="227">
        <f>INDEX(Lightering,MATCH($T14,Control!$AB$3:$AB$29,0),MATCH(LIZA!$W14,Control!$AB$3:$AF$3,0))*($Z14/$BD$18)*$BH$15/$Z14</f>
        <v>0</v>
      </c>
      <c r="AI14" s="227">
        <f t="shared" si="8"/>
        <v>0</v>
      </c>
      <c r="AJ14" s="227">
        <v>0</v>
      </c>
      <c r="AK14" s="227">
        <f t="shared" si="9"/>
        <v>5.0000000000000001E-3</v>
      </c>
      <c r="AL14" s="227">
        <f t="shared" si="10"/>
        <v>2.9999999999999997E-4</v>
      </c>
      <c r="AM14" s="227" t="e">
        <f>IF(INDEX(Control!$Q$3:$S$62,MATCH($X14,Control!$Q$3:$Q$62,0),MATCH(AM$8,Control!$Q$3:$S$3,0))=1,$BD$14*$BE$14,0)</f>
        <v>#N/A</v>
      </c>
      <c r="AN14" s="227" t="e">
        <f>IF(INDEX(Control!$Q$3:$S$62,MATCH($X14,Control!$Q$3:$Q$62,0),MATCH(AN$8,Control!$Q$3:$S$3,0))=1,$BD$15/$Z14,0)</f>
        <v>#N/A</v>
      </c>
      <c r="AO14" s="227">
        <f t="shared" si="11"/>
        <v>0</v>
      </c>
      <c r="AP14" s="227">
        <f t="shared" si="12"/>
        <v>0.55000000000000004</v>
      </c>
      <c r="AQ14" s="225" t="e">
        <f t="shared" si="16"/>
        <v>#N/A</v>
      </c>
      <c r="AR14" s="225" t="e">
        <f t="shared" si="13"/>
        <v>#N/A</v>
      </c>
      <c r="AS14" s="225" t="e">
        <f t="shared" si="17"/>
        <v>#VALUE!</v>
      </c>
      <c r="AT14" s="225">
        <f t="shared" si="18"/>
        <v>0</v>
      </c>
      <c r="AU14" s="228" t="e">
        <f t="shared" si="14"/>
        <v>#N/A</v>
      </c>
      <c r="AV14" s="220"/>
      <c r="AW14" s="229" t="e">
        <f>INDEX('[1]Transit Time'!$A:$DC,MATCH(G14,'[1]Transit Time'!$A:$A,0),MATCH(J14,'[1]Transit Time'!$A$1:$DC$1,0))+INDEX('[1]Transit Time'!$A:$DC,MATCH(J14,'[1]Transit Time'!$A:$A,0),MATCH(T14,'[1]Transit Time'!$A$1:$DC$1,0))+INDEX('[1]Transit Time'!$A:$DC,MATCH(T14,'[1]Transit Time'!$A:$A,0),MATCH(X14,'[1]Transit Time'!$A$1:$DC$1,0))</f>
        <v>#N/A</v>
      </c>
      <c r="AX14" s="220"/>
      <c r="AY14" s="230" t="e">
        <f t="shared" si="19"/>
        <v>#N/A</v>
      </c>
      <c r="AZ14" s="230" t="str">
        <f t="shared" si="20"/>
        <v/>
      </c>
      <c r="BB14" s="183" t="s">
        <v>17</v>
      </c>
      <c r="BC14" s="183"/>
      <c r="BD14" s="182">
        <v>90</v>
      </c>
      <c r="BE14" s="190">
        <v>2E-3</v>
      </c>
      <c r="BF14" s="185" t="s">
        <v>149</v>
      </c>
      <c r="BG14" s="185"/>
      <c r="BH14" s="186" t="s">
        <v>138</v>
      </c>
      <c r="BI14" s="166"/>
      <c r="BJ14" s="165"/>
      <c r="BK14" s="78">
        <f t="shared" ref="BK14" si="22">BK11</f>
        <v>750000</v>
      </c>
    </row>
    <row r="15" spans="1:63" ht="16" thickBot="1" x14ac:dyDescent="0.4">
      <c r="A15" s="163">
        <f t="shared" si="21"/>
        <v>45641</v>
      </c>
      <c r="B15" s="163">
        <f t="shared" si="0"/>
        <v>45643</v>
      </c>
      <c r="D15" s="8"/>
      <c r="E15" s="142">
        <f>INDEX('[2]Flat Rates 2023'!$A:$DB,MATCH(G15,'[2]Flat Rates 2023'!$A:$A,0),MATCH(J15,'[2]Flat Rates 2023'!$A$1:$DB$1,0))</f>
        <v>6.86</v>
      </c>
      <c r="F15" s="142">
        <f>INDEX(Control!$E$17:$O$21,MATCH(L15,Control!$E$17:$E$21,0),MATCH(G15,Control!$E$17:$O$17,0))</f>
        <v>0</v>
      </c>
      <c r="G15" s="142" t="str">
        <f>$G$9</f>
        <v>LIZA FPSO</v>
      </c>
      <c r="H15" s="116">
        <f>INDEX(Vessel_Minimum_MT,MATCH(L15,Control!$E$11:$E$15,0),MATCH(G15,Control!$E$11:$O$11,0))</f>
        <v>70000</v>
      </c>
      <c r="I15" s="141">
        <f t="shared" si="1"/>
        <v>90096.96796338672</v>
      </c>
      <c r="J15" s="142" t="s">
        <v>55</v>
      </c>
      <c r="K15" s="142" t="str">
        <f t="shared" si="2"/>
        <v>CARIBS/CARIBS</v>
      </c>
      <c r="L15" s="147" t="s">
        <v>23</v>
      </c>
      <c r="M15" s="15">
        <v>700000</v>
      </c>
      <c r="N15" s="13">
        <v>170</v>
      </c>
      <c r="O15" s="14">
        <v>85</v>
      </c>
      <c r="P15" s="148">
        <f t="shared" si="3"/>
        <v>0.58309999999999995</v>
      </c>
      <c r="Q15" s="2"/>
      <c r="R15" s="138">
        <f>INDEX('[2]Flat Rates 2023'!$A:$DB,MATCH(T15,'[2]Flat Rates 2023'!$A:$A,0),MATCH(X15,'[2]Flat Rates 2023'!$A$1:$DB$1,0))</f>
        <v>3.99</v>
      </c>
      <c r="S15" s="138">
        <f>INDEX(Control!$E$17:$J$21,MATCH(W15,Control!$E$17:$E$21,0),MATCH(T15,Control!$E$17:$J$17,0))</f>
        <v>0</v>
      </c>
      <c r="T15" s="138" t="s">
        <v>55</v>
      </c>
      <c r="U15" s="116">
        <f>INDEX(Vessel_Minimum_MT,MATCH(W15,Control!$E$11:$E$15,0),MATCH(T15,Control!$E$11:$O$11,0))</f>
        <v>70000</v>
      </c>
      <c r="V15" s="140">
        <f t="shared" si="4"/>
        <v>64354.977116704802</v>
      </c>
      <c r="W15" s="147" t="s">
        <v>23</v>
      </c>
      <c r="X15" s="164" t="s">
        <v>112</v>
      </c>
      <c r="Y15" s="142" t="str">
        <f t="shared" si="5"/>
        <v>CARIBS/CARIBS</v>
      </c>
      <c r="Z15" s="141">
        <v>500000</v>
      </c>
      <c r="AA15" s="141">
        <v>180</v>
      </c>
      <c r="AB15" s="151">
        <v>325</v>
      </c>
      <c r="AC15" s="149">
        <f t="shared" si="15"/>
        <v>1.81545</v>
      </c>
      <c r="AD15" s="144">
        <v>0</v>
      </c>
      <c r="AE15" s="141">
        <f>IF(INDEX(Index,MATCH(X15,TVM_PortList,0),MATCH("Type",Control!$Q$3:$U$3,0))="BL",INDEX(Index,MATCH(X15,TVM_PortList,0),MATCH("Payment",Control!$Q$3:$U$3,0))-INDEX(Index,MATCH(T15,TVM_PortList,0),MATCH("Payment",Control!$Q$3:$U$3,0)),AW15+INDEX(Index,MATCH(X15,TVM_PortList,0),MATCH("Payment",Control!$Q$3:$U$3,0))-INDEX(Index,MATCH(T15,TVM_PortList,0),MATCH("Payment",Control!$Q$3:$U$3,0)))</f>
        <v>7</v>
      </c>
      <c r="AF15" s="143">
        <f t="shared" si="6"/>
        <v>0</v>
      </c>
      <c r="AG15" s="143">
        <f t="shared" si="7"/>
        <v>3.4520547945205482E-2</v>
      </c>
      <c r="AH15" s="143">
        <f>INDEX(Lightering,MATCH($T15,Control!$AB$3:$AB$29,0),MATCH(LIZA!$W15,Control!$AB$3:$AF$3,0))*($Z15/$BD$18)*$BH$15/$Z15</f>
        <v>0</v>
      </c>
      <c r="AI15" s="143">
        <f t="shared" si="8"/>
        <v>0</v>
      </c>
      <c r="AJ15" s="143">
        <v>0</v>
      </c>
      <c r="AK15" s="143">
        <f t="shared" si="9"/>
        <v>5.0000000000000001E-3</v>
      </c>
      <c r="AL15" s="143">
        <f t="shared" si="10"/>
        <v>2.9999999999999997E-4</v>
      </c>
      <c r="AM15" s="143">
        <f>IF(INDEX(Control!$Q$3:$S$62,MATCH($X15,Control!$Q$3:$Q$62,0),MATCH(AM$8,Control!$Q$3:$S$3,0))=1,$BD$14*$BE$14,0)</f>
        <v>0.18</v>
      </c>
      <c r="AN15" s="143" t="e">
        <f>IF(INDEX(Control!$Q$3:$S$62,MATCH($X15,Control!$Q$3:$Q$62,0),MATCH(AN$8,Control!$Q$3:$S$3,0))=1,$BD$15/$Z15,0)</f>
        <v>#N/A</v>
      </c>
      <c r="AO15" s="143">
        <f t="shared" si="11"/>
        <v>0</v>
      </c>
      <c r="AP15" s="143">
        <f t="shared" si="12"/>
        <v>0</v>
      </c>
      <c r="AQ15" s="149" t="e">
        <f t="shared" si="16"/>
        <v>#N/A</v>
      </c>
      <c r="AR15" s="149" t="e">
        <f t="shared" si="13"/>
        <v>#N/A</v>
      </c>
      <c r="AS15" s="149">
        <f t="shared" si="17"/>
        <v>0</v>
      </c>
      <c r="AT15" s="149">
        <f t="shared" si="18"/>
        <v>0</v>
      </c>
      <c r="AU15" s="145" t="e">
        <f t="shared" si="14"/>
        <v>#N/A</v>
      </c>
      <c r="AW15" s="153">
        <f>INDEX('[1]Transit Time'!$A:$DC,MATCH(G15,'[1]Transit Time'!$A:$A,0),MATCH(J15,'[1]Transit Time'!$A$1:$DC$1,0))+INDEX('[1]Transit Time'!$A:$DC,MATCH(J15,'[1]Transit Time'!$A:$A,0),MATCH(T15,'[1]Transit Time'!$A$1:$DC$1,0))+INDEX('[1]Transit Time'!$A:$DC,MATCH(T15,'[1]Transit Time'!$A:$A,0),MATCH(X15,'[1]Transit Time'!$A$1:$DC$1,0))</f>
        <v>7</v>
      </c>
      <c r="AY15" s="163">
        <f t="shared" si="19"/>
        <v>45648</v>
      </c>
      <c r="AZ15" s="163">
        <f t="shared" si="20"/>
        <v>45650</v>
      </c>
      <c r="BB15" s="133" t="s">
        <v>207</v>
      </c>
      <c r="BC15" s="133"/>
      <c r="BD15" s="124">
        <v>20000</v>
      </c>
      <c r="BE15"/>
      <c r="BF15" s="167"/>
      <c r="BG15" s="168"/>
      <c r="BH15" s="169">
        <v>250000</v>
      </c>
      <c r="BI15" s="132"/>
    </row>
    <row r="16" spans="1:63" ht="17.25" customHeight="1" thickBot="1" x14ac:dyDescent="0.5">
      <c r="A16"/>
      <c r="B16"/>
      <c r="D16" s="1057" t="s">
        <v>293</v>
      </c>
      <c r="E16" s="1058"/>
      <c r="F16" s="1058"/>
      <c r="G16" s="1058"/>
      <c r="H16" s="1058"/>
      <c r="I16" s="1058"/>
      <c r="J16" s="1058"/>
      <c r="K16" s="1058"/>
      <c r="L16" s="1058"/>
      <c r="M16" s="1058"/>
      <c r="N16" s="1058"/>
      <c r="O16" s="1058"/>
      <c r="P16" s="1059"/>
      <c r="Q16" s="2"/>
      <c r="R16" s="9"/>
      <c r="S16" s="9"/>
      <c r="T16" s="9"/>
      <c r="U16" s="9"/>
      <c r="V16" s="9"/>
      <c r="W16" s="1057" t="s">
        <v>337</v>
      </c>
      <c r="X16" s="1058"/>
      <c r="Y16" s="1058"/>
      <c r="Z16" s="1058"/>
      <c r="AA16" s="1058"/>
      <c r="AB16" s="1058"/>
      <c r="AC16" s="1058"/>
      <c r="AD16" s="1058"/>
      <c r="AE16" s="1058"/>
      <c r="AF16" s="1058"/>
      <c r="AG16" s="1058"/>
      <c r="AH16" s="1058"/>
      <c r="AI16" s="1058"/>
      <c r="AJ16" s="1058"/>
      <c r="AK16" s="1058"/>
      <c r="AL16" s="1058"/>
      <c r="AM16" s="1058"/>
      <c r="AN16" s="1058"/>
      <c r="AO16" s="1058"/>
      <c r="AP16" s="1058"/>
      <c r="AQ16" s="1058"/>
      <c r="AR16" s="1058"/>
      <c r="AS16" s="1058"/>
      <c r="AT16" s="1058"/>
      <c r="AU16" s="1059"/>
      <c r="AW16"/>
      <c r="AY16"/>
      <c r="AZ16"/>
      <c r="BB16" s="133" t="s">
        <v>282</v>
      </c>
      <c r="BC16" s="133"/>
      <c r="BD16" s="3"/>
      <c r="BE16"/>
      <c r="BF16"/>
      <c r="BG16"/>
      <c r="BH16"/>
      <c r="BK16" s="3"/>
    </row>
    <row r="17" spans="1:63" ht="29.5" customHeight="1" thickBot="1" x14ac:dyDescent="0.4">
      <c r="A17" s="1005" t="s">
        <v>167</v>
      </c>
      <c r="B17" s="1005"/>
      <c r="D17" s="120" t="s">
        <v>276</v>
      </c>
      <c r="E17" s="152" t="s">
        <v>172</v>
      </c>
      <c r="F17" s="152" t="s">
        <v>2</v>
      </c>
      <c r="G17" s="152" t="s">
        <v>173</v>
      </c>
      <c r="H17" s="152" t="s">
        <v>174</v>
      </c>
      <c r="I17" s="125" t="s">
        <v>175</v>
      </c>
      <c r="J17" s="152" t="s">
        <v>177</v>
      </c>
      <c r="K17" s="152" t="s">
        <v>178</v>
      </c>
      <c r="L17" s="122" t="s">
        <v>176</v>
      </c>
      <c r="M17" s="120" t="s">
        <v>200</v>
      </c>
      <c r="N17" s="120" t="s">
        <v>277</v>
      </c>
      <c r="O17" s="121" t="s">
        <v>202</v>
      </c>
      <c r="P17" s="123" t="s">
        <v>335</v>
      </c>
      <c r="Q17" s="2"/>
      <c r="R17" s="120" t="s">
        <v>172</v>
      </c>
      <c r="S17" s="120" t="s">
        <v>2</v>
      </c>
      <c r="T17" s="120" t="s">
        <v>173</v>
      </c>
      <c r="U17" s="152" t="str">
        <f>$U$8</f>
        <v>Vessel MT</v>
      </c>
      <c r="V17" s="120" t="s">
        <v>175</v>
      </c>
      <c r="W17" s="120" t="s">
        <v>176</v>
      </c>
      <c r="X17" s="120" t="s">
        <v>177</v>
      </c>
      <c r="Y17" s="120" t="s">
        <v>178</v>
      </c>
      <c r="Z17" s="120" t="s">
        <v>200</v>
      </c>
      <c r="AA17" s="146" t="s">
        <v>201</v>
      </c>
      <c r="AB17" s="128" t="s">
        <v>202</v>
      </c>
      <c r="AC17" s="150" t="s">
        <v>182</v>
      </c>
      <c r="AD17" s="136" t="s">
        <v>137</v>
      </c>
      <c r="AE17" s="146" t="s">
        <v>281</v>
      </c>
      <c r="AF17" s="136" t="s">
        <v>184</v>
      </c>
      <c r="AG17" s="136" t="s">
        <v>140</v>
      </c>
      <c r="AH17" s="136" t="str">
        <f>AH8</f>
        <v>STS</v>
      </c>
      <c r="AI17" s="136" t="s">
        <v>186</v>
      </c>
      <c r="AJ17" s="136" t="s">
        <v>187</v>
      </c>
      <c r="AK17" s="136" t="s">
        <v>141</v>
      </c>
      <c r="AL17" s="136" t="s">
        <v>188</v>
      </c>
      <c r="AM17" s="136" t="s">
        <v>17</v>
      </c>
      <c r="AN17" s="136" t="s">
        <v>207</v>
      </c>
      <c r="AO17" s="136" t="s">
        <v>189</v>
      </c>
      <c r="AP17" s="136" t="s">
        <v>152</v>
      </c>
      <c r="AQ17" s="150" t="s">
        <v>208</v>
      </c>
      <c r="AR17" s="150" t="s">
        <v>209</v>
      </c>
      <c r="AS17" s="150" t="s">
        <v>210</v>
      </c>
      <c r="AT17" s="150" t="str">
        <f>AT8</f>
        <v>Basis</v>
      </c>
      <c r="AU17" s="137" t="s">
        <v>211</v>
      </c>
      <c r="AW17" s="137" t="s">
        <v>195</v>
      </c>
      <c r="AY17" s="1005" t="s">
        <v>196</v>
      </c>
      <c r="AZ17" s="1005"/>
      <c r="BB17" s="118" t="s">
        <v>144</v>
      </c>
      <c r="BD17" s="2">
        <f>($BD$9+131.5)/(141.5*0.159)</f>
        <v>7.7694068493455122</v>
      </c>
      <c r="BF17"/>
      <c r="BG17"/>
      <c r="BH17"/>
      <c r="BJ17" s="132"/>
      <c r="BK17" s="127"/>
    </row>
    <row r="18" spans="1:63" ht="16" thickBot="1" x14ac:dyDescent="0.4">
      <c r="A18" s="319">
        <f t="shared" ref="A18:A27" si="23">+$A$9</f>
        <v>45641</v>
      </c>
      <c r="B18" s="320">
        <f t="shared" ref="B18:B27" si="24">IF(ISBLANK(A18),"",A18+2)</f>
        <v>45643</v>
      </c>
      <c r="D18" s="321"/>
      <c r="E18" s="322">
        <f>IF(G18=J18,0,INDEX('[2]Flat Rates 2023'!$A:$DB,MATCH(G18,'[2]Flat Rates 2023'!$A:$A,0),MATCH(J18,'[2]Flat Rates 2023'!$A$1:$DB$1,0)))</f>
        <v>0</v>
      </c>
      <c r="F18" s="322">
        <f>INDEX(Control!$E$17:$O$21,MATCH(L18,Control!$E$17:$E$21,0),MATCH(G18,Control!$E$17:$O$17,0))</f>
        <v>0</v>
      </c>
      <c r="G18" s="322" t="s">
        <v>336</v>
      </c>
      <c r="H18" s="323">
        <f>INDEX(Vessel_Minimum_MT,MATCH(L18,Control!$E$11:$E$15,0),MATCH(G18,Control!$E$11:$O$11,0))</f>
        <v>70000</v>
      </c>
      <c r="I18" s="324">
        <f t="shared" ref="I18:I23" si="25">M18/$BD$17</f>
        <v>90096.96796338672</v>
      </c>
      <c r="J18" s="322" t="s">
        <v>336</v>
      </c>
      <c r="K18" s="322" t="str">
        <f t="shared" ref="K18:K23" si="26">IF(J18=G18,"",CONCATENATE(CONCATENATE(VLOOKUP(G18,Zones,2,FALSE),"/",VLOOKUP(J18,Zones,2,FALSE))))</f>
        <v/>
      </c>
      <c r="L18" s="325" t="s">
        <v>23</v>
      </c>
      <c r="M18" s="323">
        <v>700000</v>
      </c>
      <c r="N18" s="326">
        <v>0</v>
      </c>
      <c r="O18" s="327">
        <v>0</v>
      </c>
      <c r="P18" s="328">
        <f t="shared" ref="P18:P23" si="27">IF($G18="Esmeraldas",IF(N18&gt;1000,IF(O18=0,N18,O18)/M18*1.1,((H18*E18*(IF(O18=0,N18,O18)/100))+IF(I18&lt;H18,0,(I18-H18)*E18*IF(O18=0,N18,O18)/100*F18))/M18*1.1),IF(N18&gt;1000,IF(O18=0,N18,O18)/M18,((H18*E18*(IF(O18=0,N18,O18)/100))+IF(I18&lt;H18,0,(I18-H18)*E18*IF(O18=0,N18,O18)/100*F18)))/M18)</f>
        <v>0</v>
      </c>
      <c r="Q18" s="329"/>
      <c r="R18" s="330">
        <f>INDEX('[2]Flat Rates 2023'!$A:$DB,MATCH(T18,'[2]Flat Rates 2023'!$A:$A,0),MATCH(X18,'[2]Flat Rates 2023'!$A$1:$DB$1,0))</f>
        <v>25.13</v>
      </c>
      <c r="S18" s="330">
        <f>INDEX(Control!$E$17:$O$21,MATCH(W18,Control!$E$17:$E$21,0),MATCH(T18,Control!$E$17:$O$17,0))</f>
        <v>0.5</v>
      </c>
      <c r="T18" s="330" t="s">
        <v>336</v>
      </c>
      <c r="U18" s="323">
        <f>INDEX(Vessel_Minimum_MT,MATCH(W18,Control!$E$11:$E$15,0),MATCH(T18,Control!$E$11:$O$11,0))</f>
        <v>145000</v>
      </c>
      <c r="V18" s="331">
        <f t="shared" ref="V18:V23" si="28">Z18/$BD$17</f>
        <v>128709.9542334096</v>
      </c>
      <c r="W18" s="325" t="s">
        <v>24</v>
      </c>
      <c r="X18" s="332" t="s">
        <v>110</v>
      </c>
      <c r="Y18" s="322" t="str">
        <f t="shared" ref="Y18:Y23" si="29">IF(X18=T18,"",CONCATENATE(CONCATENATE(VLOOKUP(T18,Zones,2,FALSE),"/",VLOOKUP(X18,Zones,2,FALSE))))</f>
        <v>CARIBS/LATAM WEST</v>
      </c>
      <c r="Z18" s="324">
        <v>1000000</v>
      </c>
      <c r="AA18" s="324">
        <v>1001</v>
      </c>
      <c r="AB18" s="333">
        <v>1600000</v>
      </c>
      <c r="AC18" s="334">
        <f t="shared" ref="AC18:AC23" si="30">IF(AA18&gt;1000,IF(AB18=0,AA18,AB18)/Z18,((U18*R18*(IF(AB18=0,AA18,AB18)/100))+IF(V18&lt;U18,0,(V18-U18)*R18*IF(AB18=0,AA18,AB18)/100*S18))/Z18)</f>
        <v>1.6</v>
      </c>
      <c r="AD18" s="335">
        <v>1</v>
      </c>
      <c r="AE18" s="324">
        <f>IF(INDEX(Index,MATCH(X18,TVM_PortList,0),MATCH("Type",Control!$Q$3:$U$3,0))="BL",$A$8+INDEX(Index,MATCH(T18,TVM_PortList,0),MATCH("Payment",Control!$Q$3:$U$3,0)),$A$8+INDEX(Index,MATCH(X18,TVM_PortList,0),MATCH("Payment",Control!$Q$3:$U$3,0))+AW18)-DATE(YEAR($A$8),MONTH(EOMONTH($A$8,1)),20)</f>
        <v>360</v>
      </c>
      <c r="AF18" s="336">
        <f t="shared" ref="AF18:AF23" si="31">AD18*VLOOKUP($W18,$BF$9:$BH$13,3,FALSE)/$Z18</f>
        <v>2.3E-2</v>
      </c>
      <c r="AG18" s="336">
        <f t="shared" ref="AG18:AG23" si="32">IF(AE18&lt;0,0,$AE18*$BD$11)</f>
        <v>1.7753424657534247</v>
      </c>
      <c r="AH18" s="336">
        <f>INDEX(Lightering,MATCH($T18,Control!$AB$3:$AB$30,0),MATCH(LIZA!$W18,Control!$AB$3:$AF$3,0))*($Z18/$BD$18)*$BH$15/$Z18</f>
        <v>0</v>
      </c>
      <c r="AI18" s="336">
        <f t="shared" ref="AI18:AI23" si="33">IF(G18="LIZA FPSO",$BD$10,0)</f>
        <v>0</v>
      </c>
      <c r="AJ18" s="336">
        <v>0</v>
      </c>
      <c r="AK18" s="336">
        <f t="shared" ref="AK18:AK23" si="34">$BD$12</f>
        <v>5.0000000000000001E-3</v>
      </c>
      <c r="AL18" s="336">
        <f t="shared" ref="AL18:AL23" si="35">$BD$13</f>
        <v>2.9999999999999997E-4</v>
      </c>
      <c r="AM18" s="336">
        <f>IF(INDEX(Control!$Q$3:$S$62,MATCH($X18,Control!$Q$3:$Q$62,0),MATCH(AM$8,Control!$Q$3:$S$3,0))=1,$BD$14*$BE$14,0)</f>
        <v>0</v>
      </c>
      <c r="AN18" s="336"/>
      <c r="AO18" s="336">
        <f t="shared" ref="AO18:AO23" si="36">$BD$16</f>
        <v>0</v>
      </c>
      <c r="AP18" s="336">
        <f t="shared" ref="AP18:AP23" si="37">IF(AND(J18="Chiriqui Grande",T18="Puerto Armuelles"),$BG$18,0)</f>
        <v>0</v>
      </c>
      <c r="AQ18" s="334">
        <f t="shared" ref="AQ18" si="38">SUM(AF18:AP18)</f>
        <v>1.8036424657534245</v>
      </c>
      <c r="AR18" s="334">
        <f t="shared" ref="AR18:AR23" si="39">+P18+AC18+AQ18</f>
        <v>3.4036424657534248</v>
      </c>
      <c r="AS18" s="334" t="e">
        <f t="shared" ref="AS18:AS23" si="40">IF(MONTH(A18)=MONTH(AZ18),0,IF(MONTH(AZ18)-MONTH(A18)&gt;1,VLOOKUP("Spreads",$AQ$3:$AU$4,MATCH(EOMONTH(AZ18,0),$AQ$3:$AU$3,0),FALSE)+VLOOKUP("Spreads",$AQ$3:$AU$4,MATCH(EOMONTH(AZ18,-1),$AQ$3:$AU$3,0),FALSE),VLOOKUP("Spreads",$AQ$3:$AU$4,MATCH(EOMONTH(AZ18,0),$AQ$3:$AU$3,0))))</f>
        <v>#N/A</v>
      </c>
      <c r="AT18" s="334">
        <f t="shared" ref="AT18:AT23" si="41">+IF($AQ$3=1,HLOOKUP(EOMONTH(AZ18,0),$AR$3:$AU$6,4,FALSE),IF($AQ$3=2,HLOOKUP(EOMONTH(AZ18,0),$AR$3:$AU$6,3,FALSE),0))</f>
        <v>0</v>
      </c>
      <c r="AU18" s="228" t="e">
        <f t="shared" ref="AU18:AU23" si="42">$L$3+AR18+AS18+AT18</f>
        <v>#N/A</v>
      </c>
      <c r="AV18" s="330"/>
      <c r="AW18" s="338">
        <f>INDEX('[1]Transit Time'!$A:$DC,MATCH(G18,'[1]Transit Time'!$A:$A,0),MATCH(J18,'[1]Transit Time'!$A$1:$DC$1,0))+INDEX('[1]Transit Time'!$A:$DC,MATCH(J18,'[1]Transit Time'!$A:$A,0),MATCH(T18,'[1]Transit Time'!$A$1:$DC$1,0))+INDEX('[1]Transit Time'!$A:$DC,MATCH(T18,'[1]Transit Time'!$A:$A,0),MATCH(X18,'[1]Transit Time'!$A$1:$DC$1,0))</f>
        <v>22</v>
      </c>
      <c r="AX18" s="330"/>
      <c r="AY18" s="320">
        <f t="shared" ref="AY18:AY23" si="43">IF(ISBLANK(A18),"",A18+$AW18)</f>
        <v>45663</v>
      </c>
      <c r="AZ18" s="339">
        <f t="shared" ref="AZ18:AZ23" si="44">IFERROR(IF(ISBLANK(B18),"",B18+$AW18),"")</f>
        <v>45665</v>
      </c>
      <c r="BB18" s="133" t="s">
        <v>117</v>
      </c>
      <c r="BC18"/>
      <c r="BD18" s="130">
        <v>2050000</v>
      </c>
      <c r="BE18"/>
      <c r="BF18" s="23" t="s">
        <v>152</v>
      </c>
      <c r="BG18" s="10">
        <v>0.55000000000000004</v>
      </c>
      <c r="BJ18" s="3">
        <f>(2000000-BK13)/BK14</f>
        <v>-6.6666666666666666E-2</v>
      </c>
    </row>
    <row r="19" spans="1:63" x14ac:dyDescent="0.35">
      <c r="A19" s="340">
        <f t="shared" si="23"/>
        <v>45641</v>
      </c>
      <c r="B19" s="341">
        <f t="shared" si="24"/>
        <v>45643</v>
      </c>
      <c r="D19" s="342" t="s">
        <v>15</v>
      </c>
      <c r="E19" s="343">
        <f>IF(G19=J19,0,INDEX('[2]Flat Rates 2023'!$A:$DB,MATCH(G19,'[2]Flat Rates 2023'!$A:$A,0),MATCH(J19,'[2]Flat Rates 2023'!$A$1:$DB$1,0)))</f>
        <v>0</v>
      </c>
      <c r="F19" s="343">
        <f>INDEX(Control!$E$17:$O$21,MATCH(L19,Control!$E$17:$E$21,0),MATCH(G19,Control!$E$17:$O$17,0))</f>
        <v>0</v>
      </c>
      <c r="G19" s="343" t="s">
        <v>336</v>
      </c>
      <c r="H19" s="344">
        <f>INDEX(Vessel_Minimum_MT,MATCH(L19,Control!$E$11:$E$15,0),MATCH(G19,Control!$E$11:$O$11,0))</f>
        <v>70000</v>
      </c>
      <c r="I19" s="345">
        <f t="shared" si="25"/>
        <v>90096.96796338672</v>
      </c>
      <c r="J19" s="343" t="s">
        <v>336</v>
      </c>
      <c r="K19" s="343" t="str">
        <f t="shared" si="26"/>
        <v/>
      </c>
      <c r="L19" s="346" t="s">
        <v>23</v>
      </c>
      <c r="M19" s="345">
        <v>700000</v>
      </c>
      <c r="N19" s="347">
        <v>0</v>
      </c>
      <c r="O19" s="348">
        <v>0</v>
      </c>
      <c r="P19" s="349">
        <f t="shared" si="27"/>
        <v>0</v>
      </c>
      <c r="Q19" s="350"/>
      <c r="R19" s="351">
        <f>INDEX('[2]Flat Rates 2023'!$A:$DB,MATCH(T19,'[2]Flat Rates 2023'!$A:$A,0),MATCH(X19,'[2]Flat Rates 2023'!$A$1:$DB$1,0))</f>
        <v>25.13</v>
      </c>
      <c r="S19" s="351">
        <f>INDEX(Control!$E$17:$O$21,MATCH(W19,Control!$E$17:$E$21,0),MATCH(T19,Control!$E$17:$O$17,0))</f>
        <v>0.5</v>
      </c>
      <c r="T19" s="351" t="s">
        <v>336</v>
      </c>
      <c r="U19" s="344">
        <f>INDEX(Vessel_Minimum_MT,MATCH(W19,Control!$E$11:$E$15,0),MATCH(T19,Control!$E$11:$O$11,0))</f>
        <v>145000</v>
      </c>
      <c r="V19" s="352">
        <f t="shared" si="28"/>
        <v>128709.9542334096</v>
      </c>
      <c r="W19" s="346" t="s">
        <v>24</v>
      </c>
      <c r="X19" s="353" t="s">
        <v>110</v>
      </c>
      <c r="Y19" s="343" t="str">
        <f t="shared" si="29"/>
        <v>CARIBS/LATAM WEST</v>
      </c>
      <c r="Z19" s="345">
        <v>1000000</v>
      </c>
      <c r="AA19" s="345"/>
      <c r="AB19" s="354">
        <v>89</v>
      </c>
      <c r="AC19" s="355">
        <f t="shared" si="30"/>
        <v>3.2430265</v>
      </c>
      <c r="AD19" s="356">
        <v>1</v>
      </c>
      <c r="AE19" s="345">
        <f>IF(INDEX(Index,MATCH(X19,TVM_PortList,0),MATCH("Type",Control!$Q$3:$U$3,0))="BL",$A$8+INDEX(Index,MATCH(T19,TVM_PortList,0),MATCH("Payment",Control!$Q$3:$U$3,0)),$A$8+INDEX(Index,MATCH(X19,TVM_PortList,0),MATCH("Payment",Control!$Q$3:$U$3,0))+AW19)-DATE(YEAR($A$8),MONTH(EOMONTH($A$8,1)),20)</f>
        <v>360</v>
      </c>
      <c r="AF19" s="357">
        <f t="shared" si="31"/>
        <v>2.3E-2</v>
      </c>
      <c r="AG19" s="357">
        <f t="shared" si="32"/>
        <v>1.7753424657534247</v>
      </c>
      <c r="AH19" s="357">
        <f>INDEX(Lightering,MATCH($T19,Control!$AB$3:$AB$29,0),MATCH(LIZA!$W19,Control!$AB$3:$AF$3,0))*($Z19/$BD$18)*$BH$15/$Z19</f>
        <v>0</v>
      </c>
      <c r="AI19" s="357">
        <f t="shared" si="33"/>
        <v>0</v>
      </c>
      <c r="AJ19" s="357">
        <v>0.62666666666666671</v>
      </c>
      <c r="AK19" s="357">
        <f t="shared" si="34"/>
        <v>5.0000000000000001E-3</v>
      </c>
      <c r="AL19" s="357">
        <f t="shared" si="35"/>
        <v>2.9999999999999997E-4</v>
      </c>
      <c r="AM19" s="357">
        <f>IF(INDEX(Control!$Q$3:$S$62,MATCH($X19,Control!$Q$3:$Q$62,0),MATCH(AM$8,Control!$Q$3:$S$3,0))=1,$BD$14*$BE$14,0)</f>
        <v>0</v>
      </c>
      <c r="AN19" s="357"/>
      <c r="AO19" s="357">
        <f t="shared" si="36"/>
        <v>0</v>
      </c>
      <c r="AP19" s="357">
        <f t="shared" si="37"/>
        <v>0</v>
      </c>
      <c r="AQ19" s="355">
        <f t="shared" ref="AQ19" si="45">SUM(AF19:AP19)</f>
        <v>2.4303091324200912</v>
      </c>
      <c r="AR19" s="355">
        <f t="shared" si="39"/>
        <v>5.6733356324200912</v>
      </c>
      <c r="AS19" s="355" t="e">
        <f t="shared" si="40"/>
        <v>#N/A</v>
      </c>
      <c r="AT19" s="355">
        <f t="shared" si="41"/>
        <v>0</v>
      </c>
      <c r="AU19" s="145" t="e">
        <f t="shared" si="42"/>
        <v>#N/A</v>
      </c>
      <c r="AV19" s="350"/>
      <c r="AW19" s="359">
        <f>INDEX('[1]Transit Time'!$A:$DC,MATCH(G19,'[1]Transit Time'!$A:$A,0),MATCH(J19,'[1]Transit Time'!$A$1:$DC$1,0))+INDEX('[1]Transit Time'!$A:$DC,MATCH(J19,'[1]Transit Time'!$A:$A,0),MATCH(T19,'[1]Transit Time'!$A$1:$DC$1,0))+INDEX('[1]Transit Time'!$A:$DC,MATCH(T19,'[1]Transit Time'!$A:$A,0),MATCH(X19,'[1]Transit Time'!$A$1:$DC$1,0))</f>
        <v>22</v>
      </c>
      <c r="AX19" s="350"/>
      <c r="AY19" s="341">
        <f t="shared" si="43"/>
        <v>45663</v>
      </c>
      <c r="AZ19" s="360">
        <f t="shared" si="44"/>
        <v>45665</v>
      </c>
      <c r="BB19" s="165"/>
      <c r="BC19" s="165"/>
      <c r="BD19" s="165"/>
      <c r="BE19" s="165"/>
      <c r="BF19" s="165"/>
      <c r="BG19" s="165"/>
      <c r="BH19" s="165"/>
      <c r="BI19" s="165"/>
      <c r="BJ19" s="165">
        <f>IF(Z30-VLOOKUP(W30,$BJ$10:$BK$14,2,FALSE)/$BK$14&gt;0,BH15/Z30,0)</f>
        <v>0.33333333333333331</v>
      </c>
      <c r="BK19" s="165"/>
    </row>
    <row r="20" spans="1:63" ht="16" thickBot="1" x14ac:dyDescent="0.4">
      <c r="A20" s="319">
        <f t="shared" si="23"/>
        <v>45641</v>
      </c>
      <c r="B20" s="320">
        <f t="shared" si="24"/>
        <v>45643</v>
      </c>
      <c r="D20" s="321"/>
      <c r="E20" s="322">
        <f>IF(G20=J20,0,INDEX('[2]Flat Rates 2023'!$A:$DB,MATCH(G20,'[2]Flat Rates 2023'!$A:$A,0),MATCH(J20,'[2]Flat Rates 2023'!$A$1:$DB$1,0)))</f>
        <v>0</v>
      </c>
      <c r="F20" s="322">
        <f>INDEX(Control!$E$17:$O$21,MATCH(L20,Control!$E$17:$E$21,0),MATCH(G20,Control!$E$17:$O$17,0))</f>
        <v>0</v>
      </c>
      <c r="G20" s="322" t="s">
        <v>336</v>
      </c>
      <c r="H20" s="323">
        <f>INDEX(Vessel_Minimum_MT,MATCH(L20,Control!$E$11:$E$15,0),MATCH(G20,Control!$E$11:$O$11,0))</f>
        <v>70000</v>
      </c>
      <c r="I20" s="324">
        <f t="shared" si="25"/>
        <v>90096.96796338672</v>
      </c>
      <c r="J20" s="322" t="s">
        <v>336</v>
      </c>
      <c r="K20" s="322" t="str">
        <f t="shared" si="26"/>
        <v/>
      </c>
      <c r="L20" s="325" t="s">
        <v>23</v>
      </c>
      <c r="M20" s="323">
        <v>700000</v>
      </c>
      <c r="N20" s="326">
        <v>0</v>
      </c>
      <c r="O20" s="327">
        <v>0</v>
      </c>
      <c r="P20" s="328">
        <f t="shared" si="27"/>
        <v>0</v>
      </c>
      <c r="Q20" s="329"/>
      <c r="R20" s="330">
        <f>INDEX('[2]Flat Rates 2023'!$A:$DB,MATCH(T20,'[2]Flat Rates 2023'!$A:$A,0),MATCH(X20,'[2]Flat Rates 2023'!$A$1:$DB$1,0))</f>
        <v>10.48</v>
      </c>
      <c r="S20" s="330">
        <f>INDEX(Control!$E$17:$O$21,MATCH(W20,Control!$E$17:$E$21,0),MATCH(T20,Control!$E$17:$O$17,0))</f>
        <v>0.5</v>
      </c>
      <c r="T20" s="330" t="s">
        <v>336</v>
      </c>
      <c r="U20" s="323">
        <f>INDEX(Vessel_Minimum_MT,MATCH(W20,Control!$E$11:$E$15,0),MATCH(T20,Control!$E$11:$O$11,0))</f>
        <v>145000</v>
      </c>
      <c r="V20" s="331">
        <f t="shared" si="28"/>
        <v>128709.9542334096</v>
      </c>
      <c r="W20" s="325" t="s">
        <v>24</v>
      </c>
      <c r="X20" s="332" t="s">
        <v>57</v>
      </c>
      <c r="Y20" s="322" t="str">
        <f t="shared" si="29"/>
        <v>CARIBS/USGC</v>
      </c>
      <c r="Z20" s="324">
        <v>1000000</v>
      </c>
      <c r="AA20" s="324"/>
      <c r="AB20" s="464">
        <v>90</v>
      </c>
      <c r="AC20" s="334">
        <f t="shared" si="30"/>
        <v>1.36764</v>
      </c>
      <c r="AD20" s="335">
        <v>1</v>
      </c>
      <c r="AE20" s="324">
        <v>0</v>
      </c>
      <c r="AF20" s="336">
        <f t="shared" si="31"/>
        <v>2.3E-2</v>
      </c>
      <c r="AG20" s="336">
        <f t="shared" si="32"/>
        <v>0</v>
      </c>
      <c r="AH20" s="336">
        <f>INDEX(Lightering,MATCH($T20,Control!$AB$3:$AB$29,0),MATCH(LIZA!$W20,Control!$AB$3:$AF$3,0))*($Z20/$BD$18)*$BH$15/$Z20</f>
        <v>0</v>
      </c>
      <c r="AI20" s="336">
        <f t="shared" si="33"/>
        <v>0</v>
      </c>
      <c r="AJ20" s="336">
        <v>0</v>
      </c>
      <c r="AK20" s="336">
        <f t="shared" si="34"/>
        <v>5.0000000000000001E-3</v>
      </c>
      <c r="AL20" s="336">
        <f t="shared" si="35"/>
        <v>2.9999999999999997E-4</v>
      </c>
      <c r="AM20" s="336">
        <f>IF(INDEX(Control!$Q$3:$S$62,MATCH($X20,Control!$Q$3:$Q$62,0),MATCH(AM$8,Control!$Q$3:$S$3,0))=1,$BD$14*$BE$14,0)</f>
        <v>0.18</v>
      </c>
      <c r="AN20" s="336"/>
      <c r="AO20" s="336">
        <f t="shared" si="36"/>
        <v>0</v>
      </c>
      <c r="AP20" s="336">
        <f t="shared" si="37"/>
        <v>0</v>
      </c>
      <c r="AQ20" s="334">
        <f t="shared" ref="AQ20:AQ22" si="46">SUM(AF20:AP20)</f>
        <v>0.20829999999999999</v>
      </c>
      <c r="AR20" s="334">
        <f t="shared" si="39"/>
        <v>1.5759399999999999</v>
      </c>
      <c r="AS20" s="334">
        <f t="shared" si="40"/>
        <v>0</v>
      </c>
      <c r="AT20" s="334">
        <f t="shared" si="41"/>
        <v>0</v>
      </c>
      <c r="AU20" s="466">
        <f t="shared" si="42"/>
        <v>0.5759399999999999</v>
      </c>
      <c r="AV20" s="220"/>
      <c r="AW20" s="318">
        <f>INDEX('[1]Transit Time'!$A:$DC,MATCH(G20,'[1]Transit Time'!$A:$A,0),MATCH(J20,'[1]Transit Time'!$A$1:$DC$1,0))+INDEX('[1]Transit Time'!$A:$DC,MATCH(J20,'[1]Transit Time'!$A:$A,0),MATCH(T20,'[1]Transit Time'!$A$1:$DC$1,0))+INDEX('[1]Transit Time'!$A:$DC,MATCH(T20,'[1]Transit Time'!$A:$A,0),MATCH(X20,'[1]Transit Time'!$A$1:$DC$1,0))</f>
        <v>9</v>
      </c>
      <c r="AX20" s="220"/>
      <c r="AY20" s="209">
        <f t="shared" si="43"/>
        <v>45650</v>
      </c>
      <c r="AZ20" s="209">
        <f t="shared" si="44"/>
        <v>45652</v>
      </c>
      <c r="BB20" s="133" t="s">
        <v>283</v>
      </c>
      <c r="BI20" s="34"/>
    </row>
    <row r="21" spans="1:63" ht="16" thickBot="1" x14ac:dyDescent="0.4">
      <c r="A21" s="340">
        <f t="shared" si="23"/>
        <v>45641</v>
      </c>
      <c r="B21" s="341">
        <f t="shared" si="24"/>
        <v>45643</v>
      </c>
      <c r="D21" s="342"/>
      <c r="E21" s="343">
        <f>IF(G21=J21,0,INDEX('[2]Flat Rates 2023'!$A:$DB,MATCH(G21,'[2]Flat Rates 2023'!$A:$A,0),MATCH(J21,'[2]Flat Rates 2023'!$A$1:$DB$1,0)))</f>
        <v>0</v>
      </c>
      <c r="F21" s="343">
        <f>INDEX(Control!$E$17:$O$21,MATCH(L21,Control!$E$17:$E$21,0),MATCH(G21,Control!$E$17:$O$17,0))</f>
        <v>0.5</v>
      </c>
      <c r="G21" s="343" t="s">
        <v>336</v>
      </c>
      <c r="H21" s="344">
        <f>INDEX(Vessel_Minimum_MT,MATCH(L21,Control!$E$11:$E$15,0),MATCH(G21,Control!$E$11:$O$11,0))</f>
        <v>50000</v>
      </c>
      <c r="I21" s="345">
        <f t="shared" si="25"/>
        <v>90096.96796338672</v>
      </c>
      <c r="J21" s="343" t="s">
        <v>336</v>
      </c>
      <c r="K21" s="343" t="str">
        <f t="shared" si="26"/>
        <v/>
      </c>
      <c r="L21" s="346" t="s">
        <v>22</v>
      </c>
      <c r="M21" s="345">
        <v>700000</v>
      </c>
      <c r="N21" s="347">
        <v>0</v>
      </c>
      <c r="O21" s="348">
        <v>0</v>
      </c>
      <c r="P21" s="349">
        <f t="shared" si="27"/>
        <v>0</v>
      </c>
      <c r="Q21" s="350"/>
      <c r="R21" s="351">
        <f>INDEX('[2]Flat Rates 2023'!$A:$DB,MATCH(T21,'[2]Flat Rates 2023'!$A:$A,0),MATCH(X21,'[2]Flat Rates 2023'!$A$1:$DB$1,0))</f>
        <v>6.86</v>
      </c>
      <c r="S21" s="351">
        <f>INDEX(Control!$E$17:$O$21,MATCH(W21,Control!$E$17:$E$21,0),MATCH(T21,Control!$E$17:$O$17,0))</f>
        <v>0.5</v>
      </c>
      <c r="T21" s="351" t="s">
        <v>336</v>
      </c>
      <c r="U21" s="344">
        <f>INDEX(Vessel_Minimum_MT,MATCH(W21,Control!$E$11:$E$15,0),MATCH(T21,Control!$E$11:$O$11,0))</f>
        <v>145000</v>
      </c>
      <c r="V21" s="352">
        <f t="shared" si="28"/>
        <v>128709.9542334096</v>
      </c>
      <c r="W21" s="346" t="s">
        <v>24</v>
      </c>
      <c r="X21" s="353" t="s">
        <v>55</v>
      </c>
      <c r="Y21" s="343" t="str">
        <f t="shared" si="29"/>
        <v>CARIBS/CARIBS</v>
      </c>
      <c r="Z21" s="345">
        <v>1000000</v>
      </c>
      <c r="AA21" s="345"/>
      <c r="AB21" s="263">
        <v>140</v>
      </c>
      <c r="AC21" s="355">
        <f t="shared" si="30"/>
        <v>1.3925799999999999</v>
      </c>
      <c r="AD21" s="356">
        <v>1</v>
      </c>
      <c r="AE21" s="345">
        <f>IF(INDEX(Index,MATCH(X21,TVM_PortList,0),MATCH("Type",Control!$Q$3:$U$3,0))="BL",$A$8+INDEX(Index,MATCH(T21,TVM_PortList,0),MATCH("Payment",Control!$Q$3:$U$3,0)),$A$8+INDEX(Index,MATCH(X21,TVM_PortList,0),MATCH("Payment",Control!$Q$3:$U$3,0))+AW21)-DATE(YEAR($A$8),MONTH(EOMONTH($A$8,1)),20)</f>
        <v>348</v>
      </c>
      <c r="AF21" s="357">
        <f t="shared" si="31"/>
        <v>2.3E-2</v>
      </c>
      <c r="AG21" s="357">
        <f t="shared" si="32"/>
        <v>1.7161643835616438</v>
      </c>
      <c r="AH21" s="357">
        <f>INDEX(Lightering,MATCH($T21,Control!$AB$3:$AB$29,0),MATCH(LIZA!$W21,Control!$AB$3:$AF$3,0))*($Z21/$BD$18)*$BH$15/$Z21</f>
        <v>0</v>
      </c>
      <c r="AI21" s="357">
        <f t="shared" si="33"/>
        <v>0</v>
      </c>
      <c r="AJ21" s="357">
        <v>0</v>
      </c>
      <c r="AK21" s="357">
        <f t="shared" si="34"/>
        <v>5.0000000000000001E-3</v>
      </c>
      <c r="AL21" s="357">
        <f t="shared" si="35"/>
        <v>2.9999999999999997E-4</v>
      </c>
      <c r="AM21" s="357">
        <f>IF(INDEX(Control!$Q$3:$S$62,MATCH($X21,Control!$Q$3:$Q$62,0),MATCH(AM$8,Control!$Q$3:$S$3,0))=1,$BD$14*$BE$14,0)</f>
        <v>0.18</v>
      </c>
      <c r="AN21" s="357"/>
      <c r="AO21" s="357">
        <f t="shared" si="36"/>
        <v>0</v>
      </c>
      <c r="AP21" s="357">
        <f t="shared" si="37"/>
        <v>0</v>
      </c>
      <c r="AQ21" s="355">
        <f t="shared" si="46"/>
        <v>1.9244643835616435</v>
      </c>
      <c r="AR21" s="355">
        <f t="shared" si="39"/>
        <v>3.3170443835616434</v>
      </c>
      <c r="AS21" s="355">
        <f t="shared" si="40"/>
        <v>0</v>
      </c>
      <c r="AT21" s="355">
        <f t="shared" si="41"/>
        <v>0</v>
      </c>
      <c r="AU21" s="467">
        <f t="shared" si="42"/>
        <v>2.3170443835616434</v>
      </c>
      <c r="AW21" s="409">
        <f>INDEX('[1]Transit Time'!$A:$DC,MATCH(G21,'[1]Transit Time'!$A:$A,0),MATCH(J21,'[1]Transit Time'!$A$1:$DC$1,0))+INDEX('[1]Transit Time'!$A:$DC,MATCH(J21,'[1]Transit Time'!$A:$A,0),MATCH(T21,'[1]Transit Time'!$A$1:$DC$1,0))+INDEX('[1]Transit Time'!$A:$DC,MATCH(T21,'[1]Transit Time'!$A:$A,0),MATCH(X21,'[1]Transit Time'!$A$1:$DC$1,0))</f>
        <v>5</v>
      </c>
      <c r="AY21" s="407">
        <f t="shared" si="43"/>
        <v>45646</v>
      </c>
      <c r="AZ21" s="407">
        <f t="shared" si="44"/>
        <v>45648</v>
      </c>
      <c r="BB21" s="133" t="s">
        <v>148</v>
      </c>
      <c r="BC21" s="3">
        <v>2</v>
      </c>
      <c r="BD21" s="268">
        <f>$BC$21*$BD$14/365/100</f>
        <v>4.9315068493150684E-3</v>
      </c>
      <c r="BI21" s="34"/>
    </row>
    <row r="22" spans="1:63" x14ac:dyDescent="0.35">
      <c r="A22" s="411">
        <f t="shared" si="23"/>
        <v>45641</v>
      </c>
      <c r="B22" s="412">
        <f t="shared" si="24"/>
        <v>45643</v>
      </c>
      <c r="C22" s="413"/>
      <c r="D22" s="414"/>
      <c r="E22" s="415">
        <f>IF(G22=J22,0,INDEX('[2]Flat Rates 2023'!$A:$DB,MATCH(G22,'[2]Flat Rates 2023'!$A:$A,0),MATCH(J22,'[2]Flat Rates 2023'!$A$1:$DB$1,0)))</f>
        <v>0</v>
      </c>
      <c r="F22" s="415">
        <f>INDEX(Control!$E$17:$O$21,MATCH(L22,Control!$E$17:$E$21,0),MATCH(G22,Control!$E$17:$O$17,0))</f>
        <v>0</v>
      </c>
      <c r="G22" s="415" t="s">
        <v>336</v>
      </c>
      <c r="H22" s="416">
        <f>INDEX(Vessel_Minimum_MT,MATCH(L22,Control!$E$11:$E$15,0),MATCH(G22,Control!$E$11:$O$11,0))</f>
        <v>70000</v>
      </c>
      <c r="I22" s="417">
        <f t="shared" si="25"/>
        <v>90096.96796338672</v>
      </c>
      <c r="J22" s="415" t="s">
        <v>336</v>
      </c>
      <c r="K22" s="415" t="str">
        <f t="shared" si="26"/>
        <v/>
      </c>
      <c r="L22" s="418" t="s">
        <v>23</v>
      </c>
      <c r="M22" s="417">
        <v>700000</v>
      </c>
      <c r="N22" s="419">
        <v>0</v>
      </c>
      <c r="O22" s="420">
        <v>0</v>
      </c>
      <c r="P22" s="421">
        <f t="shared" si="27"/>
        <v>0</v>
      </c>
      <c r="Q22" s="422"/>
      <c r="R22" s="423">
        <v>16.940000000000001</v>
      </c>
      <c r="S22" s="423">
        <f>INDEX(Control!$E$17:$O$21,MATCH(W22,Control!$E$17:$E$21,0),MATCH(T22,Control!$E$17:$O$17,0))</f>
        <v>0.5</v>
      </c>
      <c r="T22" s="423" t="s">
        <v>336</v>
      </c>
      <c r="U22" s="424">
        <v>130000</v>
      </c>
      <c r="V22" s="425">
        <f t="shared" si="28"/>
        <v>128709.9542334096</v>
      </c>
      <c r="W22" s="426" t="s">
        <v>24</v>
      </c>
      <c r="X22" s="427" t="s">
        <v>57</v>
      </c>
      <c r="Y22" s="428" t="str">
        <f t="shared" si="29"/>
        <v>CARIBS/USGC</v>
      </c>
      <c r="Z22" s="429">
        <v>1000000</v>
      </c>
      <c r="AA22" s="429"/>
      <c r="AB22" s="430">
        <f>AB21</f>
        <v>140</v>
      </c>
      <c r="AC22" s="431">
        <f t="shared" si="30"/>
        <v>3.0830799999999998</v>
      </c>
      <c r="AD22" s="432">
        <v>1</v>
      </c>
      <c r="AE22" s="429">
        <f>IF(INDEX(Index,MATCH(X22,TVM_PortList,0),MATCH("Type",Control!$Q$3:$U$3,0))="BL",$A$8+INDEX(Index,MATCH(T22,TVM_PortList,0),MATCH("Payment",Control!$Q$3:$U$3,0)),$A$8+INDEX(Index,MATCH(X22,TVM_PortList,0),MATCH("Payment",Control!$Q$3:$U$3,0))+AW22)-DATE(YEAR($A$8),MONTH(EOMONTH($A$8,1)),20)</f>
        <v>360</v>
      </c>
      <c r="AF22" s="433">
        <f t="shared" si="31"/>
        <v>2.3E-2</v>
      </c>
      <c r="AG22" s="433">
        <f t="shared" si="32"/>
        <v>1.7753424657534247</v>
      </c>
      <c r="AH22" s="433">
        <f>INDEX(Lightering,MATCH($T22,Control!$AB$3:$AB$29,0),MATCH(LIZA!$W22,Control!$AB$3:$AF$3,0))*($Z22/$BD$18)*$BH$15/$Z22</f>
        <v>0</v>
      </c>
      <c r="AI22" s="433">
        <f t="shared" si="33"/>
        <v>0</v>
      </c>
      <c r="AJ22" s="433">
        <v>0</v>
      </c>
      <c r="AK22" s="433">
        <f t="shared" si="34"/>
        <v>5.0000000000000001E-3</v>
      </c>
      <c r="AL22" s="433">
        <f t="shared" si="35"/>
        <v>2.9999999999999997E-4</v>
      </c>
      <c r="AM22" s="433">
        <f>IF(INDEX(Control!$Q$3:$S$62,MATCH($X22,Control!$Q$3:$Q$62,0),MATCH(AM$8,Control!$Q$3:$S$3,0))=1,$BD$14*$BE$14,0)</f>
        <v>0.18</v>
      </c>
      <c r="AN22" s="433"/>
      <c r="AO22" s="433">
        <f t="shared" si="36"/>
        <v>0</v>
      </c>
      <c r="AP22" s="433">
        <f t="shared" si="37"/>
        <v>0</v>
      </c>
      <c r="AQ22" s="431">
        <f t="shared" si="46"/>
        <v>1.9836424657534244</v>
      </c>
      <c r="AR22" s="431">
        <f t="shared" si="39"/>
        <v>5.0667224657534238</v>
      </c>
      <c r="AS22" s="431">
        <f t="shared" si="40"/>
        <v>0</v>
      </c>
      <c r="AT22" s="431">
        <f t="shared" si="41"/>
        <v>0</v>
      </c>
      <c r="AU22" s="434">
        <f t="shared" si="42"/>
        <v>4.0667224657534238</v>
      </c>
      <c r="AV22" s="423"/>
      <c r="AW22" s="435">
        <f>INDEX('[1]Transit Time'!$A:$DC,MATCH(G22,'[1]Transit Time'!$A:$A,0),MATCH(J22,'[1]Transit Time'!$A$1:$DC$1,0))+INDEX('[1]Transit Time'!$A:$DC,MATCH(J22,'[1]Transit Time'!$A:$A,0),MATCH(T22,'[1]Transit Time'!$A$1:$DC$1,0))+INDEX('[1]Transit Time'!$A:$DC,MATCH(T22,'[1]Transit Time'!$A:$A,0),MATCH(X22,'[1]Transit Time'!$A$1:$DC$1,0))</f>
        <v>9</v>
      </c>
      <c r="AX22" s="423"/>
      <c r="AY22" s="412">
        <f t="shared" si="43"/>
        <v>45650</v>
      </c>
      <c r="AZ22" s="436">
        <f t="shared" si="44"/>
        <v>45652</v>
      </c>
      <c r="BB22" s="133"/>
      <c r="BD22" s="268"/>
      <c r="BI22" s="34"/>
    </row>
    <row r="23" spans="1:63" ht="16" thickBot="1" x14ac:dyDescent="0.4">
      <c r="A23" s="437">
        <f t="shared" si="23"/>
        <v>45641</v>
      </c>
      <c r="B23" s="438">
        <f t="shared" si="24"/>
        <v>45643</v>
      </c>
      <c r="C23" s="439"/>
      <c r="D23" s="440"/>
      <c r="E23" s="441">
        <f>IF(G23=J23,0,INDEX('[2]Flat Rates 2023'!$A:$DB,MATCH(G23,'[2]Flat Rates 2023'!$A:$A,0),MATCH(J23,'[2]Flat Rates 2023'!$A$1:$DB$1,0)))</f>
        <v>0</v>
      </c>
      <c r="F23" s="441">
        <f>INDEX(Control!$E$17:$O$21,MATCH(L23,Control!$E$17:$E$21,0),MATCH(G23,Control!$E$17:$O$17,0))</f>
        <v>0.5</v>
      </c>
      <c r="G23" s="441" t="s">
        <v>336</v>
      </c>
      <c r="H23" s="442">
        <f>INDEX(Vessel_Minimum_MT,MATCH(L23,Control!$E$11:$E$15,0),MATCH(G23,Control!$E$11:$O$11,0))</f>
        <v>50000</v>
      </c>
      <c r="I23" s="443">
        <f t="shared" si="25"/>
        <v>90096.96796338672</v>
      </c>
      <c r="J23" s="441" t="s">
        <v>336</v>
      </c>
      <c r="K23" s="441" t="str">
        <f t="shared" si="26"/>
        <v/>
      </c>
      <c r="L23" s="444" t="s">
        <v>22</v>
      </c>
      <c r="M23" s="443">
        <v>700000</v>
      </c>
      <c r="N23" s="445">
        <v>0</v>
      </c>
      <c r="O23" s="446">
        <v>0</v>
      </c>
      <c r="P23" s="447">
        <f t="shared" si="27"/>
        <v>0</v>
      </c>
      <c r="Q23" s="448"/>
      <c r="R23" s="449">
        <v>18.55</v>
      </c>
      <c r="S23" s="450">
        <f>INDEX(Control!$E$17:$O$21,MATCH(W23,Control!$E$17:$E$21,0),MATCH(T23,Control!$E$17:$O$17,0))</f>
        <v>0.5</v>
      </c>
      <c r="T23" s="450" t="s">
        <v>336</v>
      </c>
      <c r="U23" s="451">
        <v>130000</v>
      </c>
      <c r="V23" s="452">
        <f t="shared" si="28"/>
        <v>128709.9542334096</v>
      </c>
      <c r="W23" s="453" t="s">
        <v>24</v>
      </c>
      <c r="X23" s="454" t="s">
        <v>55</v>
      </c>
      <c r="Y23" s="455" t="str">
        <f t="shared" si="29"/>
        <v>CARIBS/CARIBS</v>
      </c>
      <c r="Z23" s="456">
        <v>1000000</v>
      </c>
      <c r="AA23" s="456"/>
      <c r="AB23" s="457">
        <f>AB22</f>
        <v>140</v>
      </c>
      <c r="AC23" s="458">
        <f t="shared" si="30"/>
        <v>3.3761000000000001</v>
      </c>
      <c r="AD23" s="459">
        <v>1</v>
      </c>
      <c r="AE23" s="456">
        <f>IF(INDEX(Index,MATCH(X23,TVM_PortList,0),MATCH("Type",Control!$Q$3:$U$3,0))="BL",$A$8+INDEX(Index,MATCH(T23,TVM_PortList,0),MATCH("Payment",Control!$Q$3:$U$3,0)),$A$8+INDEX(Index,MATCH(X23,TVM_PortList,0),MATCH("Payment",Control!$Q$3:$U$3,0))+AW23)-DATE(YEAR($A$8),MONTH(EOMONTH($A$8,1)),20)</f>
        <v>348</v>
      </c>
      <c r="AF23" s="460">
        <f t="shared" si="31"/>
        <v>2.3E-2</v>
      </c>
      <c r="AG23" s="460">
        <f t="shared" si="32"/>
        <v>1.7161643835616438</v>
      </c>
      <c r="AH23" s="460">
        <f>INDEX(Lightering,MATCH($T23,Control!$AB$3:$AB$29,0),MATCH(LIZA!$W23,Control!$AB$3:$AF$3,0))*($Z23/$BD$18)*$BH$15/$Z23</f>
        <v>0</v>
      </c>
      <c r="AI23" s="460">
        <f t="shared" si="33"/>
        <v>0</v>
      </c>
      <c r="AJ23" s="460">
        <v>0</v>
      </c>
      <c r="AK23" s="460">
        <f t="shared" si="34"/>
        <v>5.0000000000000001E-3</v>
      </c>
      <c r="AL23" s="460">
        <f t="shared" si="35"/>
        <v>2.9999999999999997E-4</v>
      </c>
      <c r="AM23" s="460">
        <f>IF(INDEX(Control!$Q$3:$S$62,MATCH($X23,Control!$Q$3:$Q$62,0),MATCH(AM$8,Control!$Q$3:$S$3,0))=1,$BD$14*$BE$14,0)</f>
        <v>0.18</v>
      </c>
      <c r="AN23" s="460"/>
      <c r="AO23" s="460">
        <f t="shared" si="36"/>
        <v>0</v>
      </c>
      <c r="AP23" s="460">
        <f t="shared" si="37"/>
        <v>0</v>
      </c>
      <c r="AQ23" s="458">
        <f t="shared" ref="AQ23" si="47">SUM(AF23:AP23)</f>
        <v>1.9244643835616435</v>
      </c>
      <c r="AR23" s="458">
        <f t="shared" si="39"/>
        <v>5.3005643835616434</v>
      </c>
      <c r="AS23" s="458">
        <f t="shared" si="40"/>
        <v>0</v>
      </c>
      <c r="AT23" s="458">
        <f t="shared" si="41"/>
        <v>0</v>
      </c>
      <c r="AU23" s="461">
        <f t="shared" si="42"/>
        <v>4.3005643835616434</v>
      </c>
      <c r="AV23" s="448"/>
      <c r="AW23" s="462">
        <f>INDEX('[1]Transit Time'!$A:$DC,MATCH(G23,'[1]Transit Time'!$A:$A,0),MATCH(J23,'[1]Transit Time'!$A$1:$DC$1,0))+INDEX('[1]Transit Time'!$A:$DC,MATCH(J23,'[1]Transit Time'!$A:$A,0),MATCH(T23,'[1]Transit Time'!$A$1:$DC$1,0))+INDEX('[1]Transit Time'!$A:$DC,MATCH(T23,'[1]Transit Time'!$A:$A,0),MATCH(X23,'[1]Transit Time'!$A$1:$DC$1,0))</f>
        <v>5</v>
      </c>
      <c r="AX23" s="448"/>
      <c r="AY23" s="438">
        <f t="shared" si="43"/>
        <v>45646</v>
      </c>
      <c r="AZ23" s="463">
        <f t="shared" si="44"/>
        <v>45648</v>
      </c>
      <c r="BB23" s="133"/>
      <c r="BD23" s="268"/>
      <c r="BI23" s="34"/>
    </row>
    <row r="24" spans="1:63" ht="19.5" customHeight="1" thickBot="1" x14ac:dyDescent="0.5">
      <c r="A24"/>
      <c r="B24"/>
      <c r="D24" s="1060" t="str">
        <f>D7</f>
        <v>LIZA FPSO-PTP</v>
      </c>
      <c r="E24" s="1061"/>
      <c r="F24" s="1061"/>
      <c r="G24" s="1061"/>
      <c r="H24" s="1061"/>
      <c r="I24" s="1061"/>
      <c r="J24" s="1061"/>
      <c r="K24" s="1061"/>
      <c r="L24" s="1061"/>
      <c r="M24" s="1061"/>
      <c r="N24" s="1061"/>
      <c r="O24" s="1061"/>
      <c r="P24" s="1062"/>
      <c r="Q24" s="2"/>
      <c r="R24" s="410"/>
      <c r="S24" s="410"/>
      <c r="T24" s="410"/>
      <c r="U24" s="410"/>
      <c r="V24" s="410"/>
      <c r="W24" s="1060" t="s">
        <v>280</v>
      </c>
      <c r="X24" s="1061"/>
      <c r="Y24" s="1061"/>
      <c r="Z24" s="1061"/>
      <c r="AA24" s="1061"/>
      <c r="AB24" s="1061"/>
      <c r="AC24" s="1061"/>
      <c r="AD24" s="1061"/>
      <c r="AE24" s="1061"/>
      <c r="AF24" s="1061"/>
      <c r="AG24" s="1061"/>
      <c r="AH24" s="1061"/>
      <c r="AI24" s="1061"/>
      <c r="AJ24" s="1061"/>
      <c r="AK24" s="1061"/>
      <c r="AL24" s="1061"/>
      <c r="AM24" s="1061"/>
      <c r="AN24" s="1061"/>
      <c r="AO24" s="1061"/>
      <c r="AP24" s="1061"/>
      <c r="AQ24" s="1061"/>
      <c r="AR24" s="1061"/>
      <c r="AS24" s="1061"/>
      <c r="AT24" s="1061"/>
      <c r="AU24" s="1062"/>
      <c r="AW24"/>
      <c r="AY24"/>
      <c r="AZ24"/>
      <c r="BC24" s="124"/>
    </row>
    <row r="25" spans="1:63" ht="29.5" customHeight="1" x14ac:dyDescent="0.35">
      <c r="A25" s="1005" t="s">
        <v>167</v>
      </c>
      <c r="B25" s="1005"/>
      <c r="D25" s="120" t="s">
        <v>276</v>
      </c>
      <c r="E25" s="152" t="s">
        <v>172</v>
      </c>
      <c r="F25" s="152" t="s">
        <v>2</v>
      </c>
      <c r="G25" s="152" t="s">
        <v>173</v>
      </c>
      <c r="H25" s="152" t="s">
        <v>174</v>
      </c>
      <c r="I25" s="125" t="s">
        <v>175</v>
      </c>
      <c r="J25" s="152" t="s">
        <v>177</v>
      </c>
      <c r="K25" s="152" t="s">
        <v>178</v>
      </c>
      <c r="L25" s="122" t="s">
        <v>176</v>
      </c>
      <c r="M25" s="120" t="s">
        <v>200</v>
      </c>
      <c r="N25" s="120" t="s">
        <v>277</v>
      </c>
      <c r="O25" s="121"/>
      <c r="P25" s="123" t="s">
        <v>335</v>
      </c>
      <c r="Q25" s="2"/>
      <c r="R25" s="120" t="s">
        <v>172</v>
      </c>
      <c r="S25" s="120" t="e">
        <f>INDEX(Control!$E$17:$J$21,MATCH(W25,Control!$E$17:$E$21,0),MATCH(T25,Control!$E$17:$J$17,0))</f>
        <v>#N/A</v>
      </c>
      <c r="T25" s="120" t="s">
        <v>173</v>
      </c>
      <c r="U25" s="152" t="str">
        <f>$U$8</f>
        <v>Vessel MT</v>
      </c>
      <c r="V25" s="120" t="s">
        <v>175</v>
      </c>
      <c r="W25" s="120" t="s">
        <v>176</v>
      </c>
      <c r="X25" s="120" t="s">
        <v>177</v>
      </c>
      <c r="Y25" s="120" t="s">
        <v>178</v>
      </c>
      <c r="Z25" s="120" t="s">
        <v>200</v>
      </c>
      <c r="AA25" s="146" t="s">
        <v>201</v>
      </c>
      <c r="AB25" s="128" t="s">
        <v>202</v>
      </c>
      <c r="AC25" s="150" t="s">
        <v>182</v>
      </c>
      <c r="AD25" s="136" t="s">
        <v>137</v>
      </c>
      <c r="AE25" s="146" t="s">
        <v>281</v>
      </c>
      <c r="AF25" s="136" t="s">
        <v>184</v>
      </c>
      <c r="AG25" s="136" t="s">
        <v>140</v>
      </c>
      <c r="AH25" s="136" t="str">
        <f>AH17</f>
        <v>STS</v>
      </c>
      <c r="AI25" s="136" t="s">
        <v>186</v>
      </c>
      <c r="AJ25" s="136" t="s">
        <v>187</v>
      </c>
      <c r="AK25" s="136" t="s">
        <v>141</v>
      </c>
      <c r="AL25" s="136" t="s">
        <v>188</v>
      </c>
      <c r="AM25" s="136" t="s">
        <v>17</v>
      </c>
      <c r="AN25" s="136" t="s">
        <v>207</v>
      </c>
      <c r="AO25" s="136" t="s">
        <v>189</v>
      </c>
      <c r="AP25" s="136" t="s">
        <v>152</v>
      </c>
      <c r="AQ25" s="150" t="s">
        <v>208</v>
      </c>
      <c r="AR25" s="150" t="s">
        <v>209</v>
      </c>
      <c r="AS25" s="150" t="s">
        <v>210</v>
      </c>
      <c r="AT25" s="150" t="str">
        <f>AT17</f>
        <v>Basis</v>
      </c>
      <c r="AU25" s="137" t="s">
        <v>211</v>
      </c>
      <c r="AW25" s="137" t="s">
        <v>195</v>
      </c>
      <c r="AY25" s="1011" t="s">
        <v>196</v>
      </c>
      <c r="AZ25" s="1011"/>
    </row>
    <row r="26" spans="1:63" x14ac:dyDescent="0.35">
      <c r="A26" s="163">
        <f t="shared" si="23"/>
        <v>45641</v>
      </c>
      <c r="B26" s="163">
        <f t="shared" si="24"/>
        <v>45643</v>
      </c>
      <c r="D26" s="8"/>
      <c r="E26" s="138">
        <f>INDEX('[2]Flat Rates 2023'!$A:$DB,MATCH(G26,'[2]Flat Rates 2023'!$A:$A,0),MATCH(J26,'[2]Flat Rates 2023'!$A$1:$DB$1,0))</f>
        <v>6.86</v>
      </c>
      <c r="F26" s="138">
        <f>INDEX(Control!$E$17:$O$21,MATCH(L26,Control!$E$17:$E$21,0),MATCH(G26,Control!$E$17:$O$17,0))</f>
        <v>0</v>
      </c>
      <c r="G26" s="138" t="s">
        <v>336</v>
      </c>
      <c r="H26" s="116">
        <f>INDEX(Vessel_Minimum_MT,MATCH(L26,Control!$E$11:$E$15,0),MATCH(G26,Control!$E$11:$O$11,0))</f>
        <v>70000</v>
      </c>
      <c r="I26" s="116">
        <f>M26/$BD$17</f>
        <v>96532.465675057203</v>
      </c>
      <c r="J26" s="142" t="s">
        <v>55</v>
      </c>
      <c r="K26" s="138" t="str">
        <f t="shared" ref="K26:K27" si="48">IF(J26=G26,"",CONCATENATE(CONCATENATE(VLOOKUP(G26,Zones,2,FALSE),"/",VLOOKUP(J26,Zones,2,FALSE))))</f>
        <v>CARIBS/CARIBS</v>
      </c>
      <c r="L26" s="147" t="s">
        <v>23</v>
      </c>
      <c r="M26" s="141">
        <v>750000</v>
      </c>
      <c r="N26" s="17">
        <v>170</v>
      </c>
      <c r="O26" s="18">
        <v>125</v>
      </c>
      <c r="P26" s="148">
        <f t="shared" ref="P26:P27" si="49">IF($G26="Esmeraldas",IF(N26&gt;1000,IF(O26=0,N26,O26)/M26*1.1,((H26*E26*(IF(O26=0,N26,O26)/100))+IF(I26&lt;H26,0,(I26-H26)*E26*IF(O26=0,N26,O26)/100*F26))/M26*1.1),IF(N26&gt;1000,IF(O26=0,N26,O26)/M26,((H26*E26*(IF(O26=0,N26,O26)/100))+IF(I26&lt;H26,0,(I26-H26)*E26*IF(O26=0,N26,O26)/100*F26)))/M26)</f>
        <v>0.80033333333333334</v>
      </c>
      <c r="Q26" s="2"/>
      <c r="R26" s="138">
        <f>INDEX('[2]Flat Rates 2023'!$A:$DB,MATCH(T26,'[2]Flat Rates 2023'!$A:$A,0),MATCH(X26,'[2]Flat Rates 2023'!$A$1:$DB$1,0))</f>
        <v>25.45</v>
      </c>
      <c r="S26" s="138">
        <f>INDEX(Control!$E$17:$J$21,MATCH(W26,Control!$E$17:$E$21,0),MATCH(T26,Control!$E$17:$J$17,0))</f>
        <v>0.5</v>
      </c>
      <c r="T26" s="138" t="s">
        <v>63</v>
      </c>
      <c r="U26" s="116">
        <f>INDEX(Vessel_Minimum_MT,MATCH(W26,Control!$E$11:$E$15,0),MATCH(T26,Control!$E$11:$O$11,0))</f>
        <v>145000</v>
      </c>
      <c r="V26" s="140">
        <f>Z26/$BD$17</f>
        <v>135145.45194508007</v>
      </c>
      <c r="W26" s="147" t="s">
        <v>24</v>
      </c>
      <c r="X26" s="164" t="s">
        <v>100</v>
      </c>
      <c r="Y26" s="142" t="str">
        <f>IF(X26=T26,"",CONCATENATE(CONCATENATE(VLOOKUP(T26,Zones,2,FALSE),"/",VLOOKUP(X26,Zones,2,FALSE))))</f>
        <v>Panama WC/KOREA</v>
      </c>
      <c r="Z26" s="141">
        <v>1050000</v>
      </c>
      <c r="AA26" s="141">
        <v>3750000</v>
      </c>
      <c r="AB26" s="151"/>
      <c r="AC26" s="148">
        <f t="shared" ref="AC26:AC27" si="50">IF(AA26&gt;1000,IF(AB26=0,AA26,AB26)/Z26,((U26*R26*(IF(AB26=0,AA26,AB26)/100))+IF(V26&lt;U26,0,(V26-U26)*R26*IF(AB26=0,AA26,AB26)/100*S26))/Z26)</f>
        <v>3.5714285714285716</v>
      </c>
      <c r="AD26" s="144">
        <v>2</v>
      </c>
      <c r="AE26" s="155">
        <f>IF(INDEX(Index,MATCH(X26,TVM_PortList,0),MATCH("Type",Control!$Q$3:$U$3,0))="BL",$A$8+INDEX(Index,MATCH(T26,TVM_PortList,0),MATCH("Payment",Control!$Q$3:$U$3,0)),$A$8+INDEX(Index,MATCH(X26,TVM_PortList,0),MATCH("Payment",Control!$Q$3:$U$3,0))+AW26)-DATE(YEAR($A$8),MONTH(EOMONTH($A$8,1)),20)</f>
        <v>386</v>
      </c>
      <c r="AF26" s="143">
        <f>AD26*VLOOKUP($W26,$BF$9:$BH$13,3,FALSE)/$Z26</f>
        <v>4.3809523809523812E-2</v>
      </c>
      <c r="AG26" s="143">
        <f>IF(AE26&lt;0,0,$AE26*$BD$11)</f>
        <v>1.9035616438356164</v>
      </c>
      <c r="AH26" s="143"/>
      <c r="AI26" s="143">
        <f>IF(G26="LIZA FPSO",$BD$10,0)</f>
        <v>0</v>
      </c>
      <c r="AJ26" s="143">
        <v>0</v>
      </c>
      <c r="AK26" s="143">
        <f t="shared" ref="AK26:AK27" si="51">$BD$12</f>
        <v>5.0000000000000001E-3</v>
      </c>
      <c r="AL26" s="143">
        <f t="shared" ref="AL26:AL27" si="52">$BD$13</f>
        <v>2.9999999999999997E-4</v>
      </c>
      <c r="AM26" s="143">
        <f>IF(INDEX(Control!$Q$3:$S$62,MATCH($X26,Control!$Q$3:$Q$62,0),MATCH(AM$8,Control!$Q$3:$S$3,0))=1,$BD$14*$BE$14,0)</f>
        <v>0.18</v>
      </c>
      <c r="AN26" s="143" t="e">
        <f>IF(INDEX(Control!$Q$3:$S$62,MATCH($X26,Control!$Q$3:$Q$62,0),MATCH(AN$8,Control!$Q$3:$S$3,0))=1,$BD$15/$Z26,0)</f>
        <v>#N/A</v>
      </c>
      <c r="AO26" s="143">
        <f t="shared" ref="AO26:AO27" si="53">$BD$16</f>
        <v>0</v>
      </c>
      <c r="AP26" s="143">
        <f>IF(AND(J26="Chiriqui Grande",T26="Puerto Armuelles"),$BG$18,0)</f>
        <v>0.55000000000000004</v>
      </c>
      <c r="AQ26" s="149" t="e">
        <f t="shared" ref="AQ26:AQ27" si="54">SUM(AF26:AP26)</f>
        <v>#N/A</v>
      </c>
      <c r="AR26" s="149" t="e">
        <f>+P26+AC26+AQ26</f>
        <v>#N/A</v>
      </c>
      <c r="AS26" s="149" t="e">
        <f t="shared" ref="AS26:AS27" si="55">IF(MONTH(A26)=MONTH(AZ26),0,IF(MONTH(AZ26)-MONTH(A26)&gt;1,VLOOKUP("Spreads",$AQ$3:$AU$4,MATCH(EOMONTH(AZ26,0),$AQ$3:$AU$3,0),FALSE)+VLOOKUP("Spreads",$AQ$3:$AU$4,MATCH(EOMONTH(AZ26,-1),$AQ$3:$AU$3,0),FALSE),VLOOKUP("Spreads",$AQ$3:$AU$4,MATCH(EOMONTH(AZ26,0),$AQ$3:$AU$3,0))))</f>
        <v>#N/A</v>
      </c>
      <c r="AT26" s="149">
        <f t="shared" ref="AT26:AT27" si="56">+IF($AQ$3=1,HLOOKUP(EOMONTH(AZ26,0),$AR$3:$AU$6,4,FALSE),IF($AQ$3=2,HLOOKUP(EOMONTH(AZ26,0),$AR$3:$AU$6,3,FALSE),0))</f>
        <v>0</v>
      </c>
      <c r="AU26" s="261" t="e">
        <f>$L$3+AR26+AS26+AT26</f>
        <v>#N/A</v>
      </c>
      <c r="AW26" s="153">
        <f>INDEX('[1]Transit Time'!$A:$DC,MATCH(G26,'[1]Transit Time'!$A:$A,0),MATCH(J26,'[1]Transit Time'!$A$1:$DC$1,0))+INDEX('[1]Transit Time'!$A:$DC,MATCH(J26,'[1]Transit Time'!$A:$A,0),MATCH(T26,'[1]Transit Time'!$A$1:$DC$1,0))+INDEX('[1]Transit Time'!$A:$DC,MATCH(T26,'[1]Transit Time'!$A:$A,0),MATCH(X26,'[1]Transit Time'!$A$1:$DC$1,0))</f>
        <v>46</v>
      </c>
      <c r="AY26" s="163">
        <f>IF(ISBLANK(A26),"",A26+$AW26)</f>
        <v>45687</v>
      </c>
      <c r="AZ26" s="163">
        <f>IFERROR(IF(ISBLANK(B26),"",B26+$AW26),"")</f>
        <v>45689</v>
      </c>
      <c r="BC26" s="361"/>
    </row>
    <row r="27" spans="1:63" ht="16" thickBot="1" x14ac:dyDescent="0.4">
      <c r="A27" s="230">
        <f t="shared" si="23"/>
        <v>45641</v>
      </c>
      <c r="B27" s="230">
        <f t="shared" si="24"/>
        <v>45643</v>
      </c>
      <c r="D27" s="211"/>
      <c r="E27" s="212">
        <f>INDEX('[2]Flat Rates 2023'!$A:$DB,MATCH(G27,'[2]Flat Rates 2023'!$A:$A,0),MATCH(J27,'[2]Flat Rates 2023'!$A$1:$DB$1,0))</f>
        <v>6.86</v>
      </c>
      <c r="F27" s="212">
        <f>INDEX(Control!$E$17:$O$21,MATCH(L27,Control!$E$17:$E$21,0),MATCH(G27,Control!$E$17:$O$17,0))</f>
        <v>0</v>
      </c>
      <c r="G27" s="212" t="s">
        <v>336</v>
      </c>
      <c r="H27" s="213">
        <f>INDEX(Vessel_Minimum_MT,MATCH(L27,Control!$E$11:$E$15,0),MATCH(G27,Control!$E$11:$O$11,0))</f>
        <v>70000</v>
      </c>
      <c r="I27" s="214">
        <f>M27/$BD$17</f>
        <v>96532.465675057203</v>
      </c>
      <c r="J27" s="212" t="s">
        <v>55</v>
      </c>
      <c r="K27" s="212" t="str">
        <f t="shared" si="48"/>
        <v>CARIBS/CARIBS</v>
      </c>
      <c r="L27" s="215" t="s">
        <v>23</v>
      </c>
      <c r="M27" s="214">
        <v>750000</v>
      </c>
      <c r="N27" s="217">
        <v>170</v>
      </c>
      <c r="O27" s="218">
        <v>125</v>
      </c>
      <c r="P27" s="219">
        <f t="shared" si="49"/>
        <v>0.80033333333333334</v>
      </c>
      <c r="Q27" s="2"/>
      <c r="R27" s="220">
        <f>INDEX('[2]Flat Rates 2023'!$A:$DB,MATCH(T27,'[2]Flat Rates 2023'!$A:$A,0),MATCH(X27,'[2]Flat Rates 2023'!$A$1:$DB$1,0))</f>
        <v>25.45</v>
      </c>
      <c r="S27" s="220">
        <f>INDEX(Control!$E$17:$J$21,MATCH(W27,Control!$E$17:$E$21,0),MATCH(T27,Control!$E$17:$J$17,0))</f>
        <v>0.5</v>
      </c>
      <c r="T27" s="220" t="s">
        <v>63</v>
      </c>
      <c r="U27" s="213">
        <f>INDEX(Vessel_Minimum_MT,MATCH(W27,Control!$E$11:$E$15,0),MATCH(T27,Control!$E$11:$O$11,0))</f>
        <v>270000</v>
      </c>
      <c r="V27" s="222">
        <f>Z27/$BD$17</f>
        <v>257419.90846681921</v>
      </c>
      <c r="W27" s="215" t="s">
        <v>25</v>
      </c>
      <c r="X27" s="223" t="s">
        <v>100</v>
      </c>
      <c r="Y27" s="212" t="str">
        <f>IF(X27=T27,"",CONCATENATE(CONCATENATE(VLOOKUP(T27,Zones,2,FALSE),"/",VLOOKUP(X27,Zones,2,FALSE))))</f>
        <v>Panama WC/KOREA</v>
      </c>
      <c r="Z27" s="214">
        <v>2000000</v>
      </c>
      <c r="AA27" s="214">
        <v>1001</v>
      </c>
      <c r="AB27" s="224">
        <v>2800000</v>
      </c>
      <c r="AC27" s="225">
        <f t="shared" si="50"/>
        <v>1.4</v>
      </c>
      <c r="AD27" s="226">
        <v>2</v>
      </c>
      <c r="AE27" s="214">
        <f>IF(INDEX(Index,MATCH(X27,TVM_PortList,0),MATCH("Type",Control!$Q$3:$U$3,0))="BL",$A$8+INDEX(Index,MATCH(T27,TVM_PortList,0),MATCH("Payment",Control!$Q$3:$U$3,0)),$A$8+INDEX(Index,MATCH(X27,TVM_PortList,0),MATCH("Payment",Control!$Q$3:$U$3,0))+AW27)-DATE(YEAR($A$8),MONTH(EOMONTH($A$8,1)),20)</f>
        <v>386</v>
      </c>
      <c r="AF27" s="227">
        <f>AD27*VLOOKUP($W27,$BF$9:$BH$13,3,FALSE)/$Z27</f>
        <v>3.3000000000000002E-2</v>
      </c>
      <c r="AG27" s="227">
        <f>IF(AE27&lt;0,0,$AE27*$BD$11)</f>
        <v>1.9035616438356164</v>
      </c>
      <c r="AH27" s="227"/>
      <c r="AI27" s="227">
        <f>IF(G27="LIZA FPSO",$BD$10,0)</f>
        <v>0</v>
      </c>
      <c r="AJ27" s="227">
        <v>0</v>
      </c>
      <c r="AK27" s="227">
        <f t="shared" si="51"/>
        <v>5.0000000000000001E-3</v>
      </c>
      <c r="AL27" s="227">
        <f t="shared" si="52"/>
        <v>2.9999999999999997E-4</v>
      </c>
      <c r="AM27" s="227">
        <f>IF(INDEX(Control!$Q$3:$S$62,MATCH($X27,Control!$Q$3:$Q$62,0),MATCH(AM$8,Control!$Q$3:$S$3,0))=1,$BD$14*$BE$14,0)</f>
        <v>0.18</v>
      </c>
      <c r="AN27" s="227" t="e">
        <f>IF(INDEX(Control!$Q$3:$S$62,MATCH($X27,Control!$Q$3:$Q$62,0),MATCH(AN$8,Control!$Q$3:$S$3,0))=1,$BD$15/$Z27,0)</f>
        <v>#N/A</v>
      </c>
      <c r="AO27" s="227">
        <f t="shared" si="53"/>
        <v>0</v>
      </c>
      <c r="AP27" s="227">
        <f>IF(AND(J27="Chiriqui Grande",T27="Puerto Armuelles"),$BG$18,0)</f>
        <v>0.55000000000000004</v>
      </c>
      <c r="AQ27" s="225" t="e">
        <f t="shared" si="54"/>
        <v>#N/A</v>
      </c>
      <c r="AR27" s="225" t="e">
        <f>+P27+AC27+AQ27</f>
        <v>#N/A</v>
      </c>
      <c r="AS27" s="225" t="e">
        <f t="shared" si="55"/>
        <v>#N/A</v>
      </c>
      <c r="AT27" s="225">
        <f t="shared" si="56"/>
        <v>0</v>
      </c>
      <c r="AU27" s="135" t="e">
        <f>$L$3+AR27+AS27+AT27</f>
        <v>#N/A</v>
      </c>
      <c r="AV27" s="220"/>
      <c r="AW27" s="229">
        <f>INDEX('[1]Transit Time'!$A:$DC,MATCH(G27,'[1]Transit Time'!$A:$A,0),MATCH(J27,'[1]Transit Time'!$A$1:$DC$1,0))+INDEX('[1]Transit Time'!$A:$DC,MATCH(J27,'[1]Transit Time'!$A:$A,0),MATCH(T27,'[1]Transit Time'!$A$1:$DC$1,0))+INDEX('[1]Transit Time'!$A:$DC,MATCH(T27,'[1]Transit Time'!$A:$A,0),MATCH(X27,'[1]Transit Time'!$A$1:$DC$1,0))</f>
        <v>46</v>
      </c>
      <c r="AX27" s="220"/>
      <c r="AY27" s="230">
        <f>IF(ISBLANK(A27),"",A27+$AW27)</f>
        <v>45687</v>
      </c>
      <c r="AZ27" s="230">
        <f>IFERROR(IF(ISBLANK(B27),"",B27+$AW27),"")</f>
        <v>45689</v>
      </c>
      <c r="BB27"/>
      <c r="BC27"/>
      <c r="BD27"/>
      <c r="BE27"/>
      <c r="BF27"/>
      <c r="BG27"/>
      <c r="BH27"/>
      <c r="BI27"/>
      <c r="BJ27"/>
      <c r="BK27"/>
    </row>
    <row r="28" spans="1:63" ht="17.25" customHeight="1" thickBot="1" x14ac:dyDescent="0.5">
      <c r="A28"/>
      <c r="B28"/>
      <c r="D28" s="1057"/>
      <c r="E28" s="1058"/>
      <c r="F28" s="1058"/>
      <c r="G28" s="1058"/>
      <c r="H28" s="1058"/>
      <c r="I28" s="1058"/>
      <c r="J28" s="1058"/>
      <c r="K28" s="1058"/>
      <c r="L28" s="1058"/>
      <c r="M28" s="1058"/>
      <c r="N28" s="1058"/>
      <c r="O28" s="1058"/>
      <c r="P28" s="1059"/>
      <c r="Q28" s="2"/>
      <c r="R28" s="9"/>
      <c r="S28" s="9"/>
      <c r="T28" s="9"/>
      <c r="U28" s="129"/>
      <c r="V28" s="9"/>
      <c r="W28" s="1057" t="s">
        <v>338</v>
      </c>
      <c r="X28" s="1058"/>
      <c r="Y28" s="1058"/>
      <c r="Z28" s="1058"/>
      <c r="AA28" s="1058"/>
      <c r="AB28" s="1058"/>
      <c r="AC28" s="1058"/>
      <c r="AD28" s="1058"/>
      <c r="AE28" s="1058"/>
      <c r="AF28" s="1058"/>
      <c r="AG28" s="1058"/>
      <c r="AH28" s="1058"/>
      <c r="AI28" s="1058"/>
      <c r="AJ28" s="1058"/>
      <c r="AK28" s="1058"/>
      <c r="AL28" s="1058"/>
      <c r="AM28" s="1058"/>
      <c r="AN28" s="1058"/>
      <c r="AO28" s="1058"/>
      <c r="AP28" s="1058"/>
      <c r="AQ28" s="1058"/>
      <c r="AR28" s="1058"/>
      <c r="AS28" s="1058"/>
      <c r="AT28" s="1058"/>
      <c r="AU28" s="1059"/>
      <c r="AW28"/>
      <c r="AY28"/>
      <c r="AZ28"/>
      <c r="BB28"/>
      <c r="BC28" s="76"/>
      <c r="BD28"/>
      <c r="BE28"/>
      <c r="BF28"/>
      <c r="BG28"/>
      <c r="BH28"/>
      <c r="BI28"/>
      <c r="BJ28"/>
      <c r="BK28"/>
    </row>
    <row r="29" spans="1:63" ht="29.5" customHeight="1" thickBot="1" x14ac:dyDescent="0.4">
      <c r="A29" s="1005" t="s">
        <v>167</v>
      </c>
      <c r="B29" s="1005"/>
      <c r="D29" s="120" t="s">
        <v>276</v>
      </c>
      <c r="E29" s="152" t="s">
        <v>172</v>
      </c>
      <c r="F29" s="152" t="s">
        <v>2</v>
      </c>
      <c r="G29" s="152" t="s">
        <v>173</v>
      </c>
      <c r="H29" s="152" t="s">
        <v>174</v>
      </c>
      <c r="I29" s="125" t="s">
        <v>175</v>
      </c>
      <c r="J29" s="152" t="s">
        <v>177</v>
      </c>
      <c r="K29" s="152" t="s">
        <v>178</v>
      </c>
      <c r="L29" s="122" t="s">
        <v>176</v>
      </c>
      <c r="M29" s="120" t="s">
        <v>200</v>
      </c>
      <c r="N29" s="120" t="s">
        <v>277</v>
      </c>
      <c r="O29" s="121" t="s">
        <v>202</v>
      </c>
      <c r="P29" s="123" t="s">
        <v>335</v>
      </c>
      <c r="Q29" s="2"/>
      <c r="R29" s="120" t="s">
        <v>172</v>
      </c>
      <c r="S29" s="120" t="e">
        <f>INDEX(Control!$E$17:$J$21,MATCH(W29,Control!$E$17:$E$21,0),MATCH(T29,Control!$E$17:$J$17,0))</f>
        <v>#N/A</v>
      </c>
      <c r="T29" s="120" t="s">
        <v>173</v>
      </c>
      <c r="U29" s="152" t="str">
        <f>$U$8</f>
        <v>Vessel MT</v>
      </c>
      <c r="V29" s="120" t="s">
        <v>175</v>
      </c>
      <c r="W29" s="120" t="s">
        <v>176</v>
      </c>
      <c r="X29" s="120" t="s">
        <v>177</v>
      </c>
      <c r="Y29" s="120" t="s">
        <v>178</v>
      </c>
      <c r="Z29" s="120" t="s">
        <v>200</v>
      </c>
      <c r="AA29" s="146" t="s">
        <v>201</v>
      </c>
      <c r="AB29" s="128" t="s">
        <v>202</v>
      </c>
      <c r="AC29" s="150" t="s">
        <v>182</v>
      </c>
      <c r="AD29" s="136" t="s">
        <v>137</v>
      </c>
      <c r="AE29" s="146" t="s">
        <v>281</v>
      </c>
      <c r="AF29" s="136" t="s">
        <v>184</v>
      </c>
      <c r="AG29" s="136" t="s">
        <v>140</v>
      </c>
      <c r="AH29" s="136" t="str">
        <f>AH25</f>
        <v>STS</v>
      </c>
      <c r="AI29" s="136" t="s">
        <v>186</v>
      </c>
      <c r="AJ29" s="136" t="s">
        <v>187</v>
      </c>
      <c r="AK29" s="136" t="s">
        <v>141</v>
      </c>
      <c r="AL29" s="136" t="s">
        <v>188</v>
      </c>
      <c r="AM29" s="136" t="s">
        <v>17</v>
      </c>
      <c r="AN29" s="136" t="s">
        <v>207</v>
      </c>
      <c r="AO29" s="136" t="s">
        <v>189</v>
      </c>
      <c r="AP29" s="136" t="s">
        <v>152</v>
      </c>
      <c r="AQ29" s="150" t="s">
        <v>208</v>
      </c>
      <c r="AR29" s="150" t="s">
        <v>209</v>
      </c>
      <c r="AS29" s="150" t="s">
        <v>210</v>
      </c>
      <c r="AT29" s="150" t="str">
        <f>AT25</f>
        <v>Basis</v>
      </c>
      <c r="AU29" s="137" t="s">
        <v>211</v>
      </c>
      <c r="AW29" s="137" t="s">
        <v>195</v>
      </c>
      <c r="AY29" s="1011" t="s">
        <v>196</v>
      </c>
      <c r="AZ29" s="1005"/>
      <c r="BB29"/>
      <c r="BC29"/>
      <c r="BD29"/>
      <c r="BE29"/>
      <c r="BF29"/>
      <c r="BG29"/>
      <c r="BH29"/>
      <c r="BI29"/>
      <c r="BJ29"/>
      <c r="BK29"/>
    </row>
    <row r="30" spans="1:63" ht="16" thickBot="1" x14ac:dyDescent="0.4">
      <c r="A30" s="163">
        <f t="shared" ref="A30:A39" si="57">+$A$9</f>
        <v>45641</v>
      </c>
      <c r="B30" s="163">
        <f t="shared" ref="B30:B39" si="58">IF(ISBLANK(A30),"",A30+2)</f>
        <v>45643</v>
      </c>
      <c r="D30" s="390"/>
      <c r="E30" s="391">
        <f>IF(G30=J30,0,INDEX('[2]Flat Rates 2023'!$A:$DB,MATCH(G30,'[2]Flat Rates 2023'!$A:$A,0),MATCH(J30,'[2]Flat Rates 2023'!$A$1:$DB$1,0)))</f>
        <v>0</v>
      </c>
      <c r="F30" s="391">
        <f>INDEX(Control!$E$17:$O$21,MATCH(L30,Control!$E$17:$E$21,0),MATCH(G30,Control!$E$17:$O$17,0))</f>
        <v>0</v>
      </c>
      <c r="G30" s="391" t="s">
        <v>336</v>
      </c>
      <c r="H30" s="392">
        <f>INDEX(Vessel_Minimum_MT,MATCH(L30,Control!$E$11:$E$15,0),MATCH(G30,Control!$E$11:$O$11,0))</f>
        <v>70000</v>
      </c>
      <c r="I30" s="392">
        <f t="shared" ref="I30:I39" si="59">M30/$BD$17</f>
        <v>90096.96796338672</v>
      </c>
      <c r="J30" s="393" t="s">
        <v>336</v>
      </c>
      <c r="K30" s="391" t="str">
        <f t="shared" ref="K30:K39" si="60">IF(J30=G30,"",CONCATENATE(CONCATENATE(VLOOKUP(G30,Zones,2,FALSE),"/",VLOOKUP(J30,Zones,2,FALSE))))</f>
        <v/>
      </c>
      <c r="L30" s="394" t="s">
        <v>23</v>
      </c>
      <c r="M30" s="395">
        <v>700000</v>
      </c>
      <c r="N30" s="396">
        <v>0</v>
      </c>
      <c r="O30" s="397">
        <v>0</v>
      </c>
      <c r="P30" s="286">
        <f t="shared" ref="P30:P39" si="61">IF($G30="Esmeraldas",IF(N30&gt;1000,IF(O30=0,N30,O30)/M30*1.1,((H30*E30*(IF(O30=0,N30,O30)/100))+IF(I30&lt;H30,0,(I30-H30)*E30*IF(O30=0,N30,O30)/100*F30))/M30*1.1),IF(N30&gt;1000,IF(O30=0,N30,O30)/M30,((H30*E30*(IF(O30=0,N30,O30)/100))+IF(I30&lt;H30,0,(I30-H30)*E30*IF(O30=0,N30,O30)/100*F30)))/M30)</f>
        <v>0</v>
      </c>
      <c r="Q30" s="2"/>
      <c r="R30" s="138">
        <f>INDEX('[2]Flat Rates 2023'!$A:$DB,MATCH(T30,'[2]Flat Rates 2023'!$A:$A,0),MATCH(X30,'[2]Flat Rates 2023'!$A$1:$DB$1,0))</f>
        <v>46.22</v>
      </c>
      <c r="S30" s="138">
        <f>INDEX(Control!$E$17:$O$21,MATCH(W30,Control!$E$17:$E$21,0),MATCH(T30,Control!$E$17:$O$17,0))</f>
        <v>0</v>
      </c>
      <c r="T30" s="138" t="s">
        <v>336</v>
      </c>
      <c r="U30" s="116">
        <f>INDEX(Vessel_Minimum_MT,MATCH(W30,Control!$E$11:$E$15,0),MATCH(T30,Control!$E$11:$O$11,0))</f>
        <v>70000</v>
      </c>
      <c r="V30" s="140">
        <f t="shared" ref="V30:V39" si="62">Z30/$BD$17</f>
        <v>96532.465675057203</v>
      </c>
      <c r="W30" s="147" t="s">
        <v>23</v>
      </c>
      <c r="X30" s="164" t="s">
        <v>106</v>
      </c>
      <c r="Y30" s="142" t="str">
        <f t="shared" ref="Y30:Y39" si="63">IF(X30=T30,"",CONCATENATE(CONCATENATE(VLOOKUP(T30,Zones,2,FALSE),"/",VLOOKUP(X30,Zones,2,FALSE))))</f>
        <v>CARIBS/KOREA</v>
      </c>
      <c r="Z30" s="141">
        <v>750000</v>
      </c>
      <c r="AA30" s="141">
        <v>1001</v>
      </c>
      <c r="AB30" s="151">
        <v>2700000</v>
      </c>
      <c r="AC30" s="148">
        <f t="shared" ref="AC30:AC39" si="64">IF(AA30&gt;1000,IF(AB30=0,AA30,AB30)/Z30,((U30*R30*(IF(AB30=0,AA30,AB30)/100))+IF(V30&lt;U30,0,(V30-U30)*R30*IF(AB30=0,AA30,AB30)/100*S30))/Z30)</f>
        <v>3.6</v>
      </c>
      <c r="AD30" s="144"/>
      <c r="AE30" s="155">
        <f>IF(INDEX(Index,MATCH(X30,TVM_PortList,0),MATCH("Type",Control!$Q$3:$U$3,0))="BL",$A$8+INDEX(Index,MATCH(T30,TVM_PortList,0),MATCH("Payment",Control!$Q$3:$U$3,0)),$A$8+INDEX(Index,MATCH(X30,TVM_PortList,0),MATCH("Payment",Control!$Q$3:$U$3,0))+AW30)-DATE(YEAR($A$8),MONTH(EOMONTH($A$8,1)),20)</f>
        <v>377</v>
      </c>
      <c r="AF30" s="143">
        <f t="shared" ref="AF30:AF39" si="65">AD30*VLOOKUP($W30,$BF$9:$BH$13,3,FALSE)/$Z30</f>
        <v>0</v>
      </c>
      <c r="AG30" s="143">
        <f t="shared" ref="AG30:AG39" si="66">IF(AE30&lt;0,0,$AE30*$BD$11)</f>
        <v>1.8591780821917807</v>
      </c>
      <c r="AH30" s="143">
        <f t="shared" ref="AH30:AH39" si="67">IF(((Z30-VLOOKUP(W30,$BJ$10:$BK$14,2,FALSE))/$BD$18)&lt;=0,0,ROUNDUP(((Z30-VLOOKUP(W30,$BJ$10:$BK$14,2,FALSE))/$BD$18),0)*$BH$15/Z30)</f>
        <v>0</v>
      </c>
      <c r="AI30" s="143">
        <f t="shared" ref="AI30:AI39" si="68">IF(G30="LIZA FPSO",$BD$10,0)</f>
        <v>0</v>
      </c>
      <c r="AJ30" s="143">
        <v>0</v>
      </c>
      <c r="AK30" s="143">
        <f t="shared" ref="AK30:AK39" si="69">$BD$12</f>
        <v>5.0000000000000001E-3</v>
      </c>
      <c r="AL30" s="143">
        <f t="shared" ref="AL30:AL39" si="70">$BD$13</f>
        <v>2.9999999999999997E-4</v>
      </c>
      <c r="AM30" s="143">
        <f>IF(INDEX(Control!$Q$3:$S$62,MATCH($X30,Control!$Q$3:$Q$62,0),MATCH(AM$8,Control!$Q$3:$S$3,0))=1,$BD$14*$BE$14,0)</f>
        <v>0.18</v>
      </c>
      <c r="AN30" s="143" t="e">
        <f>IF(INDEX(Control!$Q$3:$S$62,MATCH($X30,Control!$Q$3:$Q$62,0),MATCH(AN$8,Control!$Q$3:$S$3,0))=1,$BD$15/$Z30,0)</f>
        <v>#N/A</v>
      </c>
      <c r="AO30" s="143">
        <f t="shared" ref="AO30:AO39" si="71">$BD$16</f>
        <v>0</v>
      </c>
      <c r="AP30" s="143">
        <f t="shared" ref="AP30:AP39" si="72">IF(AND(J30="Chiriqui Grande",T30="Puerto Armuelles"),$BG$18,0)</f>
        <v>0</v>
      </c>
      <c r="AQ30" s="149" t="e">
        <f t="shared" ref="AQ30:AQ35" si="73">SUM(AF30:AP30)</f>
        <v>#N/A</v>
      </c>
      <c r="AR30" s="149" t="e">
        <f t="shared" ref="AR30:AR39" si="74">+P30+AC30+AQ30</f>
        <v>#N/A</v>
      </c>
      <c r="AS30" s="149" t="e">
        <f t="shared" ref="AS30:AS39" si="75">IF(MONTH(A30)=MONTH(AZ30),0,IF(MONTH(AZ30)-MONTH(A30)&gt;1,VLOOKUP("Spreads",$AQ$3:$AU$4,MATCH(EOMONTH(AZ30,0),$AQ$3:$AU$3,0),FALSE)+VLOOKUP("Spreads",$AQ$3:$AU$4,MATCH(EOMONTH(AZ30,-1),$AQ$3:$AU$3,0),FALSE),VLOOKUP("Spreads",$AQ$3:$AU$4,MATCH(EOMONTH(AZ30,0),$AQ$3:$AU$3,0))))</f>
        <v>#N/A</v>
      </c>
      <c r="AT30" s="149">
        <f t="shared" ref="AT30:AT39" si="76">+IF($AQ$3=1,HLOOKUP(EOMONTH(AZ30,0),$AR$3:$AU$6,4,FALSE),IF($AQ$3=2,HLOOKUP(EOMONTH(AZ30,0),$AR$3:$AU$6,3,FALSE),0))</f>
        <v>0</v>
      </c>
      <c r="AU30" s="110" t="e">
        <f t="shared" ref="AU30:AU39" si="77">$L$3+AR30+AS30+AT30</f>
        <v>#N/A</v>
      </c>
      <c r="AW30" s="153">
        <v>37</v>
      </c>
      <c r="AY30" s="163">
        <f t="shared" ref="AY30:AY39" si="78">IF(ISBLANK(A30),"",A30+$AW30)</f>
        <v>45678</v>
      </c>
      <c r="AZ30" s="389">
        <v>44620</v>
      </c>
      <c r="BB30"/>
      <c r="BC30" s="308"/>
      <c r="BD30" s="308"/>
      <c r="BE30"/>
      <c r="BF30"/>
      <c r="BG30"/>
      <c r="BH30"/>
      <c r="BI30"/>
      <c r="BJ30"/>
      <c r="BK30"/>
    </row>
    <row r="31" spans="1:63" x14ac:dyDescent="0.35">
      <c r="A31" s="230">
        <f t="shared" si="57"/>
        <v>45641</v>
      </c>
      <c r="B31" s="230">
        <f t="shared" si="58"/>
        <v>45643</v>
      </c>
      <c r="D31" s="278"/>
      <c r="E31" s="279">
        <f>IF(G31=J31,0,INDEX('[2]Flat Rates 2023'!$A:$DB,MATCH(G31,'[2]Flat Rates 2023'!$A:$A,0),MATCH(J31,'[2]Flat Rates 2023'!$A$1:$DB$1,0)))</f>
        <v>0</v>
      </c>
      <c r="F31" s="279">
        <f>INDEX(Control!$E$17:$O$21,MATCH(L31,Control!$E$17:$E$21,0),MATCH(G31,Control!$E$17:$O$17,0))</f>
        <v>0</v>
      </c>
      <c r="G31" s="279" t="s">
        <v>336</v>
      </c>
      <c r="H31" s="392">
        <f>INDEX(Vessel_Minimum_MT,MATCH(L31,Control!$E$11:$E$15,0),MATCH(G31,Control!$E$11:$O$11,0))</f>
        <v>70000</v>
      </c>
      <c r="I31" s="281">
        <f t="shared" si="59"/>
        <v>90096.96796338672</v>
      </c>
      <c r="J31" s="279" t="s">
        <v>336</v>
      </c>
      <c r="K31" s="279" t="str">
        <f t="shared" si="60"/>
        <v/>
      </c>
      <c r="L31" s="282" t="s">
        <v>23</v>
      </c>
      <c r="M31" s="281">
        <v>700000</v>
      </c>
      <c r="N31" s="283">
        <v>0</v>
      </c>
      <c r="O31" s="284">
        <v>0</v>
      </c>
      <c r="P31" s="398">
        <f t="shared" si="61"/>
        <v>0</v>
      </c>
      <c r="Q31" s="2"/>
      <c r="R31" s="220">
        <f>INDEX('[2]Flat Rates 2023'!$A:$DB,MATCH(T31,'[2]Flat Rates 2023'!$A:$A,0),MATCH(X31,'[2]Flat Rates 2023'!$A$1:$DB$1,0))</f>
        <v>46.48</v>
      </c>
      <c r="S31" s="220">
        <f>INDEX(Control!$E$17:$O$21,MATCH(W31,Control!$E$17:$E$21,0),MATCH(T31,Control!$E$17:$O$17,0))</f>
        <v>0.5</v>
      </c>
      <c r="T31" s="220" t="s">
        <v>336</v>
      </c>
      <c r="U31" s="213">
        <f>INDEX(Vessel_Minimum_MT,MATCH(W31,Control!$E$11:$E$15,0),MATCH(T31,Control!$E$11:$O$11,0))</f>
        <v>270000</v>
      </c>
      <c r="V31" s="222">
        <f t="shared" si="62"/>
        <v>263855.40617848968</v>
      </c>
      <c r="W31" s="215" t="s">
        <v>25</v>
      </c>
      <c r="X31" s="223" t="s">
        <v>100</v>
      </c>
      <c r="Y31" s="212" t="str">
        <f t="shared" si="63"/>
        <v>CARIBS/KOREA</v>
      </c>
      <c r="Z31" s="214">
        <f>$Z$35</f>
        <v>2050000</v>
      </c>
      <c r="AA31" s="214">
        <v>1001</v>
      </c>
      <c r="AB31" s="224">
        <f>AB35</f>
        <v>54650000</v>
      </c>
      <c r="AC31" s="225">
        <f t="shared" si="64"/>
        <v>26.658536585365855</v>
      </c>
      <c r="AD31" s="226">
        <v>5</v>
      </c>
      <c r="AE31" s="214">
        <f>IF(INDEX(Index,MATCH(X31,TVM_PortList,0),MATCH("Type",Control!$Q$3:$U$3,0))="BL",$A$8+INDEX(Index,MATCH(T31,TVM_PortList,0),MATCH("Payment",Control!$Q$3:$U$3,0)),$A$8+INDEX(Index,MATCH(X31,TVM_PortList,0),MATCH("Payment",Control!$Q$3:$U$3,0))+AW31)-DATE(YEAR($A$8),MONTH(EOMONTH($A$8,1)),20)</f>
        <v>382</v>
      </c>
      <c r="AF31" s="227">
        <f t="shared" si="65"/>
        <v>8.0487804878048783E-2</v>
      </c>
      <c r="AG31" s="227">
        <f t="shared" si="66"/>
        <v>1.8838356164383561</v>
      </c>
      <c r="AH31" s="227">
        <f t="shared" si="67"/>
        <v>0</v>
      </c>
      <c r="AI31" s="227">
        <f t="shared" si="68"/>
        <v>0</v>
      </c>
      <c r="AJ31" s="227">
        <v>0</v>
      </c>
      <c r="AK31" s="227">
        <f t="shared" si="69"/>
        <v>5.0000000000000001E-3</v>
      </c>
      <c r="AL31" s="227">
        <f t="shared" si="70"/>
        <v>2.9999999999999997E-4</v>
      </c>
      <c r="AM31" s="227">
        <f>IF(INDEX(Control!$Q$3:$S$62,MATCH($X31,Control!$Q$3:$Q$62,0),MATCH(AM$8,Control!$Q$3:$S$3,0))=1,$BD$14*$BE$14,0)</f>
        <v>0.18</v>
      </c>
      <c r="AN31" s="227" t="e">
        <f>IF(INDEX(Control!$Q$3:$S$62,MATCH($X31,Control!$Q$3:$Q$62,0),MATCH(AN$8,Control!$Q$3:$S$3,0))=1,$BD$15/$Z31,0)</f>
        <v>#N/A</v>
      </c>
      <c r="AO31" s="227">
        <f t="shared" si="71"/>
        <v>0</v>
      </c>
      <c r="AP31" s="227">
        <f t="shared" si="72"/>
        <v>0</v>
      </c>
      <c r="AQ31" s="225" t="e">
        <f t="shared" si="73"/>
        <v>#N/A</v>
      </c>
      <c r="AR31" s="225" t="e">
        <f t="shared" si="74"/>
        <v>#N/A</v>
      </c>
      <c r="AS31" s="225" t="e">
        <f t="shared" si="75"/>
        <v>#N/A</v>
      </c>
      <c r="AT31" s="225">
        <f t="shared" si="76"/>
        <v>0</v>
      </c>
      <c r="AU31" s="135" t="e">
        <f t="shared" si="77"/>
        <v>#N/A</v>
      </c>
      <c r="AV31" s="220"/>
      <c r="AW31" s="229">
        <f>INDEX('[1]Transit Time'!$A:$DC,MATCH(G31,'[1]Transit Time'!$A:$A,0),MATCH(J31,'[1]Transit Time'!$A$1:$DC$1,0))+INDEX('[1]Transit Time'!$A:$DC,MATCH(J31,'[1]Transit Time'!$A:$A,0),MATCH(T31,'[1]Transit Time'!$A$1:$DC$1,0))+INDEX('[1]Transit Time'!$A:$DC,MATCH(T31,'[1]Transit Time'!$A:$A,0),MATCH(X31,'[1]Transit Time'!$A$1:$DC$1,0))</f>
        <v>42</v>
      </c>
      <c r="AX31" s="220"/>
      <c r="AY31" s="230">
        <f t="shared" si="78"/>
        <v>45683</v>
      </c>
      <c r="AZ31" s="209">
        <f t="shared" ref="AZ31:AZ39" si="79">IFERROR(IF(ISBLANK(B31),"",B31+$AW31),"")</f>
        <v>45685</v>
      </c>
      <c r="BB31"/>
      <c r="BC31" s="308"/>
      <c r="BD31" s="308"/>
      <c r="BE31"/>
      <c r="BF31"/>
      <c r="BG31"/>
      <c r="BH31"/>
      <c r="BI31"/>
      <c r="BJ31"/>
      <c r="BK31"/>
    </row>
    <row r="32" spans="1:63" x14ac:dyDescent="0.35">
      <c r="A32" s="163">
        <f t="shared" si="57"/>
        <v>45641</v>
      </c>
      <c r="B32" s="163">
        <f t="shared" si="58"/>
        <v>45643</v>
      </c>
      <c r="D32" s="390"/>
      <c r="E32" s="393">
        <f>IF(G32=J32,0,INDEX('[2]Flat Rates 2023'!$A:$DB,MATCH(G32,'[2]Flat Rates 2023'!$A:$A,0),MATCH(J32,'[2]Flat Rates 2023'!$A$1:$DB$1,0)))</f>
        <v>0</v>
      </c>
      <c r="F32" s="393">
        <f>INDEX(Control!$E$17:$O$21,MATCH(L32,Control!$E$17:$E$21,0),MATCH(G32,Control!$E$17:$O$17,0))</f>
        <v>0</v>
      </c>
      <c r="G32" s="393" t="str">
        <f t="shared" ref="G32:G39" si="80">$G$9</f>
        <v>LIZA FPSO</v>
      </c>
      <c r="H32" s="392">
        <f>INDEX(Vessel_Minimum_MT,MATCH(L32,Control!$E$11:$E$15,0),MATCH(G32,Control!$E$11:$O$11,0))</f>
        <v>70000</v>
      </c>
      <c r="I32" s="395">
        <f t="shared" si="59"/>
        <v>90096.96796338672</v>
      </c>
      <c r="J32" s="393" t="s">
        <v>336</v>
      </c>
      <c r="K32" s="393" t="str">
        <f t="shared" si="60"/>
        <v/>
      </c>
      <c r="L32" s="394" t="s">
        <v>23</v>
      </c>
      <c r="M32" s="395">
        <v>700000</v>
      </c>
      <c r="N32" s="399">
        <v>0</v>
      </c>
      <c r="O32" s="400">
        <v>0</v>
      </c>
      <c r="P32" s="286">
        <f t="shared" si="61"/>
        <v>0</v>
      </c>
      <c r="Q32" s="2"/>
      <c r="R32" s="138">
        <f>INDEX('[2]Flat Rates 2023'!$A:$DB,MATCH(T32,'[2]Flat Rates 2023'!$A:$A,0),MATCH(X32,'[2]Flat Rates 2023'!$A$1:$DB$1,0))</f>
        <v>48.16</v>
      </c>
      <c r="S32" s="138">
        <f>INDEX(Control!$E$17:$O$21,MATCH(W32,Control!$E$17:$E$21,0),MATCH(T32,Control!$E$17:$O$17,0))</f>
        <v>0.5</v>
      </c>
      <c r="T32" s="138" t="s">
        <v>336</v>
      </c>
      <c r="U32" s="116">
        <f>INDEX(Vessel_Minimum_MT,MATCH(W32,Control!$E$11:$E$15,0),MATCH(T32,Control!$E$11:$O$11,0))</f>
        <v>145000</v>
      </c>
      <c r="V32" s="140">
        <f t="shared" si="62"/>
        <v>128709.9542334096</v>
      </c>
      <c r="W32" s="147" t="s">
        <v>24</v>
      </c>
      <c r="X32" s="164" t="s">
        <v>51</v>
      </c>
      <c r="Y32" s="142" t="str">
        <f t="shared" si="63"/>
        <v>CARIBS/JAPAN</v>
      </c>
      <c r="Z32" s="141">
        <v>1000000</v>
      </c>
      <c r="AA32" s="141">
        <v>1001</v>
      </c>
      <c r="AB32" s="49">
        <f>AB34</f>
        <v>54000000</v>
      </c>
      <c r="AC32" s="149">
        <f t="shared" si="64"/>
        <v>54</v>
      </c>
      <c r="AD32" s="144">
        <v>5</v>
      </c>
      <c r="AE32" s="141">
        <f>IF(INDEX(Index,MATCH(X32,TVM_PortList,0),MATCH("Type",Control!$Q$3:$U$3,0))="BL",$A$8+INDEX(Index,MATCH(T32,TVM_PortList,0),MATCH("Payment",Control!$Q$3:$U$3,0)),$A$8+INDEX(Index,MATCH(X32,TVM_PortList,0),MATCH("Payment",Control!$Q$3:$U$3,0))+AW32)-DATE(YEAR($A$8),MONTH(EOMONTH($A$8,1)),20)</f>
        <v>385</v>
      </c>
      <c r="AF32" s="143">
        <f t="shared" si="65"/>
        <v>0.115</v>
      </c>
      <c r="AG32" s="143">
        <f t="shared" si="66"/>
        <v>1.8986301369863012</v>
      </c>
      <c r="AH32" s="143">
        <f t="shared" si="67"/>
        <v>0</v>
      </c>
      <c r="AI32" s="143">
        <f t="shared" si="68"/>
        <v>0</v>
      </c>
      <c r="AJ32" s="143">
        <v>0</v>
      </c>
      <c r="AK32" s="143">
        <f t="shared" si="69"/>
        <v>5.0000000000000001E-3</v>
      </c>
      <c r="AL32" s="143">
        <f t="shared" si="70"/>
        <v>2.9999999999999997E-4</v>
      </c>
      <c r="AM32" s="143">
        <f>IF(INDEX(Control!$Q$3:$S$62,MATCH($X32,Control!$Q$3:$Q$62,0),MATCH(AM$8,Control!$Q$3:$S$3,0))=1,$BD$14*$BE$14,0)</f>
        <v>0.18</v>
      </c>
      <c r="AN32" s="143" t="e">
        <f>IF(INDEX(Control!$Q$3:$S$62,MATCH($X32,Control!$Q$3:$Q$62,0),MATCH(AN$8,Control!$Q$3:$S$3,0))=1,$BD$15/$Z32,0)</f>
        <v>#N/A</v>
      </c>
      <c r="AO32" s="143">
        <f t="shared" si="71"/>
        <v>0</v>
      </c>
      <c r="AP32" s="143">
        <f t="shared" si="72"/>
        <v>0</v>
      </c>
      <c r="AQ32" s="149" t="e">
        <f t="shared" si="73"/>
        <v>#N/A</v>
      </c>
      <c r="AR32" s="200" t="e">
        <f t="shared" si="74"/>
        <v>#N/A</v>
      </c>
      <c r="AS32" s="149" t="e">
        <f t="shared" si="75"/>
        <v>#N/A</v>
      </c>
      <c r="AT32" s="149">
        <f t="shared" si="76"/>
        <v>0</v>
      </c>
      <c r="AU32" s="145" t="e">
        <f t="shared" si="77"/>
        <v>#N/A</v>
      </c>
      <c r="AW32" s="153">
        <f>INDEX('[1]Transit Time'!$A:$DC,MATCH(G32,'[1]Transit Time'!$A:$A,0),MATCH(J32,'[1]Transit Time'!$A$1:$DC$1,0))+INDEX('[1]Transit Time'!$A:$DC,MATCH(J32,'[1]Transit Time'!$A:$A,0),MATCH(T32,'[1]Transit Time'!$A$1:$DC$1,0))+INDEX('[1]Transit Time'!$A:$DC,MATCH(T32,'[1]Transit Time'!$A:$A,0),MATCH(X32,'[1]Transit Time'!$A$1:$DC$1,0))</f>
        <v>45</v>
      </c>
      <c r="AY32" s="163">
        <f t="shared" si="78"/>
        <v>45686</v>
      </c>
      <c r="AZ32" s="163">
        <f t="shared" si="79"/>
        <v>45688</v>
      </c>
      <c r="BB32"/>
      <c r="BC32"/>
      <c r="BD32"/>
      <c r="BE32"/>
      <c r="BF32"/>
      <c r="BG32"/>
      <c r="BH32"/>
      <c r="BI32"/>
      <c r="BJ32"/>
      <c r="BK32"/>
    </row>
    <row r="33" spans="1:63" ht="16" thickBot="1" x14ac:dyDescent="0.4">
      <c r="A33" s="230">
        <f t="shared" si="57"/>
        <v>45641</v>
      </c>
      <c r="B33" s="230">
        <f t="shared" si="58"/>
        <v>45643</v>
      </c>
      <c r="D33" s="278"/>
      <c r="E33" s="279">
        <f>IF(G33=J33,0,INDEX('[2]Flat Rates 2023'!$A:$DB,MATCH(G33,'[2]Flat Rates 2023'!$A:$A,0),MATCH(J33,'[2]Flat Rates 2023'!$A$1:$DB$1,0)))</f>
        <v>0</v>
      </c>
      <c r="F33" s="279">
        <f>INDEX(Control!$E$17:$O$21,MATCH(L33,Control!$E$17:$E$21,0),MATCH(G33,Control!$E$17:$O$17,0))</f>
        <v>0</v>
      </c>
      <c r="G33" s="279" t="str">
        <f t="shared" si="80"/>
        <v>LIZA FPSO</v>
      </c>
      <c r="H33" s="392">
        <f>INDEX(Vessel_Minimum_MT,MATCH(L33,Control!$E$11:$E$15,0),MATCH(G33,Control!$E$11:$O$11,0))</f>
        <v>70000</v>
      </c>
      <c r="I33" s="281">
        <f t="shared" si="59"/>
        <v>90096.96796338672</v>
      </c>
      <c r="J33" s="279" t="s">
        <v>336</v>
      </c>
      <c r="K33" s="279" t="str">
        <f t="shared" si="60"/>
        <v/>
      </c>
      <c r="L33" s="282" t="s">
        <v>23</v>
      </c>
      <c r="M33" s="281">
        <v>700000</v>
      </c>
      <c r="N33" s="283">
        <v>0</v>
      </c>
      <c r="O33" s="284">
        <v>0</v>
      </c>
      <c r="P33" s="398">
        <f t="shared" si="61"/>
        <v>0</v>
      </c>
      <c r="Q33" s="2"/>
      <c r="R33" s="220">
        <f>INDEX('[2]Flat Rates 2023'!$A:$DB,MATCH(T33,'[2]Flat Rates 2023'!$A:$A,0),MATCH(X33,'[2]Flat Rates 2023'!$A$1:$DB$1,0))</f>
        <v>48.16</v>
      </c>
      <c r="S33" s="220">
        <f>INDEX(Control!$E$17:$O$21,MATCH(W33,Control!$E$17:$E$21,0),MATCH(T33,Control!$E$17:$O$17,0))</f>
        <v>0.5</v>
      </c>
      <c r="T33" s="220" t="s">
        <v>336</v>
      </c>
      <c r="U33" s="213">
        <f>INDEX(Vessel_Minimum_MT,MATCH(W33,Control!$E$11:$E$15,0),MATCH(T33,Control!$E$11:$O$11,0))</f>
        <v>270000</v>
      </c>
      <c r="V33" s="222">
        <f t="shared" si="62"/>
        <v>263855.40617848968</v>
      </c>
      <c r="W33" s="215" t="s">
        <v>25</v>
      </c>
      <c r="X33" s="223" t="s">
        <v>51</v>
      </c>
      <c r="Y33" s="212" t="str">
        <f t="shared" si="63"/>
        <v>CARIBS/JAPAN</v>
      </c>
      <c r="Z33" s="214">
        <f>$Z$35</f>
        <v>2050000</v>
      </c>
      <c r="AA33" s="214">
        <v>1001</v>
      </c>
      <c r="AB33" s="264">
        <f>AB35</f>
        <v>54650000</v>
      </c>
      <c r="AC33" s="225">
        <f t="shared" si="64"/>
        <v>26.658536585365855</v>
      </c>
      <c r="AD33" s="226">
        <v>5</v>
      </c>
      <c r="AE33" s="214">
        <f>IF(INDEX(Index,MATCH(X33,TVM_PortList,0),MATCH("Type",Control!$Q$3:$U$3,0))="BL",$A$8+INDEX(Index,MATCH(T33,TVM_PortList,0),MATCH("Payment",Control!$Q$3:$U$3,0)),$A$8+INDEX(Index,MATCH(X33,TVM_PortList,0),MATCH("Payment",Control!$Q$3:$U$3,0))+AW33)-DATE(YEAR($A$8),MONTH(EOMONTH($A$8,1)),20)</f>
        <v>385</v>
      </c>
      <c r="AF33" s="227">
        <f t="shared" si="65"/>
        <v>8.0487804878048783E-2</v>
      </c>
      <c r="AG33" s="227">
        <f t="shared" si="66"/>
        <v>1.8986301369863012</v>
      </c>
      <c r="AH33" s="227">
        <f t="shared" si="67"/>
        <v>0</v>
      </c>
      <c r="AI33" s="227">
        <f t="shared" si="68"/>
        <v>0</v>
      </c>
      <c r="AJ33" s="227">
        <v>0</v>
      </c>
      <c r="AK33" s="227">
        <f t="shared" si="69"/>
        <v>5.0000000000000001E-3</v>
      </c>
      <c r="AL33" s="227">
        <f t="shared" si="70"/>
        <v>2.9999999999999997E-4</v>
      </c>
      <c r="AM33" s="227">
        <f>IF(INDEX(Control!$Q$3:$S$62,MATCH($X33,Control!$Q$3:$Q$62,0),MATCH(AM$8,Control!$Q$3:$S$3,0))=1,$BD$14*$BE$14,0)</f>
        <v>0.18</v>
      </c>
      <c r="AN33" s="227" t="e">
        <f>IF(INDEX(Control!$Q$3:$S$62,MATCH($X33,Control!$Q$3:$Q$62,0),MATCH(AN$8,Control!$Q$3:$S$3,0))=1,$BD$15/$Z33,0)</f>
        <v>#N/A</v>
      </c>
      <c r="AO33" s="227">
        <f t="shared" si="71"/>
        <v>0</v>
      </c>
      <c r="AP33" s="227">
        <f t="shared" si="72"/>
        <v>0</v>
      </c>
      <c r="AQ33" s="225" t="e">
        <f t="shared" si="73"/>
        <v>#N/A</v>
      </c>
      <c r="AR33" s="225" t="e">
        <f t="shared" si="74"/>
        <v>#N/A</v>
      </c>
      <c r="AS33" s="225" t="e">
        <f t="shared" si="75"/>
        <v>#N/A</v>
      </c>
      <c r="AT33" s="225">
        <f t="shared" si="76"/>
        <v>0</v>
      </c>
      <c r="AU33" s="135" t="e">
        <f t="shared" si="77"/>
        <v>#N/A</v>
      </c>
      <c r="AV33" s="220"/>
      <c r="AW33" s="229">
        <f>INDEX('[1]Transit Time'!$A:$DC,MATCH(G33,'[1]Transit Time'!$A:$A,0),MATCH(J33,'[1]Transit Time'!$A$1:$DC$1,0))+INDEX('[1]Transit Time'!$A:$DC,MATCH(J33,'[1]Transit Time'!$A:$A,0),MATCH(T33,'[1]Transit Time'!$A$1:$DC$1,0))+INDEX('[1]Transit Time'!$A:$DC,MATCH(T33,'[1]Transit Time'!$A:$A,0),MATCH(X33,'[1]Transit Time'!$A$1:$DC$1,0))</f>
        <v>45</v>
      </c>
      <c r="AX33" s="220"/>
      <c r="AY33" s="230">
        <f t="shared" si="78"/>
        <v>45686</v>
      </c>
      <c r="AZ33" s="230">
        <f t="shared" si="79"/>
        <v>45688</v>
      </c>
      <c r="BB33"/>
      <c r="BC33"/>
      <c r="BD33"/>
      <c r="BE33"/>
      <c r="BF33"/>
      <c r="BG33"/>
      <c r="BH33"/>
      <c r="BI33"/>
      <c r="BJ33"/>
      <c r="BK33"/>
    </row>
    <row r="34" spans="1:63" ht="16" thickBot="1" x14ac:dyDescent="0.4">
      <c r="A34" s="163">
        <f t="shared" si="57"/>
        <v>45641</v>
      </c>
      <c r="B34" s="163">
        <f t="shared" si="58"/>
        <v>45643</v>
      </c>
      <c r="D34" s="390"/>
      <c r="E34" s="393">
        <f>IF(G34=J34,0,INDEX('[2]Flat Rates 2023'!$A:$DB,MATCH(G34,'[2]Flat Rates 2023'!$A:$A,0),MATCH(J34,'[2]Flat Rates 2023'!$A$1:$DB$1,0)))</f>
        <v>0</v>
      </c>
      <c r="F34" s="393">
        <f>INDEX(Control!$E$17:$O$21,MATCH(L34,Control!$E$17:$E$21,0),MATCH(G34,Control!$E$17:$O$17,0))</f>
        <v>0</v>
      </c>
      <c r="G34" s="393" t="str">
        <f t="shared" si="80"/>
        <v>LIZA FPSO</v>
      </c>
      <c r="H34" s="392">
        <f>INDEX(Vessel_Minimum_MT,MATCH(L34,Control!$E$11:$E$15,0),MATCH(G34,Control!$E$11:$O$11,0))</f>
        <v>70000</v>
      </c>
      <c r="I34" s="395">
        <f t="shared" si="59"/>
        <v>90096.96796338672</v>
      </c>
      <c r="J34" s="393" t="s">
        <v>336</v>
      </c>
      <c r="K34" s="393" t="str">
        <f t="shared" si="60"/>
        <v/>
      </c>
      <c r="L34" s="394" t="s">
        <v>23</v>
      </c>
      <c r="M34" s="395">
        <v>700000</v>
      </c>
      <c r="N34" s="399">
        <v>0</v>
      </c>
      <c r="O34" s="400">
        <v>0</v>
      </c>
      <c r="P34" s="286">
        <f t="shared" si="61"/>
        <v>0</v>
      </c>
      <c r="Q34" s="2"/>
      <c r="R34" s="138">
        <f>INDEX('[2]Flat Rates 2023'!$A:$DB,MATCH(T34,'[2]Flat Rates 2023'!$A:$A,0),MATCH(X34,'[2]Flat Rates 2023'!$A$1:$DB$1,0))</f>
        <v>46.22</v>
      </c>
      <c r="S34" s="138">
        <f>INDEX(Control!$E$17:$O$21,MATCH(W34,Control!$E$17:$E$21,0),MATCH(T34,Control!$E$17:$O$17,0))</f>
        <v>0.5</v>
      </c>
      <c r="T34" s="138" t="s">
        <v>336</v>
      </c>
      <c r="U34" s="116">
        <f>INDEX(Vessel_Minimum_MT,MATCH(W34,Control!$E$11:$E$15,0),MATCH(T34,Control!$E$11:$O$11,0))</f>
        <v>145000</v>
      </c>
      <c r="V34" s="140">
        <f t="shared" si="62"/>
        <v>128709.9542334096</v>
      </c>
      <c r="W34" s="147" t="s">
        <v>24</v>
      </c>
      <c r="X34" s="164" t="s">
        <v>106</v>
      </c>
      <c r="Y34" s="142" t="str">
        <f t="shared" si="63"/>
        <v>CARIBS/KOREA</v>
      </c>
      <c r="Z34" s="15">
        <v>1000000</v>
      </c>
      <c r="AA34" s="141">
        <v>1001</v>
      </c>
      <c r="AB34" s="265">
        <f>WTI!AD29</f>
        <v>54000000</v>
      </c>
      <c r="AC34" s="149">
        <f t="shared" si="64"/>
        <v>54</v>
      </c>
      <c r="AD34" s="28">
        <v>5</v>
      </c>
      <c r="AE34" s="141">
        <f>IF(INDEX(Index,MATCH(X34,TVM_PortList,0),MATCH("Type",Control!$Q$3:$U$3,0))="BL",$A$8+INDEX(Index,MATCH(T34,TVM_PortList,0),MATCH("Payment",Control!$Q$3:$U$3,0)),$A$8+INDEX(Index,MATCH(X34,TVM_PortList,0),MATCH("Payment",Control!$Q$3:$U$3,0))+AW34)-DATE(YEAR($A$8),MONTH(EOMONTH($A$8,1)),20)</f>
        <v>383</v>
      </c>
      <c r="AF34" s="143">
        <f t="shared" si="65"/>
        <v>0.115</v>
      </c>
      <c r="AG34" s="143">
        <f t="shared" si="66"/>
        <v>1.8887671232876713</v>
      </c>
      <c r="AH34" s="143">
        <f t="shared" si="67"/>
        <v>0</v>
      </c>
      <c r="AI34" s="143">
        <f t="shared" si="68"/>
        <v>0</v>
      </c>
      <c r="AJ34" s="143">
        <v>0</v>
      </c>
      <c r="AK34" s="143">
        <f t="shared" si="69"/>
        <v>5.0000000000000001E-3</v>
      </c>
      <c r="AL34" s="143">
        <f t="shared" si="70"/>
        <v>2.9999999999999997E-4</v>
      </c>
      <c r="AM34" s="143">
        <f>IF(INDEX(Control!$Q$3:$S$62,MATCH($X34,Control!$Q$3:$Q$62,0),MATCH(AM$8,Control!$Q$3:$S$3,0))=1,$BD$14*$BE$14,0)</f>
        <v>0.18</v>
      </c>
      <c r="AN34" s="143" t="e">
        <f>IF(INDEX(Control!$Q$3:$S$62,MATCH($X34,Control!$Q$3:$Q$62,0),MATCH(AN$8,Control!$Q$3:$S$3,0))=1,$BD$15/$Z34,0)</f>
        <v>#N/A</v>
      </c>
      <c r="AO34" s="143">
        <f t="shared" si="71"/>
        <v>0</v>
      </c>
      <c r="AP34" s="143">
        <f t="shared" si="72"/>
        <v>0</v>
      </c>
      <c r="AQ34" s="149" t="e">
        <f t="shared" si="73"/>
        <v>#N/A</v>
      </c>
      <c r="AR34" s="199" t="e">
        <f t="shared" si="74"/>
        <v>#N/A</v>
      </c>
      <c r="AS34" s="149" t="e">
        <f t="shared" si="75"/>
        <v>#N/A</v>
      </c>
      <c r="AT34" s="149">
        <f t="shared" si="76"/>
        <v>0</v>
      </c>
      <c r="AU34" s="145" t="e">
        <f t="shared" si="77"/>
        <v>#N/A</v>
      </c>
      <c r="AW34" s="153">
        <f>INDEX('[1]Transit Time'!$A:$DC,MATCH(G34,'[1]Transit Time'!$A:$A,0),MATCH(J34,'[1]Transit Time'!$A$1:$DC$1,0))+INDEX('[1]Transit Time'!$A:$DC,MATCH(J34,'[1]Transit Time'!$A:$A,0),MATCH(T34,'[1]Transit Time'!$A$1:$DC$1,0))+INDEX('[1]Transit Time'!$A:$DC,MATCH(T34,'[1]Transit Time'!$A:$A,0),MATCH(X34,'[1]Transit Time'!$A$1:$DC$1,0))</f>
        <v>43</v>
      </c>
      <c r="AY34" s="163">
        <f t="shared" si="78"/>
        <v>45684</v>
      </c>
      <c r="AZ34" s="163">
        <f t="shared" si="79"/>
        <v>45686</v>
      </c>
      <c r="BB34"/>
      <c r="BC34"/>
      <c r="BD34"/>
      <c r="BE34"/>
      <c r="BF34"/>
      <c r="BG34"/>
      <c r="BH34"/>
      <c r="BI34"/>
      <c r="BJ34"/>
      <c r="BK34"/>
    </row>
    <row r="35" spans="1:63" x14ac:dyDescent="0.35">
      <c r="A35" s="230">
        <f t="shared" si="57"/>
        <v>45641</v>
      </c>
      <c r="B35" s="230">
        <f t="shared" si="58"/>
        <v>45643</v>
      </c>
      <c r="D35" s="278"/>
      <c r="E35" s="401">
        <f>IF(G35=J35,0,INDEX('[2]Flat Rates 2023'!$A:$DB,MATCH(G35,'[2]Flat Rates 2023'!$A:$A,0),MATCH(J35,'[2]Flat Rates 2023'!$A$1:$DB$1,0)))</f>
        <v>0</v>
      </c>
      <c r="F35" s="401">
        <f>INDEX(Control!$E$17:$O$21,MATCH(L35,Control!$E$17:$E$21,0),MATCH(G35,Control!$E$17:$O$17,0))</f>
        <v>0</v>
      </c>
      <c r="G35" s="401" t="str">
        <f t="shared" si="80"/>
        <v>LIZA FPSO</v>
      </c>
      <c r="H35" s="280">
        <f>INDEX(Vessel_Minimum_MT,MATCH(L35,Control!$E$11:$E$15,0),MATCH(G35,Control!$E$11:$O$11,0))</f>
        <v>70000</v>
      </c>
      <c r="I35" s="402">
        <f t="shared" si="59"/>
        <v>90096.96796338672</v>
      </c>
      <c r="J35" s="279" t="s">
        <v>336</v>
      </c>
      <c r="K35" s="401" t="str">
        <f t="shared" si="60"/>
        <v/>
      </c>
      <c r="L35" s="282" t="s">
        <v>23</v>
      </c>
      <c r="M35" s="281">
        <v>700000</v>
      </c>
      <c r="N35" s="403">
        <v>0</v>
      </c>
      <c r="O35" s="404">
        <v>0</v>
      </c>
      <c r="P35" s="398">
        <f t="shared" si="61"/>
        <v>0</v>
      </c>
      <c r="Q35" s="2"/>
      <c r="R35" s="220">
        <f>INDEX('[2]Flat Rates 2023'!$A:$DB,MATCH(T35,'[2]Flat Rates 2023'!$A:$A,0),MATCH(X35,'[2]Flat Rates 2023'!$A$1:$DB$1,0))</f>
        <v>46.22</v>
      </c>
      <c r="S35" s="220">
        <f>INDEX(Control!$E$17:$O$21,MATCH(W35,Control!$E$17:$E$21,0),MATCH(T35,Control!$E$17:$O$17,0))</f>
        <v>0.5</v>
      </c>
      <c r="T35" s="220" t="s">
        <v>336</v>
      </c>
      <c r="U35" s="213">
        <f>INDEX(Vessel_Minimum_MT,MATCH(W35,Control!$E$11:$E$15,0),MATCH(T35,Control!$E$11:$O$11,0))</f>
        <v>270000</v>
      </c>
      <c r="V35" s="222">
        <f t="shared" si="62"/>
        <v>263855.40617848968</v>
      </c>
      <c r="W35" s="215" t="s">
        <v>25</v>
      </c>
      <c r="X35" s="223" t="s">
        <v>106</v>
      </c>
      <c r="Y35" s="212" t="str">
        <f t="shared" si="63"/>
        <v>CARIBS/KOREA</v>
      </c>
      <c r="Z35" s="304">
        <v>2050000</v>
      </c>
      <c r="AA35" s="214">
        <v>1001</v>
      </c>
      <c r="AB35" s="265">
        <f>WTI!AD31</f>
        <v>54650000</v>
      </c>
      <c r="AC35" s="225">
        <f t="shared" si="64"/>
        <v>26.658536585365855</v>
      </c>
      <c r="AD35" s="306">
        <v>5</v>
      </c>
      <c r="AE35" s="214">
        <f>IF(INDEX(Index,MATCH(X35,TVM_PortList,0),MATCH("Type",Control!$Q$3:$U$3,0))="BL",$A$8+INDEX(Index,MATCH(T35,TVM_PortList,0),MATCH("Payment",Control!$Q$3:$U$3,0)),$A$8+INDEX(Index,MATCH(X35,TVM_PortList,0),MATCH("Payment",Control!$Q$3:$U$3,0))+AW35)-DATE(YEAR($A$8),MONTH(EOMONTH($A$8,1)),20)</f>
        <v>383</v>
      </c>
      <c r="AF35" s="227">
        <f t="shared" si="65"/>
        <v>8.0487804878048783E-2</v>
      </c>
      <c r="AG35" s="227">
        <f t="shared" si="66"/>
        <v>1.8887671232876713</v>
      </c>
      <c r="AH35" s="227">
        <f t="shared" si="67"/>
        <v>0</v>
      </c>
      <c r="AI35" s="227">
        <f t="shared" si="68"/>
        <v>0</v>
      </c>
      <c r="AJ35" s="227">
        <v>0</v>
      </c>
      <c r="AK35" s="227">
        <f t="shared" si="69"/>
        <v>5.0000000000000001E-3</v>
      </c>
      <c r="AL35" s="227">
        <f t="shared" si="70"/>
        <v>2.9999999999999997E-4</v>
      </c>
      <c r="AM35" s="227">
        <f>IF(INDEX(Control!$Q$3:$S$62,MATCH($X35,Control!$Q$3:$Q$62,0),MATCH(AM$8,Control!$Q$3:$S$3,0))=1,$BD$14*$BE$14,0)</f>
        <v>0.18</v>
      </c>
      <c r="AN35" s="227" t="e">
        <f>IF(INDEX(Control!$Q$3:$S$62,MATCH($X35,Control!$Q$3:$Q$62,0),MATCH(AN$8,Control!$Q$3:$S$3,0))=1,$BD$15/$Z35,0)</f>
        <v>#N/A</v>
      </c>
      <c r="AO35" s="227">
        <f t="shared" si="71"/>
        <v>0</v>
      </c>
      <c r="AP35" s="227">
        <f t="shared" si="72"/>
        <v>0</v>
      </c>
      <c r="AQ35" s="225" t="e">
        <f t="shared" si="73"/>
        <v>#N/A</v>
      </c>
      <c r="AR35" s="225" t="e">
        <f t="shared" si="74"/>
        <v>#N/A</v>
      </c>
      <c r="AS35" s="225" t="e">
        <f t="shared" si="75"/>
        <v>#N/A</v>
      </c>
      <c r="AT35" s="225">
        <f t="shared" si="76"/>
        <v>0</v>
      </c>
      <c r="AU35" s="260" t="e">
        <f t="shared" si="77"/>
        <v>#N/A</v>
      </c>
      <c r="AV35" s="220"/>
      <c r="AW35" s="229">
        <f>INDEX('[1]Transit Time'!$A:$DC,MATCH(G35,'[1]Transit Time'!$A:$A,0),MATCH(J35,'[1]Transit Time'!$A$1:$DC$1,0))+INDEX('[1]Transit Time'!$A:$DC,MATCH(J35,'[1]Transit Time'!$A:$A,0),MATCH(T35,'[1]Transit Time'!$A$1:$DC$1,0))+INDEX('[1]Transit Time'!$A:$DC,MATCH(T35,'[1]Transit Time'!$A:$A,0),MATCH(X35,'[1]Transit Time'!$A$1:$DC$1,0))</f>
        <v>43</v>
      </c>
      <c r="AX35" s="220"/>
      <c r="AY35" s="230">
        <f t="shared" si="78"/>
        <v>45684</v>
      </c>
      <c r="AZ35" s="230">
        <f t="shared" si="79"/>
        <v>45686</v>
      </c>
      <c r="BB35"/>
      <c r="BC35"/>
      <c r="BD35"/>
      <c r="BE35"/>
      <c r="BF35"/>
      <c r="BG35"/>
      <c r="BH35"/>
      <c r="BI35"/>
      <c r="BJ35"/>
      <c r="BK35"/>
    </row>
    <row r="36" spans="1:63" x14ac:dyDescent="0.35">
      <c r="A36" s="163">
        <f t="shared" si="57"/>
        <v>45641</v>
      </c>
      <c r="B36" s="163">
        <f t="shared" si="58"/>
        <v>45643</v>
      </c>
      <c r="D36" s="390"/>
      <c r="E36" s="393">
        <f>IF(G36=J36,0,INDEX('[2]Flat Rates 2023'!$A:$DB,MATCH(G36,'[2]Flat Rates 2023'!$A:$A,0),MATCH(J36,'[2]Flat Rates 2023'!$A$1:$DB$1,0)))</f>
        <v>0</v>
      </c>
      <c r="F36" s="393">
        <f>INDEX(Control!$E$17:$O$21,MATCH(L36,Control!$E$17:$E$21,0),MATCH(G36,Control!$E$17:$O$17,0))</f>
        <v>0</v>
      </c>
      <c r="G36" s="393" t="str">
        <f t="shared" si="80"/>
        <v>LIZA FPSO</v>
      </c>
      <c r="H36" s="392">
        <f>INDEX(Vessel_Minimum_MT,MATCH(L36,Control!$E$11:$E$15,0),MATCH(G36,Control!$E$11:$O$11,0))</f>
        <v>70000</v>
      </c>
      <c r="I36" s="395">
        <f t="shared" si="59"/>
        <v>90096.96796338672</v>
      </c>
      <c r="J36" s="393" t="s">
        <v>336</v>
      </c>
      <c r="K36" s="393" t="str">
        <f t="shared" si="60"/>
        <v/>
      </c>
      <c r="L36" s="394" t="s">
        <v>23</v>
      </c>
      <c r="M36" s="395">
        <v>700000</v>
      </c>
      <c r="N36" s="399">
        <v>0</v>
      </c>
      <c r="O36" s="400">
        <v>0</v>
      </c>
      <c r="P36" s="286">
        <f t="shared" si="61"/>
        <v>0</v>
      </c>
      <c r="Q36" s="2"/>
      <c r="R36" s="138">
        <f>INDEX('[2]Flat Rates 2023'!$A:$DB,MATCH(T36,'[2]Flat Rates 2023'!$A:$A,0),MATCH(X36,'[2]Flat Rates 2023'!$A$1:$DB$1,0))</f>
        <v>37.24</v>
      </c>
      <c r="S36" s="138">
        <f>INDEX(Control!$E$17:$O$21,MATCH(W36,Control!$E$17:$E$21,0),MATCH(T36,Control!$E$17:$O$17,0))</f>
        <v>0.5</v>
      </c>
      <c r="T36" s="138" t="s">
        <v>336</v>
      </c>
      <c r="U36" s="116">
        <f>INDEX(Vessel_Minimum_MT,MATCH(W36,Control!$E$11:$E$15,0),MATCH(T36,Control!$E$11:$O$11,0))</f>
        <v>145000</v>
      </c>
      <c r="V36" s="140">
        <f t="shared" si="62"/>
        <v>128709.9542334096</v>
      </c>
      <c r="W36" s="147" t="s">
        <v>24</v>
      </c>
      <c r="X36" s="164" t="s">
        <v>114</v>
      </c>
      <c r="Y36" s="142" t="str">
        <f t="shared" si="63"/>
        <v>CARIBS/Singapore</v>
      </c>
      <c r="Z36" s="54">
        <v>1000000</v>
      </c>
      <c r="AA36" s="141">
        <v>1001</v>
      </c>
      <c r="AB36" s="202">
        <f>AB34-450000</f>
        <v>53550000</v>
      </c>
      <c r="AC36" s="149">
        <f t="shared" si="64"/>
        <v>53.55</v>
      </c>
      <c r="AD36" s="305">
        <v>5</v>
      </c>
      <c r="AE36" s="141">
        <f>IF(INDEX(Index,MATCH(X36,TVM_PortList,0),MATCH("Type",Control!$Q$3:$U$3,0))="BL",$A$8+INDEX(Index,MATCH(T36,TVM_PortList,0),MATCH("Payment",Control!$Q$3:$U$3,0)),$A$8+INDEX(Index,MATCH(X36,TVM_PortList,0),MATCH("Payment",Control!$Q$3:$U$3,0))+AW36)-DATE(YEAR($A$8),MONTH(EOMONTH($A$8,1)),20)</f>
        <v>375.25</v>
      </c>
      <c r="AF36" s="143">
        <f t="shared" si="65"/>
        <v>0.115</v>
      </c>
      <c r="AG36" s="143">
        <f t="shared" si="66"/>
        <v>1.8505479452054794</v>
      </c>
      <c r="AH36" s="143">
        <f t="shared" si="67"/>
        <v>0</v>
      </c>
      <c r="AI36" s="143">
        <f t="shared" si="68"/>
        <v>0</v>
      </c>
      <c r="AJ36" s="143">
        <v>0</v>
      </c>
      <c r="AK36" s="143">
        <f t="shared" si="69"/>
        <v>5.0000000000000001E-3</v>
      </c>
      <c r="AL36" s="143">
        <f t="shared" si="70"/>
        <v>2.9999999999999997E-4</v>
      </c>
      <c r="AM36" s="143">
        <f>IF(INDEX(Control!$Q$3:$S$62,MATCH($X36,Control!$Q$3:$Q$62,0),MATCH(AM$8,Control!$Q$3:$S$3,0))=1,$BD$14*$BE$14,0)</f>
        <v>0.18</v>
      </c>
      <c r="AN36" s="143" t="e">
        <f>IF(INDEX(Control!$Q$3:$S$62,MATCH($X36,Control!$Q$3:$Q$62,0),MATCH(AN$8,Control!$Q$3:$S$3,0))=1,$BD$15/$Z36,0)</f>
        <v>#N/A</v>
      </c>
      <c r="AO36" s="143">
        <f t="shared" si="71"/>
        <v>0</v>
      </c>
      <c r="AP36" s="143">
        <f t="shared" si="72"/>
        <v>0</v>
      </c>
      <c r="AQ36" s="149" t="e">
        <f t="shared" ref="AQ36:AQ38" si="81">SUM(AF36:AP36)</f>
        <v>#N/A</v>
      </c>
      <c r="AR36" s="199" t="e">
        <f t="shared" si="74"/>
        <v>#N/A</v>
      </c>
      <c r="AS36" s="149" t="e">
        <f t="shared" si="75"/>
        <v>#N/A</v>
      </c>
      <c r="AT36" s="149">
        <f t="shared" si="76"/>
        <v>0</v>
      </c>
      <c r="AU36" s="145" t="e">
        <f t="shared" si="77"/>
        <v>#N/A</v>
      </c>
      <c r="AW36" s="153">
        <f>INDEX('[1]Transit Time'!$A:$DC,MATCH(G36,'[1]Transit Time'!$A:$A,0),MATCH(J36,'[1]Transit Time'!$A$1:$DC$1,0))+INDEX('[1]Transit Time'!$A:$DC,MATCH(J36,'[1]Transit Time'!$A:$A,0),MATCH(T36,'[1]Transit Time'!$A$1:$DC$1,0))+INDEX('[1]Transit Time'!$A:$DC,MATCH(T36,'[1]Transit Time'!$A:$A,0),MATCH(X36,'[1]Transit Time'!$A$1:$DC$1,0))</f>
        <v>35.25</v>
      </c>
      <c r="AY36" s="163">
        <f t="shared" si="78"/>
        <v>45676.25</v>
      </c>
      <c r="AZ36" s="163">
        <f t="shared" si="79"/>
        <v>45678.25</v>
      </c>
      <c r="BB36"/>
      <c r="BC36"/>
      <c r="BD36"/>
      <c r="BE36"/>
      <c r="BF36"/>
      <c r="BG36"/>
      <c r="BH36"/>
      <c r="BI36"/>
      <c r="BJ36"/>
      <c r="BK36"/>
    </row>
    <row r="37" spans="1:63" ht="16" thickBot="1" x14ac:dyDescent="0.4">
      <c r="A37" s="230">
        <f t="shared" si="57"/>
        <v>45641</v>
      </c>
      <c r="B37" s="230">
        <f t="shared" si="58"/>
        <v>45643</v>
      </c>
      <c r="D37" s="278"/>
      <c r="E37" s="401">
        <f>IF(G37=J37,0,INDEX('[2]Flat Rates 2023'!$A:$DB,MATCH(G37,'[2]Flat Rates 2023'!$A:$A,0),MATCH(J37,'[2]Flat Rates 2023'!$A$1:$DB$1,0)))</f>
        <v>0</v>
      </c>
      <c r="F37" s="401">
        <f>INDEX(Control!$E$17:$O$21,MATCH(L37,Control!$E$17:$E$21,0),MATCH(G37,Control!$E$17:$O$17,0))</f>
        <v>0</v>
      </c>
      <c r="G37" s="401" t="str">
        <f t="shared" si="80"/>
        <v>LIZA FPSO</v>
      </c>
      <c r="H37" s="280">
        <f>INDEX(Vessel_Minimum_MT,MATCH(L37,Control!$E$11:$E$15,0),MATCH(G37,Control!$E$11:$O$11,0))</f>
        <v>70000</v>
      </c>
      <c r="I37" s="402">
        <f t="shared" si="59"/>
        <v>90096.96796338672</v>
      </c>
      <c r="J37" s="279" t="s">
        <v>336</v>
      </c>
      <c r="K37" s="401" t="str">
        <f t="shared" si="60"/>
        <v/>
      </c>
      <c r="L37" s="282" t="s">
        <v>23</v>
      </c>
      <c r="M37" s="281">
        <v>700000</v>
      </c>
      <c r="N37" s="403">
        <v>0</v>
      </c>
      <c r="O37" s="404">
        <v>0</v>
      </c>
      <c r="P37" s="398">
        <f t="shared" si="61"/>
        <v>0</v>
      </c>
      <c r="Q37" s="2"/>
      <c r="R37" s="220">
        <f>INDEX('[2]Flat Rates 2023'!$A:$DB,MATCH(T37,'[2]Flat Rates 2023'!$A:$A,0),MATCH(X37,'[2]Flat Rates 2023'!$A$1:$DB$1,0))</f>
        <v>37.24</v>
      </c>
      <c r="S37" s="220">
        <f>INDEX(Control!$E$17:$O$21,MATCH(W37,Control!$E$17:$E$21,0),MATCH(T37,Control!$E$17:$O$17,0))</f>
        <v>0.5</v>
      </c>
      <c r="T37" s="220" t="s">
        <v>336</v>
      </c>
      <c r="U37" s="213">
        <f>INDEX(Vessel_Minimum_MT,MATCH(W37,Control!$E$11:$E$15,0),MATCH(T37,Control!$E$11:$O$11,0))</f>
        <v>270000</v>
      </c>
      <c r="V37" s="222">
        <f t="shared" si="62"/>
        <v>263855.40617848968</v>
      </c>
      <c r="W37" s="215" t="s">
        <v>25</v>
      </c>
      <c r="X37" s="223" t="s">
        <v>114</v>
      </c>
      <c r="Y37" s="212" t="str">
        <f t="shared" si="63"/>
        <v>CARIBS/Singapore</v>
      </c>
      <c r="Z37" s="214">
        <f>$Z$35</f>
        <v>2050000</v>
      </c>
      <c r="AA37" s="214">
        <v>1001</v>
      </c>
      <c r="AB37" s="224">
        <f>AB35-1000000</f>
        <v>53650000</v>
      </c>
      <c r="AC37" s="225">
        <f t="shared" si="64"/>
        <v>26.170731707317074</v>
      </c>
      <c r="AD37" s="226">
        <v>5</v>
      </c>
      <c r="AE37" s="214">
        <f>IF(INDEX(Index,MATCH(X37,TVM_PortList,0),MATCH("Type",Control!$Q$3:$U$3,0))="BL",$A$8+INDEX(Index,MATCH(T37,TVM_PortList,0),MATCH("Payment",Control!$Q$3:$U$3,0)),$A$8+INDEX(Index,MATCH(X37,TVM_PortList,0),MATCH("Payment",Control!$Q$3:$U$3,0))+AW37)-DATE(YEAR($A$8),MONTH(EOMONTH($A$8,1)),20)</f>
        <v>375.25</v>
      </c>
      <c r="AF37" s="227">
        <f t="shared" si="65"/>
        <v>8.0487804878048783E-2</v>
      </c>
      <c r="AG37" s="227">
        <f t="shared" si="66"/>
        <v>1.8505479452054794</v>
      </c>
      <c r="AH37" s="227">
        <f t="shared" si="67"/>
        <v>0</v>
      </c>
      <c r="AI37" s="227">
        <f t="shared" si="68"/>
        <v>0</v>
      </c>
      <c r="AJ37" s="227">
        <v>0</v>
      </c>
      <c r="AK37" s="227">
        <f t="shared" si="69"/>
        <v>5.0000000000000001E-3</v>
      </c>
      <c r="AL37" s="227">
        <f t="shared" si="70"/>
        <v>2.9999999999999997E-4</v>
      </c>
      <c r="AM37" s="227">
        <f>IF(INDEX(Control!$Q$3:$S$62,MATCH($X37,Control!$Q$3:$Q$62,0),MATCH(AM$8,Control!$Q$3:$S$3,0))=1,$BD$14*$BE$14,0)</f>
        <v>0.18</v>
      </c>
      <c r="AN37" s="227" t="e">
        <f>IF(INDEX(Control!$Q$3:$S$62,MATCH($X37,Control!$Q$3:$Q$62,0),MATCH(AN$8,Control!$Q$3:$S$3,0))=1,$BD$15/$Z37,0)</f>
        <v>#N/A</v>
      </c>
      <c r="AO37" s="227">
        <f t="shared" si="71"/>
        <v>0</v>
      </c>
      <c r="AP37" s="227">
        <f t="shared" si="72"/>
        <v>0</v>
      </c>
      <c r="AQ37" s="225" t="e">
        <f t="shared" si="81"/>
        <v>#N/A</v>
      </c>
      <c r="AR37" s="225" t="e">
        <f t="shared" si="74"/>
        <v>#N/A</v>
      </c>
      <c r="AS37" s="225" t="e">
        <f t="shared" si="75"/>
        <v>#N/A</v>
      </c>
      <c r="AT37" s="225">
        <f t="shared" si="76"/>
        <v>0</v>
      </c>
      <c r="AU37" s="260" t="e">
        <f t="shared" si="77"/>
        <v>#N/A</v>
      </c>
      <c r="AV37" s="220"/>
      <c r="AW37" s="229">
        <f>INDEX('[1]Transit Time'!$A:$DC,MATCH(G37,'[1]Transit Time'!$A:$A,0),MATCH(J37,'[1]Transit Time'!$A$1:$DC$1,0))+INDEX('[1]Transit Time'!$A:$DC,MATCH(J37,'[1]Transit Time'!$A:$A,0),MATCH(T37,'[1]Transit Time'!$A$1:$DC$1,0))+INDEX('[1]Transit Time'!$A:$DC,MATCH(T37,'[1]Transit Time'!$A:$A,0),MATCH(X37,'[1]Transit Time'!$A$1:$DC$1,0))</f>
        <v>35.25</v>
      </c>
      <c r="AX37" s="220"/>
      <c r="AY37" s="230">
        <f t="shared" si="78"/>
        <v>45676.25</v>
      </c>
      <c r="AZ37" s="380">
        <f t="shared" si="79"/>
        <v>45678.25</v>
      </c>
      <c r="BB37"/>
      <c r="BC37"/>
      <c r="BD37"/>
      <c r="BE37"/>
      <c r="BF37"/>
      <c r="BG37"/>
      <c r="BH37"/>
      <c r="BI37"/>
      <c r="BJ37"/>
      <c r="BK37"/>
    </row>
    <row r="38" spans="1:63" ht="16" thickBot="1" x14ac:dyDescent="0.4">
      <c r="A38" s="163">
        <f t="shared" si="57"/>
        <v>45641</v>
      </c>
      <c r="B38" s="163">
        <f t="shared" si="58"/>
        <v>45643</v>
      </c>
      <c r="D38" s="390"/>
      <c r="E38" s="393">
        <f>IF(G38=J38,0,INDEX('[2]Flat Rates 2023'!$A:$DB,MATCH(G38,'[2]Flat Rates 2023'!$A:$A,0),MATCH(J38,'[2]Flat Rates 2023'!$A$1:$DB$1,0)))</f>
        <v>0</v>
      </c>
      <c r="F38" s="393">
        <f>INDEX(Control!$E$17:$O$21,MATCH(L38,Control!$E$17:$E$21,0),MATCH(G38,Control!$E$17:$O$17,0))</f>
        <v>0</v>
      </c>
      <c r="G38" s="393" t="str">
        <f t="shared" si="80"/>
        <v>LIZA FPSO</v>
      </c>
      <c r="H38" s="392">
        <f>INDEX(Vessel_Minimum_MT,MATCH(L38,Control!$E$11:$E$15,0),MATCH(G38,Control!$E$11:$O$11,0))</f>
        <v>70000</v>
      </c>
      <c r="I38" s="395">
        <f t="shared" si="59"/>
        <v>90096.96796338672</v>
      </c>
      <c r="J38" s="393" t="s">
        <v>336</v>
      </c>
      <c r="K38" s="393" t="str">
        <f t="shared" si="60"/>
        <v/>
      </c>
      <c r="L38" s="394" t="s">
        <v>23</v>
      </c>
      <c r="M38" s="395">
        <v>700000</v>
      </c>
      <c r="N38" s="399">
        <v>0</v>
      </c>
      <c r="O38" s="400">
        <v>0</v>
      </c>
      <c r="P38" s="286">
        <f t="shared" si="61"/>
        <v>0</v>
      </c>
      <c r="Q38" s="2"/>
      <c r="R38" s="138">
        <f>INDEX('[2]Flat Rates 2023'!$A:$DB,MATCH(T38,'[2]Flat Rates 2023'!$A:$A,0),MATCH(X38,'[2]Flat Rates 2023'!$A$1:$DB$1,0))</f>
        <v>34.299999999999997</v>
      </c>
      <c r="S38" s="138">
        <f>INDEX(Control!$E$17:$O$21,MATCH(W38,Control!$E$17:$E$21,0),MATCH(T38,Control!$E$17:$O$17,0))</f>
        <v>0.5</v>
      </c>
      <c r="T38" s="138" t="s">
        <v>336</v>
      </c>
      <c r="U38" s="116">
        <f>INDEX(Vessel_Minimum_MT,MATCH(W38,Control!$E$11:$E$15,0),MATCH(T38,Control!$E$11:$O$11,0))</f>
        <v>145000</v>
      </c>
      <c r="V38" s="140">
        <f t="shared" si="62"/>
        <v>112621.2099542334</v>
      </c>
      <c r="W38" s="147" t="s">
        <v>24</v>
      </c>
      <c r="X38" s="164" t="s">
        <v>86</v>
      </c>
      <c r="Y38" s="142" t="str">
        <f t="shared" si="63"/>
        <v>CARIBS/INDIA</v>
      </c>
      <c r="Z38" s="141">
        <v>875000</v>
      </c>
      <c r="AA38" s="141">
        <v>1001</v>
      </c>
      <c r="AB38" s="151">
        <f>AB36-200000</f>
        <v>53350000</v>
      </c>
      <c r="AC38" s="149">
        <f t="shared" si="64"/>
        <v>60.971428571428568</v>
      </c>
      <c r="AD38" s="144">
        <v>1</v>
      </c>
      <c r="AE38" s="141">
        <f>IF(INDEX(Index,MATCH(X38,TVM_PortList,0),MATCH("Type",Control!$Q$3:$U$3,0))="BL",$A$8+INDEX(Index,MATCH(T38,TVM_PortList,0),MATCH("Payment",Control!$Q$3:$U$3,0)),$A$8+INDEX(Index,MATCH(X38,TVM_PortList,0),MATCH("Payment",Control!$Q$3:$U$3,0))+AW38)-DATE(YEAR($A$8),MONTH(EOMONTH($A$8,1)),20)</f>
        <v>340</v>
      </c>
      <c r="AF38" s="143">
        <f t="shared" si="65"/>
        <v>2.6285714285714287E-2</v>
      </c>
      <c r="AG38" s="143">
        <f t="shared" si="66"/>
        <v>1.6767123287671233</v>
      </c>
      <c r="AH38" s="143">
        <f t="shared" si="67"/>
        <v>0</v>
      </c>
      <c r="AI38" s="143">
        <f t="shared" si="68"/>
        <v>0</v>
      </c>
      <c r="AJ38" s="143">
        <v>0</v>
      </c>
      <c r="AK38" s="143">
        <f t="shared" si="69"/>
        <v>5.0000000000000001E-3</v>
      </c>
      <c r="AL38" s="143">
        <f t="shared" si="70"/>
        <v>2.9999999999999997E-4</v>
      </c>
      <c r="AM38" s="143">
        <f>IF(INDEX(Control!$Q$3:$S$62,MATCH($X38,Control!$Q$3:$Q$62,0),MATCH(AM$8,Control!$Q$3:$S$3,0))=1,$BD$14*$BE$14,0)</f>
        <v>0.18</v>
      </c>
      <c r="AN38" s="143" t="e">
        <f>IF(INDEX(Control!$Q$3:$S$62,MATCH($X38,Control!$Q$3:$Q$62,0),MATCH(AN$8,Control!$Q$3:$S$3,0))=1,$BD$15/$Z38,0)</f>
        <v>#N/A</v>
      </c>
      <c r="AO38" s="143">
        <f t="shared" si="71"/>
        <v>0</v>
      </c>
      <c r="AP38" s="143">
        <f t="shared" si="72"/>
        <v>0</v>
      </c>
      <c r="AQ38" s="149" t="e">
        <f t="shared" si="81"/>
        <v>#N/A</v>
      </c>
      <c r="AR38" s="199" t="e">
        <f t="shared" si="74"/>
        <v>#N/A</v>
      </c>
      <c r="AS38" s="149">
        <f t="shared" si="75"/>
        <v>0</v>
      </c>
      <c r="AT38" s="149">
        <f t="shared" si="76"/>
        <v>0</v>
      </c>
      <c r="AU38" s="145" t="e">
        <f t="shared" si="77"/>
        <v>#N/A</v>
      </c>
      <c r="AW38" s="153">
        <f>INDEX('[1]Transit Time'!$A:$DC,MATCH(G38,'[1]Transit Time'!$A:$A,0),MATCH(J38,'[1]Transit Time'!$A$1:$DC$1,0))+INDEX('[1]Transit Time'!$A:$DC,MATCH(J38,'[1]Transit Time'!$A:$A,0),MATCH(T38,'[1]Transit Time'!$A$1:$DC$1,0))+INDEX('[1]Transit Time'!$A:$DC,MATCH(T38,'[1]Transit Time'!$A:$A,0),MATCH(X38,'[1]Transit Time'!$A$1:$DC$1,0))</f>
        <v>0</v>
      </c>
      <c r="AY38" s="163">
        <f t="shared" si="78"/>
        <v>45641</v>
      </c>
      <c r="AZ38" s="381">
        <f t="shared" si="79"/>
        <v>45643</v>
      </c>
      <c r="BB38"/>
      <c r="BC38"/>
      <c r="BD38"/>
      <c r="BE38"/>
      <c r="BF38"/>
      <c r="BG38"/>
      <c r="BH38"/>
      <c r="BI38"/>
      <c r="BJ38"/>
      <c r="BK38"/>
    </row>
    <row r="39" spans="1:63" ht="16" thickBot="1" x14ac:dyDescent="0.4">
      <c r="A39" s="230">
        <f t="shared" si="57"/>
        <v>45641</v>
      </c>
      <c r="B39" s="230">
        <f t="shared" si="58"/>
        <v>45643</v>
      </c>
      <c r="D39" s="278"/>
      <c r="E39" s="401">
        <f>IF(G39=J39,0,INDEX('[2]Flat Rates 2023'!$A:$DB,MATCH(G39,'[2]Flat Rates 2023'!$A:$A,0),MATCH(J39,'[2]Flat Rates 2023'!$A$1:$DB$1,0)))</f>
        <v>0</v>
      </c>
      <c r="F39" s="401">
        <f>INDEX(Control!$E$17:$O$21,MATCH(L39,Control!$E$17:$E$21,0),MATCH(G39,Control!$E$17:$O$17,0))</f>
        <v>0</v>
      </c>
      <c r="G39" s="401" t="str">
        <f t="shared" si="80"/>
        <v>LIZA FPSO</v>
      </c>
      <c r="H39" s="280">
        <f>INDEX(Vessel_Minimum_MT,MATCH(L39,Control!$E$11:$E$15,0),MATCH(G39,Control!$E$11:$O$11,0))</f>
        <v>70000</v>
      </c>
      <c r="I39" s="402">
        <f t="shared" si="59"/>
        <v>90096.96796338672</v>
      </c>
      <c r="J39" s="279" t="s">
        <v>336</v>
      </c>
      <c r="K39" s="401" t="str">
        <f t="shared" si="60"/>
        <v/>
      </c>
      <c r="L39" s="282" t="s">
        <v>23</v>
      </c>
      <c r="M39" s="281">
        <v>700000</v>
      </c>
      <c r="N39" s="403">
        <v>0</v>
      </c>
      <c r="O39" s="404">
        <v>0</v>
      </c>
      <c r="P39" s="398">
        <f t="shared" si="61"/>
        <v>0</v>
      </c>
      <c r="Q39" s="2"/>
      <c r="R39" s="220">
        <f>INDEX('[2]Flat Rates 2023'!$A:$DB,MATCH(T39,'[2]Flat Rates 2023'!$A:$A,0),MATCH(X39,'[2]Flat Rates 2023'!$A$1:$DB$1,0))</f>
        <v>34.299999999999997</v>
      </c>
      <c r="S39" s="220">
        <f>INDEX(Control!$E$17:$O$21,MATCH(W39,Control!$E$17:$E$21,0),MATCH(T39,Control!$E$17:$O$17,0))</f>
        <v>0.5</v>
      </c>
      <c r="T39" s="220" t="s">
        <v>336</v>
      </c>
      <c r="U39" s="213">
        <f>INDEX(Vessel_Minimum_MT,MATCH(W39,Control!$E$11:$E$15,0),MATCH(T39,Control!$E$11:$O$11,0))</f>
        <v>270000</v>
      </c>
      <c r="V39" s="222">
        <f t="shared" si="62"/>
        <v>263855.40617848968</v>
      </c>
      <c r="W39" s="215" t="s">
        <v>25</v>
      </c>
      <c r="X39" s="223" t="s">
        <v>86</v>
      </c>
      <c r="Y39" s="212" t="str">
        <f t="shared" si="63"/>
        <v>CARIBS/INDIA</v>
      </c>
      <c r="Z39" s="214">
        <f>$Z$35</f>
        <v>2050000</v>
      </c>
      <c r="AA39" s="214">
        <v>1001</v>
      </c>
      <c r="AB39" s="224">
        <f>AB37</f>
        <v>53650000</v>
      </c>
      <c r="AC39" s="225">
        <f t="shared" si="64"/>
        <v>26.170731707317074</v>
      </c>
      <c r="AD39" s="226">
        <v>5</v>
      </c>
      <c r="AE39" s="214">
        <f>IF(INDEX(Index,MATCH(X39,TVM_PortList,0),MATCH("Type",Control!$Q$3:$U$3,0))="BL",$A$8+INDEX(Index,MATCH(T39,TVM_PortList,0),MATCH("Payment",Control!$Q$3:$U$3,0)),$A$8+INDEX(Index,MATCH(X39,TVM_PortList,0),MATCH("Payment",Control!$Q$3:$U$3,0))+AW39)-DATE(YEAR($A$8),MONTH(EOMONTH($A$8,1)),20)</f>
        <v>340</v>
      </c>
      <c r="AF39" s="227">
        <f t="shared" si="65"/>
        <v>8.0487804878048783E-2</v>
      </c>
      <c r="AG39" s="227">
        <f t="shared" si="66"/>
        <v>1.6767123287671233</v>
      </c>
      <c r="AH39" s="227">
        <f t="shared" si="67"/>
        <v>0</v>
      </c>
      <c r="AI39" s="227">
        <f t="shared" si="68"/>
        <v>0</v>
      </c>
      <c r="AJ39" s="227">
        <v>0</v>
      </c>
      <c r="AK39" s="227">
        <f t="shared" si="69"/>
        <v>5.0000000000000001E-3</v>
      </c>
      <c r="AL39" s="227">
        <f t="shared" si="70"/>
        <v>2.9999999999999997E-4</v>
      </c>
      <c r="AM39" s="227">
        <f>IF(INDEX(Control!$Q$3:$S$62,MATCH($X39,Control!$Q$3:$Q$62,0),MATCH(AM$8,Control!$Q$3:$S$3,0))=1,$BD$14*$BE$14,0)</f>
        <v>0.18</v>
      </c>
      <c r="AN39" s="227" t="e">
        <f>IF(INDEX(Control!$Q$3:$S$62,MATCH($X39,Control!$Q$3:$Q$62,0),MATCH(AN$8,Control!$Q$3:$S$3,0))=1,$BD$15/$Z39,0)</f>
        <v>#N/A</v>
      </c>
      <c r="AO39" s="227">
        <f t="shared" si="71"/>
        <v>0</v>
      </c>
      <c r="AP39" s="227">
        <f t="shared" si="72"/>
        <v>0</v>
      </c>
      <c r="AQ39" s="225" t="e">
        <f>SUM(AF39:AP39)</f>
        <v>#N/A</v>
      </c>
      <c r="AR39" s="225" t="e">
        <f t="shared" si="74"/>
        <v>#N/A</v>
      </c>
      <c r="AS39" s="225">
        <f t="shared" si="75"/>
        <v>0</v>
      </c>
      <c r="AT39" s="225">
        <f t="shared" si="76"/>
        <v>0</v>
      </c>
      <c r="AU39" s="260" t="e">
        <f t="shared" si="77"/>
        <v>#N/A</v>
      </c>
      <c r="AV39" s="220"/>
      <c r="AW39" s="229">
        <f>INDEX('[1]Transit Time'!$A:$DC,MATCH(G39,'[1]Transit Time'!$A:$A,0),MATCH(J39,'[1]Transit Time'!$A$1:$DC$1,0))+INDEX('[1]Transit Time'!$A:$DC,MATCH(J39,'[1]Transit Time'!$A:$A,0),MATCH(T39,'[1]Transit Time'!$A$1:$DC$1,0))+INDEX('[1]Transit Time'!$A:$DC,MATCH(T39,'[1]Transit Time'!$A:$A,0),MATCH(X39,'[1]Transit Time'!$A$1:$DC$1,0))</f>
        <v>0</v>
      </c>
      <c r="AX39" s="220"/>
      <c r="AY39" s="230">
        <f t="shared" si="78"/>
        <v>45641</v>
      </c>
      <c r="AZ39" s="209">
        <f t="shared" si="79"/>
        <v>45643</v>
      </c>
      <c r="BB39"/>
      <c r="BC39"/>
      <c r="BD39"/>
      <c r="BE39"/>
      <c r="BF39"/>
      <c r="BG39"/>
      <c r="BH39"/>
      <c r="BI39"/>
      <c r="BJ39"/>
      <c r="BK39"/>
    </row>
    <row r="40" spans="1:63" ht="21" customHeight="1" thickBot="1" x14ac:dyDescent="0.5">
      <c r="A40"/>
      <c r="B40"/>
      <c r="D40" s="1057"/>
      <c r="E40" s="1058"/>
      <c r="F40" s="1058"/>
      <c r="G40" s="1058"/>
      <c r="H40" s="1058"/>
      <c r="I40" s="1058"/>
      <c r="J40" s="1058"/>
      <c r="K40" s="1058"/>
      <c r="L40" s="1058"/>
      <c r="M40" s="1058"/>
      <c r="N40" s="1058"/>
      <c r="O40" s="1058"/>
      <c r="P40" s="1059"/>
      <c r="Q40" s="2"/>
      <c r="R40" s="9"/>
      <c r="S40" s="9"/>
      <c r="T40" s="9"/>
      <c r="U40" s="9"/>
      <c r="V40" s="9"/>
      <c r="W40" s="1057" t="s">
        <v>339</v>
      </c>
      <c r="X40" s="1058"/>
      <c r="Y40" s="1058"/>
      <c r="Z40" s="1058"/>
      <c r="AA40" s="1058"/>
      <c r="AB40" s="1058"/>
      <c r="AC40" s="1058"/>
      <c r="AD40" s="1058"/>
      <c r="AE40" s="1058"/>
      <c r="AF40" s="1058"/>
      <c r="AG40" s="1058"/>
      <c r="AH40" s="1058"/>
      <c r="AI40" s="1058"/>
      <c r="AJ40" s="1058"/>
      <c r="AK40" s="1058"/>
      <c r="AL40" s="1058"/>
      <c r="AM40" s="1058"/>
      <c r="AN40" s="1058"/>
      <c r="AO40" s="1058"/>
      <c r="AP40" s="1058"/>
      <c r="AQ40" s="1058"/>
      <c r="AR40" s="1058"/>
      <c r="AS40" s="1058"/>
      <c r="AT40" s="1058"/>
      <c r="AU40" s="1059"/>
      <c r="AW40"/>
      <c r="AY40"/>
      <c r="AZ40"/>
      <c r="BB40"/>
      <c r="BC40"/>
      <c r="BD40"/>
      <c r="BE40"/>
      <c r="BF40"/>
      <c r="BG40"/>
      <c r="BH40"/>
      <c r="BI40"/>
      <c r="BJ40"/>
      <c r="BK40"/>
    </row>
    <row r="41" spans="1:63" ht="29.5" customHeight="1" thickBot="1" x14ac:dyDescent="0.4">
      <c r="A41" s="1005" t="s">
        <v>167</v>
      </c>
      <c r="B41" s="1005"/>
      <c r="D41" s="120" t="s">
        <v>276</v>
      </c>
      <c r="E41" s="152" t="s">
        <v>172</v>
      </c>
      <c r="F41" s="152" t="s">
        <v>2</v>
      </c>
      <c r="G41" s="152" t="s">
        <v>173</v>
      </c>
      <c r="H41" s="152" t="s">
        <v>174</v>
      </c>
      <c r="I41" s="125" t="s">
        <v>175</v>
      </c>
      <c r="J41" s="152" t="s">
        <v>177</v>
      </c>
      <c r="K41" s="152" t="s">
        <v>178</v>
      </c>
      <c r="L41" s="122" t="s">
        <v>176</v>
      </c>
      <c r="M41" s="120" t="s">
        <v>200</v>
      </c>
      <c r="N41" s="120" t="str">
        <f>$N$8</f>
        <v>WS Rate</v>
      </c>
      <c r="O41" s="121" t="s">
        <v>202</v>
      </c>
      <c r="P41" s="123" t="s">
        <v>335</v>
      </c>
      <c r="Q41" s="2"/>
      <c r="R41" s="120" t="s">
        <v>172</v>
      </c>
      <c r="S41" s="120" t="s">
        <v>2</v>
      </c>
      <c r="T41" s="120" t="s">
        <v>173</v>
      </c>
      <c r="U41" s="152" t="str">
        <f>$U$8</f>
        <v>Vessel MT</v>
      </c>
      <c r="V41" s="120" t="s">
        <v>175</v>
      </c>
      <c r="W41" s="120" t="s">
        <v>176</v>
      </c>
      <c r="X41" s="120" t="s">
        <v>177</v>
      </c>
      <c r="Y41" s="120" t="s">
        <v>178</v>
      </c>
      <c r="Z41" s="120" t="s">
        <v>200</v>
      </c>
      <c r="AA41" s="146" t="str">
        <f>$AA$8</f>
        <v xml:space="preserve">Current WS Rate </v>
      </c>
      <c r="AB41" s="128" t="s">
        <v>202</v>
      </c>
      <c r="AC41" s="150" t="s">
        <v>182</v>
      </c>
      <c r="AD41" s="136" t="s">
        <v>183</v>
      </c>
      <c r="AE41" s="146" t="s">
        <v>279</v>
      </c>
      <c r="AF41" s="136" t="s">
        <v>184</v>
      </c>
      <c r="AG41" s="136" t="s">
        <v>140</v>
      </c>
      <c r="AH41" s="136" t="str">
        <f>AH50</f>
        <v>STS</v>
      </c>
      <c r="AI41" s="136" t="s">
        <v>186</v>
      </c>
      <c r="AJ41" s="136" t="s">
        <v>187</v>
      </c>
      <c r="AK41" s="136" t="s">
        <v>141</v>
      </c>
      <c r="AL41" s="136" t="s">
        <v>188</v>
      </c>
      <c r="AM41" s="136" t="s">
        <v>17</v>
      </c>
      <c r="AN41" s="136" t="s">
        <v>207</v>
      </c>
      <c r="AO41" s="136" t="s">
        <v>189</v>
      </c>
      <c r="AP41" s="136" t="s">
        <v>152</v>
      </c>
      <c r="AQ41" s="150" t="s">
        <v>208</v>
      </c>
      <c r="AR41" s="150" t="s">
        <v>209</v>
      </c>
      <c r="AS41" s="150" t="s">
        <v>210</v>
      </c>
      <c r="AT41" s="150" t="str">
        <f>AT29</f>
        <v>Basis</v>
      </c>
      <c r="AU41" s="137" t="s">
        <v>211</v>
      </c>
      <c r="AW41" s="137" t="s">
        <v>195</v>
      </c>
      <c r="AY41" s="1011" t="s">
        <v>196</v>
      </c>
      <c r="AZ41" s="1011"/>
      <c r="BB41"/>
      <c r="BC41"/>
      <c r="BD41"/>
      <c r="BE41"/>
      <c r="BF41"/>
      <c r="BG41"/>
      <c r="BH41"/>
      <c r="BI41"/>
      <c r="BJ41"/>
      <c r="BK41"/>
    </row>
    <row r="42" spans="1:63" ht="17.25" customHeight="1" thickBot="1" x14ac:dyDescent="0.4">
      <c r="A42" s="163">
        <f>A39</f>
        <v>45641</v>
      </c>
      <c r="B42" s="163">
        <f t="shared" ref="B42:B48" si="82">IF(ISBLANK(A42),"",A42+2)</f>
        <v>45643</v>
      </c>
      <c r="D42" s="64"/>
      <c r="E42" s="65">
        <f>IF(G42=J42,0,INDEX('[2]Flat Rates 2023'!$A:$DB,MATCH(G42,'[2]Flat Rates 2023'!$A:$A,0),MATCH(J42,'[2]Flat Rates 2023'!$A$1:$DB$1,0)))</f>
        <v>0</v>
      </c>
      <c r="F42" s="65">
        <f>INDEX(Control!$E$17:$O$21,MATCH(L42,Control!$E$17:$E$21,0),MATCH(G42,Control!$E$17:$O$17,0))</f>
        <v>0.5</v>
      </c>
      <c r="G42" s="65" t="str">
        <f t="shared" ref="G42:G48" si="83">$G$9</f>
        <v>LIZA FPSO</v>
      </c>
      <c r="H42" s="116">
        <f>INDEX(Vessel_Minimum_MT,MATCH(L42,Control!$E$11:$E$15,0),MATCH(G42,Control!$E$11:$O$11,0))</f>
        <v>50000</v>
      </c>
      <c r="I42" s="131">
        <f t="shared" ref="I42:I48" si="84">M42/$BD$17</f>
        <v>90096.96796338672</v>
      </c>
      <c r="J42" s="65" t="s">
        <v>336</v>
      </c>
      <c r="K42" s="65" t="str">
        <f t="shared" ref="K42:K48" si="85">IF(J42=G42,"",CONCATENATE(CONCATENATE(VLOOKUP(G42,Zones,2,FALSE),"/",VLOOKUP(J42,Zones,2,FALSE))))</f>
        <v/>
      </c>
      <c r="L42" s="156" t="s">
        <v>22</v>
      </c>
      <c r="M42" s="68">
        <v>700000</v>
      </c>
      <c r="N42" s="69">
        <v>0</v>
      </c>
      <c r="O42" s="70">
        <v>0</v>
      </c>
      <c r="P42" s="71">
        <f t="shared" ref="P42:P48" si="86">IF($G42="Esmeraldas",IF(N42&gt;1000,IF(O42=0,N42,O42)/M42*1.1,((H42*E42*(IF(O42=0,N42,O42)/100))+IF(I42&lt;H42,0,(I42-H42)*E42*IF(O42=0,N42,O42)/100*F42))/M42*1.1),IF(N42&gt;1000,IF(O42=0,N42,O42)/M42,((H42*E42*(IF(O42=0,N42,O42)/100))+IF(I42&lt;H42,0,(I42-H42)*E42*IF(O42=0,N42,O42)/100*F42)))/M42)</f>
        <v>0</v>
      </c>
      <c r="Q42" s="2"/>
      <c r="R42" s="138">
        <f>INDEX('[2]Flat Rates 2023'!$A:$DB,MATCH(T42,'[2]Flat Rates 2023'!$A:$A,0),MATCH(X42,'[2]Flat Rates 2023'!$A$1:$DB$1,0))</f>
        <v>14.2</v>
      </c>
      <c r="S42" s="138">
        <f>INDEX(Control!$E$17:$O$21,MATCH(W42,Control!$E$17:$E$21,0),MATCH(T42,Control!$E$17:$O$17,0))</f>
        <v>0.5</v>
      </c>
      <c r="T42" s="138" t="s">
        <v>336</v>
      </c>
      <c r="U42" s="116">
        <f>INDEX(Vessel_Minimum_MT,MATCH(W42,Control!$E$11:$E$15,0),MATCH(T42,Control!$E$11:$O$11,0))</f>
        <v>145000</v>
      </c>
      <c r="V42" s="140">
        <f t="shared" ref="V42:V48" si="87">Z42/$BD$17</f>
        <v>128709.9542334096</v>
      </c>
      <c r="W42" s="48" t="s">
        <v>24</v>
      </c>
      <c r="X42" s="164" t="s">
        <v>42</v>
      </c>
      <c r="Y42" s="142" t="str">
        <f t="shared" ref="Y42:Y48" si="88">IF(X42=T42,"",CONCATENATE(CONCATENATE(VLOOKUP(T42,Zones,2,FALSE),"/",VLOOKUP(X42,Zones,2,FALSE))))</f>
        <v>CARIBS/Nsea</v>
      </c>
      <c r="Z42" s="379">
        <v>1000000</v>
      </c>
      <c r="AA42" s="141">
        <v>70</v>
      </c>
      <c r="AB42" s="263">
        <v>100</v>
      </c>
      <c r="AC42" s="149">
        <f>IF(AA42&gt;1000,IF(AB42=0,AA42,AB42)/Z42,((U42*R42*(IF(AB42=0,AA42,AB42)/100))+IF(V42&lt;U42,0,(V42-U42)*R42*IF(AB42=0,AA42,AB42)/100*S42))/Z42)</f>
        <v>2.0590000000000002</v>
      </c>
      <c r="AD42" s="144">
        <v>1</v>
      </c>
      <c r="AE42" s="155">
        <f>IF(INDEX(Index,MATCH(X42,TVM_PortList,0),MATCH("Type",Control!$Q$3:$U$3,0))="BL",$A$8+INDEX(Index,MATCH(T42,TVM_PortList,0),MATCH("Payment",Control!$Q$3:$U$3,0)),$A$8+INDEX(Index,MATCH(X42,TVM_PortList,0),MATCH("Payment",Control!$Q$3:$U$3,0))+AW42)-DATE(YEAR($A$8),MONTH(EOMONTH($A$8,1)),20)</f>
        <v>360</v>
      </c>
      <c r="AF42" s="143">
        <f t="shared" ref="AF42:AF48" si="89">AD42*VLOOKUP($W42,$BF$9:$BH$13,3,FALSE)/$Z42</f>
        <v>2.3E-2</v>
      </c>
      <c r="AG42" s="143">
        <f t="shared" ref="AG42:AG48" si="90">IF(AE42&lt;0,0,$AE42*$BD$11)</f>
        <v>1.7753424657534247</v>
      </c>
      <c r="AH42" s="143">
        <f t="shared" ref="AH42:AH48" si="91">IF(((Z42-VLOOKUP(W42,$BJ$10:$BK$14,2,FALSE))/$BD$18)&lt;=0,0,ROUNDUP(((Z42-VLOOKUP(W42,$BJ$10:$BK$14,2,FALSE))/$BD$18),0)*$BH$15/Z42)</f>
        <v>0</v>
      </c>
      <c r="AI42" s="143">
        <f t="shared" ref="AI42:AI48" si="92">IF(G42="LIZA FPSO",$BD$10,0)</f>
        <v>0</v>
      </c>
      <c r="AJ42" s="143">
        <v>0</v>
      </c>
      <c r="AK42" s="143">
        <f t="shared" ref="AK42:AK48" si="93">$BD$12</f>
        <v>5.0000000000000001E-3</v>
      </c>
      <c r="AL42" s="143">
        <f t="shared" ref="AL42:AL48" si="94">$BD$13</f>
        <v>2.9999999999999997E-4</v>
      </c>
      <c r="AM42" s="143">
        <f>IF(INDEX(Control!$Q$3:$S$62,MATCH($X42,Control!$Q$3:$Q$62,0),MATCH(AM$8,Control!$Q$3:$S$3,0))=1,$BD$14*$BE$14,0)</f>
        <v>0</v>
      </c>
      <c r="AN42" s="143" t="e">
        <f>IF(INDEX(Control!$Q$3:$S$62,MATCH($X42,Control!$Q$3:$Q$62,0),MATCH(AN$8,Control!$Q$3:$S$3,0))=1,$BD$15/$Z42,0)</f>
        <v>#N/A</v>
      </c>
      <c r="AO42" s="143">
        <f>IF(X42="Rotterdam",0.19,"")</f>
        <v>0.19</v>
      </c>
      <c r="AP42" s="143">
        <f t="shared" ref="AP42:AP48" si="95">IF(AND(J42="Chiriqui Grande",T42="Puerto Armuelles"),$BG$18,0)</f>
        <v>0</v>
      </c>
      <c r="AQ42" s="149" t="e">
        <f t="shared" ref="AQ42:AQ43" si="96">SUM(AF42:AP42)</f>
        <v>#N/A</v>
      </c>
      <c r="AR42" s="149" t="e">
        <f t="shared" ref="AR42:AR48" si="97">+P42+AC42+AQ42</f>
        <v>#N/A</v>
      </c>
      <c r="AS42" s="149">
        <f t="shared" ref="AS42:AS48" si="98">IF(MONTH(A42)=MONTH(AZ42),0,IF(MONTH(AZ42)-MONTH(A42)&gt;1,VLOOKUP("Spreads",$AQ$3:$AU$4,MATCH(EOMONTH(AZ42,0),$AQ$3:$AU$3,0),FALSE)+VLOOKUP("Spreads",$AQ$3:$AU$4,MATCH(EOMONTH(AZ42,-1),$AQ$3:$AU$3,0),FALSE),VLOOKUP("Spreads",$AQ$3:$AU$4,MATCH(EOMONTH(AZ42,0),$AQ$3:$AU$3,0))))</f>
        <v>0</v>
      </c>
      <c r="AT42" s="149"/>
      <c r="AU42" s="135" t="e">
        <f t="shared" ref="AU42:AU48" si="99">$L$3+AR42+AS42+AT42</f>
        <v>#N/A</v>
      </c>
      <c r="AW42" s="153">
        <f>INDEX('[1]Transit Time'!$A:$DC,MATCH(G42,'[1]Transit Time'!$A:$A,0),MATCH(J42,'[1]Transit Time'!$A$1:$DC$1,0))+INDEX('[1]Transit Time'!$A:$DC,MATCH(J42,'[1]Transit Time'!$A:$A,0),MATCH(T42,'[1]Transit Time'!$A$1:$DC$1,0))+INDEX('[1]Transit Time'!$A:$DC,MATCH(T42,'[1]Transit Time'!$A:$A,0),MATCH(X42,'[1]Transit Time'!$A$1:$DC$1,0))</f>
        <v>14</v>
      </c>
      <c r="AY42" s="163">
        <f t="shared" ref="AY42:AY48" si="100">IF(ISBLANK(A42),"",A42+$AW42)</f>
        <v>45655</v>
      </c>
      <c r="AZ42" s="163">
        <f t="shared" ref="AZ42:AZ48" si="101">IFERROR(IF(ISBLANK(B42),"",B42+$AW42),"")</f>
        <v>45657</v>
      </c>
      <c r="BA42" s="78">
        <f>((Z42-VLOOKUP(W42,$BJ$10:$BK$14,2,FALSE))/$BD$18)</f>
        <v>-2.4390243902439025E-2</v>
      </c>
      <c r="BB42"/>
      <c r="BC42"/>
      <c r="BD42"/>
      <c r="BE42"/>
      <c r="BF42"/>
      <c r="BG42"/>
      <c r="BH42"/>
      <c r="BI42"/>
      <c r="BJ42"/>
      <c r="BK42"/>
    </row>
    <row r="43" spans="1:63" x14ac:dyDescent="0.35">
      <c r="A43" s="230">
        <f t="shared" ref="A43:A48" si="102">+$A$9</f>
        <v>45641</v>
      </c>
      <c r="B43" s="230">
        <f t="shared" si="82"/>
        <v>45643</v>
      </c>
      <c r="D43" s="244"/>
      <c r="E43" s="245">
        <f>IF(G43=J43,0,INDEX('[2]Flat Rates 2023'!$A:$DB,MATCH(G43,'[2]Flat Rates 2023'!$A:$A,0),MATCH(J43,'[2]Flat Rates 2023'!$A$1:$DB$1,0)))</f>
        <v>0</v>
      </c>
      <c r="F43" s="245">
        <f>INDEX(Control!$E$17:$O$21,MATCH(L43,Control!$E$17:$E$21,0),MATCH(G43,Control!$E$17:$O$17,0))</f>
        <v>0.5</v>
      </c>
      <c r="G43" s="245" t="str">
        <f t="shared" si="83"/>
        <v>LIZA FPSO</v>
      </c>
      <c r="H43" s="213">
        <f>INDEX(Vessel_Minimum_MT,MATCH(L43,Control!$E$11:$E$15,0),MATCH(G43,Control!$E$11:$O$11,0))</f>
        <v>50000</v>
      </c>
      <c r="I43" s="246">
        <f t="shared" si="84"/>
        <v>90096.96796338672</v>
      </c>
      <c r="J43" s="245" t="s">
        <v>336</v>
      </c>
      <c r="K43" s="245" t="str">
        <f t="shared" si="85"/>
        <v/>
      </c>
      <c r="L43" s="247" t="s">
        <v>22</v>
      </c>
      <c r="M43" s="246">
        <v>700000</v>
      </c>
      <c r="N43" s="248">
        <v>0</v>
      </c>
      <c r="O43" s="249">
        <v>0</v>
      </c>
      <c r="P43" s="250">
        <f t="shared" si="86"/>
        <v>0</v>
      </c>
      <c r="Q43" s="2"/>
      <c r="R43" s="220">
        <f>INDEX('[2]Flat Rates 2023'!$A:$DB,MATCH(T43,'[2]Flat Rates 2023'!$A:$A,0),MATCH(X43,'[2]Flat Rates 2023'!$A$1:$DB$1,0))</f>
        <v>0</v>
      </c>
      <c r="S43" s="220">
        <f>INDEX(Control!$E$17:$O$21,MATCH(W43,Control!$E$17:$E$21,0),MATCH(T43,Control!$E$17:$O$17,0))</f>
        <v>0.5</v>
      </c>
      <c r="T43" s="220" t="s">
        <v>336</v>
      </c>
      <c r="U43" s="213">
        <f>INDEX(Vessel_Minimum_MT,MATCH(W43,Control!$E$11:$E$15,0),MATCH(T43,Control!$E$11:$O$11,0))</f>
        <v>145000</v>
      </c>
      <c r="V43" s="222">
        <f t="shared" si="87"/>
        <v>128709.9542334096</v>
      </c>
      <c r="W43" s="215" t="s">
        <v>24</v>
      </c>
      <c r="X43" s="223" t="s">
        <v>47</v>
      </c>
      <c r="Y43" s="212" t="str">
        <f t="shared" si="88"/>
        <v>CARIBS/Nsea</v>
      </c>
      <c r="Z43" s="312">
        <f t="shared" ref="Z43:Z46" si="103">$Z$42</f>
        <v>1000000</v>
      </c>
      <c r="AA43" s="214">
        <v>70</v>
      </c>
      <c r="AB43" s="262">
        <f>AB42</f>
        <v>100</v>
      </c>
      <c r="AC43" s="225">
        <f t="shared" ref="AC43:AC48" si="104">IF(AA43&gt;1000,IF(AB43=0,AA43,AB43)/Z43,((U43*R43*(IF(AB43=0,AA43,AB43)/100))+IF(V43&lt;U43,0,(V43-U43)*R43*IF(AB43=0,AA43,AB43)/100*S43))/Z43)</f>
        <v>0</v>
      </c>
      <c r="AD43" s="226">
        <f t="shared" ref="AD43:AD48" si="105">$AD$42</f>
        <v>1</v>
      </c>
      <c r="AE43" s="214">
        <f>IF(INDEX(Index,MATCH(X43,TVM_PortList,0),MATCH("Type",Control!$Q$3:$U$3,0))="BL",$A$8+INDEX(Index,MATCH(T43,TVM_PortList,0),MATCH("Payment",Control!$Q$3:$U$3,0)),$A$8+INDEX(Index,MATCH(X43,TVM_PortList,0),MATCH("Payment",Control!$Q$3:$U$3,0))+AW43)-DATE(YEAR($A$8),MONTH(EOMONTH($A$8,1)),20)</f>
        <v>360</v>
      </c>
      <c r="AF43" s="227">
        <f t="shared" si="89"/>
        <v>2.3E-2</v>
      </c>
      <c r="AG43" s="227">
        <f t="shared" si="90"/>
        <v>1.7753424657534247</v>
      </c>
      <c r="AH43" s="227">
        <f t="shared" si="91"/>
        <v>0</v>
      </c>
      <c r="AI43" s="227">
        <f t="shared" si="92"/>
        <v>0</v>
      </c>
      <c r="AJ43" s="227">
        <v>0</v>
      </c>
      <c r="AK43" s="227">
        <f t="shared" si="93"/>
        <v>5.0000000000000001E-3</v>
      </c>
      <c r="AL43" s="227">
        <f t="shared" si="94"/>
        <v>2.9999999999999997E-4</v>
      </c>
      <c r="AM43" s="227">
        <f>IF(INDEX(Control!$Q$3:$S$62,MATCH($X43,Control!$Q$3:$Q$62,0),MATCH(AM$8,Control!$Q$3:$S$3,0))=1,$BD$14*$BE$14,0)</f>
        <v>0</v>
      </c>
      <c r="AN43" s="227" t="e">
        <f>IF(INDEX(Control!$Q$3:$S$62,MATCH($X43,Control!$Q$3:$Q$62,0),MATCH(AN$8,Control!$Q$3:$S$3,0))=1,$BD$15/$Z43,0)</f>
        <v>#N/A</v>
      </c>
      <c r="AO43" s="227" t="str">
        <f t="shared" ref="AO43:AO48" si="106">IF(X43="Rotterdam",0.12,"")</f>
        <v/>
      </c>
      <c r="AP43" s="227">
        <f t="shared" si="95"/>
        <v>0</v>
      </c>
      <c r="AQ43" s="225" t="e">
        <f t="shared" si="96"/>
        <v>#N/A</v>
      </c>
      <c r="AR43" s="225" t="e">
        <f t="shared" si="97"/>
        <v>#N/A</v>
      </c>
      <c r="AS43" s="225">
        <f t="shared" si="98"/>
        <v>0</v>
      </c>
      <c r="AT43" s="225">
        <f t="shared" ref="AT43:AT48" si="107">+IF($AQ$3=1,HLOOKUP(EOMONTH(AZ43,0),$AR$3:$AU$6,4,FALSE),IF($AQ$3=2,HLOOKUP(EOMONTH(AZ43,0),$AR$3:$AU$6,3,FALSE),0))</f>
        <v>0</v>
      </c>
      <c r="AU43" s="228" t="e">
        <f t="shared" si="99"/>
        <v>#N/A</v>
      </c>
      <c r="AV43" s="220"/>
      <c r="AW43" s="229">
        <f>INDEX('[1]Transit Time'!$A:$DC,MATCH(G43,'[1]Transit Time'!$A:$A,0),MATCH(J43,'[1]Transit Time'!$A$1:$DC$1,0))+INDEX('[1]Transit Time'!$A:$DC,MATCH(J43,'[1]Transit Time'!$A:$A,0),MATCH(T43,'[1]Transit Time'!$A$1:$DC$1,0))+INDEX('[1]Transit Time'!$A:$DC,MATCH(T43,'[1]Transit Time'!$A:$A,0),MATCH(X43,'[1]Transit Time'!$A$1:$DC$1,0))</f>
        <v>0</v>
      </c>
      <c r="AX43" s="204"/>
      <c r="AY43" s="230">
        <f t="shared" si="100"/>
        <v>45641</v>
      </c>
      <c r="AZ43" s="230">
        <f t="shared" si="101"/>
        <v>45643</v>
      </c>
      <c r="BB43"/>
      <c r="BC43"/>
      <c r="BD43"/>
      <c r="BE43"/>
      <c r="BF43"/>
      <c r="BG43"/>
      <c r="BH43"/>
      <c r="BI43"/>
      <c r="BJ43"/>
      <c r="BK43"/>
    </row>
    <row r="44" spans="1:63" x14ac:dyDescent="0.35">
      <c r="A44" s="163">
        <f t="shared" si="102"/>
        <v>45641</v>
      </c>
      <c r="B44" s="163">
        <f t="shared" si="82"/>
        <v>45643</v>
      </c>
      <c r="D44" s="157"/>
      <c r="E44" s="158">
        <f>IF(G44=J44,0,INDEX('[2]Flat Rates 2023'!$A:$DB,MATCH(G44,'[2]Flat Rates 2023'!$A:$A,0),MATCH(J44,'[2]Flat Rates 2023'!$A$1:$DB$1,0)))</f>
        <v>0</v>
      </c>
      <c r="F44" s="158">
        <f>INDEX(Control!$E$17:$O$21,MATCH(L44,Control!$E$17:$E$21,0),MATCH(G44,Control!$E$17:$O$17,0))</f>
        <v>0.5</v>
      </c>
      <c r="G44" s="158" t="str">
        <f t="shared" si="83"/>
        <v>LIZA FPSO</v>
      </c>
      <c r="H44" s="116">
        <f>INDEX(Vessel_Minimum_MT,MATCH(L44,Control!$E$11:$E$15,0),MATCH(G44,Control!$E$11:$O$11,0))</f>
        <v>50000</v>
      </c>
      <c r="I44" s="159">
        <f t="shared" si="84"/>
        <v>90096.96796338672</v>
      </c>
      <c r="J44" s="158" t="s">
        <v>336</v>
      </c>
      <c r="K44" s="158" t="str">
        <f t="shared" si="85"/>
        <v/>
      </c>
      <c r="L44" s="156" t="s">
        <v>22</v>
      </c>
      <c r="M44" s="159">
        <v>700000</v>
      </c>
      <c r="N44" s="160">
        <v>0</v>
      </c>
      <c r="O44" s="161">
        <v>0</v>
      </c>
      <c r="P44" s="162">
        <f t="shared" si="86"/>
        <v>0</v>
      </c>
      <c r="Q44" s="2"/>
      <c r="R44" s="220">
        <f>INDEX('[2]Flat Rates 2023'!$A:$DB,MATCH(T44,'[2]Flat Rates 2023'!$A:$A,0),MATCH(X44,'[2]Flat Rates 2023'!$A$1:$DB$1,0))</f>
        <v>0</v>
      </c>
      <c r="S44" s="138">
        <f>INDEX(Control!$E$17:$O$21,MATCH(W44,Control!$E$17:$E$21,0),MATCH(T44,Control!$E$17:$O$17,0))</f>
        <v>0.5</v>
      </c>
      <c r="T44" s="138" t="s">
        <v>336</v>
      </c>
      <c r="U44" s="116">
        <f>INDEX(Vessel_Minimum_MT,MATCH(W44,Control!$E$11:$E$15,0),MATCH(T44,Control!$E$11:$O$11,0))</f>
        <v>145000</v>
      </c>
      <c r="V44" s="140">
        <f t="shared" si="87"/>
        <v>128709.9542334096</v>
      </c>
      <c r="W44" s="147" t="s">
        <v>24</v>
      </c>
      <c r="X44" s="164" t="s">
        <v>39</v>
      </c>
      <c r="Y44" s="142" t="str">
        <f t="shared" si="88"/>
        <v>CARIBS/Nsea</v>
      </c>
      <c r="Z44" s="141">
        <f t="shared" si="103"/>
        <v>1000000</v>
      </c>
      <c r="AA44" s="141">
        <v>70</v>
      </c>
      <c r="AB44" s="151">
        <f>AB43</f>
        <v>100</v>
      </c>
      <c r="AC44" s="149">
        <f t="shared" si="104"/>
        <v>0</v>
      </c>
      <c r="AD44" s="144">
        <f t="shared" si="105"/>
        <v>1</v>
      </c>
      <c r="AE44" s="155">
        <f>IF(INDEX(Index,MATCH(X44,TVM_PortList,0),MATCH("Type",Control!$Q$3:$U$3,0))="BL",$A$8+INDEX(Index,MATCH(T44,TVM_PortList,0),MATCH("Payment",Control!$Q$3:$U$3,0)),$A$8+INDEX(Index,MATCH(X44,TVM_PortList,0),MATCH("Payment",Control!$Q$3:$U$3,0))+AW44)-DATE(YEAR($A$8),MONTH(EOMONTH($A$8,1)),20)</f>
        <v>360</v>
      </c>
      <c r="AF44" s="143">
        <f t="shared" si="89"/>
        <v>2.3E-2</v>
      </c>
      <c r="AG44" s="143">
        <f t="shared" si="90"/>
        <v>1.7753424657534247</v>
      </c>
      <c r="AH44" s="143">
        <f t="shared" si="91"/>
        <v>0</v>
      </c>
      <c r="AI44" s="143">
        <f t="shared" si="92"/>
        <v>0</v>
      </c>
      <c r="AJ44" s="143">
        <v>0</v>
      </c>
      <c r="AK44" s="143">
        <f t="shared" si="93"/>
        <v>5.0000000000000001E-3</v>
      </c>
      <c r="AL44" s="143">
        <f t="shared" si="94"/>
        <v>2.9999999999999997E-4</v>
      </c>
      <c r="AM44" s="143">
        <f>IF(INDEX(Control!$Q$3:$S$62,MATCH($X44,Control!$Q$3:$Q$62,0),MATCH(AM$8,Control!$Q$3:$S$3,0))=1,$BD$14*$BE$14,0)</f>
        <v>0</v>
      </c>
      <c r="AN44" s="143" t="e">
        <f>IF(INDEX(Control!$Q$3:$S$62,MATCH($X44,Control!$Q$3:$Q$62,0),MATCH(AN$8,Control!$Q$3:$S$3,0))=1,$BD$15/$Z44,0)</f>
        <v>#N/A</v>
      </c>
      <c r="AO44" s="143" t="str">
        <f t="shared" si="106"/>
        <v/>
      </c>
      <c r="AP44" s="143">
        <f t="shared" si="95"/>
        <v>0</v>
      </c>
      <c r="AQ44" s="149" t="e">
        <f t="shared" ref="AQ44" si="108">SUM(AF44:AP44)</f>
        <v>#N/A</v>
      </c>
      <c r="AR44" s="149" t="e">
        <f t="shared" si="97"/>
        <v>#N/A</v>
      </c>
      <c r="AS44" s="149">
        <f t="shared" si="98"/>
        <v>0</v>
      </c>
      <c r="AT44" s="149">
        <f t="shared" si="107"/>
        <v>0</v>
      </c>
      <c r="AU44" s="145" t="e">
        <f t="shared" si="99"/>
        <v>#N/A</v>
      </c>
      <c r="AW44" s="153">
        <f>INDEX('[1]Transit Time'!$A:$DC,MATCH(G44,'[1]Transit Time'!$A:$A,0),MATCH(J44,'[1]Transit Time'!$A$1:$DC$1,0))+INDEX('[1]Transit Time'!$A:$DC,MATCH(J44,'[1]Transit Time'!$A:$A,0),MATCH(T44,'[1]Transit Time'!$A$1:$DC$1,0))+INDEX('[1]Transit Time'!$A:$DC,MATCH(T44,'[1]Transit Time'!$A:$A,0),MATCH(X44,'[1]Transit Time'!$A$1:$DC$1,0))</f>
        <v>0</v>
      </c>
      <c r="AX44" s="152"/>
      <c r="AY44" s="163">
        <f t="shared" si="100"/>
        <v>45641</v>
      </c>
      <c r="AZ44" s="163">
        <f t="shared" si="101"/>
        <v>45643</v>
      </c>
      <c r="BB44"/>
      <c r="BC44"/>
      <c r="BD44"/>
      <c r="BE44"/>
      <c r="BF44"/>
      <c r="BG44"/>
      <c r="BH44"/>
      <c r="BI44"/>
      <c r="BJ44"/>
      <c r="BK44"/>
    </row>
    <row r="45" spans="1:63" ht="17.25" customHeight="1" x14ac:dyDescent="0.35">
      <c r="A45" s="230">
        <f t="shared" si="102"/>
        <v>45641</v>
      </c>
      <c r="B45" s="230">
        <f t="shared" si="82"/>
        <v>45643</v>
      </c>
      <c r="D45" s="251"/>
      <c r="E45" s="252">
        <f>IF(G45=J45,0,INDEX('[2]Flat Rates 2023'!$A:$DB,MATCH(G45,'[2]Flat Rates 2023'!$A:$A,0),MATCH(J45,'[2]Flat Rates 2023'!$A$1:$DB$1,0)))</f>
        <v>0</v>
      </c>
      <c r="F45" s="252">
        <f>INDEX(Control!$E$17:$O$21,MATCH(L45,Control!$E$17:$E$21,0),MATCH(G45,Control!$E$17:$O$17,0))</f>
        <v>0.5</v>
      </c>
      <c r="G45" s="252" t="str">
        <f t="shared" si="83"/>
        <v>LIZA FPSO</v>
      </c>
      <c r="H45" s="213">
        <f>INDEX(Vessel_Minimum_MT,MATCH(L45,Control!$E$11:$E$15,0),MATCH(G45,Control!$E$11:$O$11,0))</f>
        <v>50000</v>
      </c>
      <c r="I45" s="253">
        <f t="shared" si="84"/>
        <v>90096.96796338672</v>
      </c>
      <c r="J45" s="252" t="s">
        <v>336</v>
      </c>
      <c r="K45" s="252" t="str">
        <f t="shared" si="85"/>
        <v/>
      </c>
      <c r="L45" s="247" t="s">
        <v>22</v>
      </c>
      <c r="M45" s="254">
        <v>700000</v>
      </c>
      <c r="N45" s="255">
        <v>0</v>
      </c>
      <c r="O45" s="256">
        <v>0</v>
      </c>
      <c r="P45" s="257">
        <f t="shared" si="86"/>
        <v>0</v>
      </c>
      <c r="Q45" s="2"/>
      <c r="R45" s="220">
        <f>INDEX('[2]Flat Rates 2023'!$A:$DB,MATCH(T45,'[2]Flat Rates 2023'!$A:$A,0),MATCH(X45,'[2]Flat Rates 2023'!$A$1:$DB$1,0))</f>
        <v>0</v>
      </c>
      <c r="S45" s="220">
        <f>INDEX(Control!$E$17:$O$21,MATCH(W45,Control!$E$17:$E$21,0),MATCH(T45,Control!$E$17:$O$17,0))</f>
        <v>0.5</v>
      </c>
      <c r="T45" s="220" t="s">
        <v>336</v>
      </c>
      <c r="U45" s="213">
        <f>INDEX(Vessel_Minimum_MT,MATCH(W45,Control!$E$11:$E$15,0),MATCH(T45,Control!$E$11:$O$11,0))</f>
        <v>145000</v>
      </c>
      <c r="V45" s="222">
        <f t="shared" si="87"/>
        <v>128709.9542334096</v>
      </c>
      <c r="W45" s="258" t="s">
        <v>24</v>
      </c>
      <c r="X45" s="223" t="s">
        <v>78</v>
      </c>
      <c r="Y45" s="212" t="str">
        <f t="shared" si="88"/>
        <v>CARIBS/Nsea</v>
      </c>
      <c r="Z45" s="214">
        <f t="shared" si="103"/>
        <v>1000000</v>
      </c>
      <c r="AA45" s="214">
        <v>70</v>
      </c>
      <c r="AB45" s="224">
        <v>118</v>
      </c>
      <c r="AC45" s="225">
        <f t="shared" si="104"/>
        <v>0</v>
      </c>
      <c r="AD45" s="226">
        <f t="shared" si="105"/>
        <v>1</v>
      </c>
      <c r="AE45" s="214">
        <f>IF(INDEX(Index,MATCH(X45,TVM_PortList,0),MATCH("Type",Control!$Q$3:$U$3,0))="BL",$A$8+INDEX(Index,MATCH(T45,TVM_PortList,0),MATCH("Payment",Control!$Q$3:$U$3,0)),$A$8+INDEX(Index,MATCH(X45,TVM_PortList,0),MATCH("Payment",Control!$Q$3:$U$3,0))+AW45)-DATE(YEAR($A$8),MONTH(EOMONTH($A$8,1)),20)</f>
        <v>360</v>
      </c>
      <c r="AF45" s="227">
        <f t="shared" si="89"/>
        <v>2.3E-2</v>
      </c>
      <c r="AG45" s="227">
        <f t="shared" si="90"/>
        <v>1.7753424657534247</v>
      </c>
      <c r="AH45" s="227">
        <f t="shared" si="91"/>
        <v>0</v>
      </c>
      <c r="AI45" s="227">
        <f t="shared" si="92"/>
        <v>0</v>
      </c>
      <c r="AJ45" s="227">
        <v>0</v>
      </c>
      <c r="AK45" s="227">
        <f t="shared" si="93"/>
        <v>5.0000000000000001E-3</v>
      </c>
      <c r="AL45" s="227">
        <f t="shared" si="94"/>
        <v>2.9999999999999997E-4</v>
      </c>
      <c r="AM45" s="227">
        <f>IF(INDEX(Control!$Q$3:$S$62,MATCH($X45,Control!$Q$3:$Q$62,0),MATCH(AM$8,Control!$Q$3:$S$3,0))=1,$BD$14*$BE$14,0)</f>
        <v>0</v>
      </c>
      <c r="AN45" s="227" t="e">
        <f>IF(INDEX(Control!$Q$3:$S$62,MATCH($X45,Control!$Q$3:$Q$62,0),MATCH(AN$8,Control!$Q$3:$S$3,0))=1,$BD$15/$Z45,0)</f>
        <v>#N/A</v>
      </c>
      <c r="AO45" s="227" t="str">
        <f t="shared" si="106"/>
        <v/>
      </c>
      <c r="AP45" s="227">
        <f t="shared" si="95"/>
        <v>0</v>
      </c>
      <c r="AQ45" s="225" t="e">
        <f t="shared" ref="AQ45" si="109">SUM(AF45:AP45)</f>
        <v>#N/A</v>
      </c>
      <c r="AR45" s="225" t="e">
        <f t="shared" si="97"/>
        <v>#N/A</v>
      </c>
      <c r="AS45" s="225">
        <f t="shared" si="98"/>
        <v>0</v>
      </c>
      <c r="AT45" s="225">
        <f t="shared" si="107"/>
        <v>0</v>
      </c>
      <c r="AU45" s="228" t="e">
        <f t="shared" si="99"/>
        <v>#N/A</v>
      </c>
      <c r="AV45" s="220"/>
      <c r="AW45" s="229">
        <f>INDEX('[1]Transit Time'!$A:$DC,MATCH(G45,'[1]Transit Time'!$A:$A,0),MATCH(J45,'[1]Transit Time'!$A$1:$DC$1,0))+INDEX('[1]Transit Time'!$A:$DC,MATCH(J45,'[1]Transit Time'!$A:$A,0),MATCH(T45,'[1]Transit Time'!$A$1:$DC$1,0))+INDEX('[1]Transit Time'!$A:$DC,MATCH(T45,'[1]Transit Time'!$A:$A,0),MATCH(X45,'[1]Transit Time'!$A$1:$DC$1,0))</f>
        <v>0</v>
      </c>
      <c r="AX45" s="220"/>
      <c r="AY45" s="230">
        <f t="shared" si="100"/>
        <v>45641</v>
      </c>
      <c r="AZ45" s="230">
        <f t="shared" si="101"/>
        <v>45643</v>
      </c>
      <c r="BB45"/>
      <c r="BC45"/>
      <c r="BD45"/>
      <c r="BE45"/>
      <c r="BF45"/>
      <c r="BG45"/>
      <c r="BH45"/>
      <c r="BI45"/>
      <c r="BJ45"/>
      <c r="BK45"/>
    </row>
    <row r="46" spans="1:63" ht="16" thickBot="1" x14ac:dyDescent="0.4">
      <c r="A46" s="163">
        <f t="shared" si="102"/>
        <v>45641</v>
      </c>
      <c r="B46" s="163">
        <f t="shared" si="82"/>
        <v>45643</v>
      </c>
      <c r="D46" s="157"/>
      <c r="E46" s="158">
        <f>IF(G46=J46,0,INDEX('[2]Flat Rates 2023'!$A:$DB,MATCH(G46,'[2]Flat Rates 2023'!$A:$A,0),MATCH(J46,'[2]Flat Rates 2023'!$A$1:$DB$1,0)))</f>
        <v>0</v>
      </c>
      <c r="F46" s="158">
        <f>INDEX(Control!$E$17:$O$21,MATCH(L46,Control!$E$17:$E$21,0),MATCH(G46,Control!$E$17:$O$17,0))</f>
        <v>0.5</v>
      </c>
      <c r="G46" s="158" t="str">
        <f t="shared" si="83"/>
        <v>LIZA FPSO</v>
      </c>
      <c r="H46" s="116">
        <f>INDEX(Vessel_Minimum_MT,MATCH(L46,Control!$E$11:$E$15,0),MATCH(G46,Control!$E$11:$O$11,0))</f>
        <v>50000</v>
      </c>
      <c r="I46" s="159">
        <f t="shared" si="84"/>
        <v>90096.96796338672</v>
      </c>
      <c r="J46" s="158" t="s">
        <v>336</v>
      </c>
      <c r="K46" s="158" t="str">
        <f t="shared" si="85"/>
        <v/>
      </c>
      <c r="L46" s="156" t="s">
        <v>22</v>
      </c>
      <c r="M46" s="159">
        <v>700000</v>
      </c>
      <c r="N46" s="160">
        <v>0</v>
      </c>
      <c r="O46" s="161">
        <v>0</v>
      </c>
      <c r="P46" s="162">
        <f t="shared" si="86"/>
        <v>0</v>
      </c>
      <c r="Q46" s="2"/>
      <c r="R46" s="138">
        <f>INDEX('[2]Flat Rates 2023'!$A:$DB,MATCH(T46,'[2]Flat Rates 2023'!$A:$A,0),MATCH(X46,'[2]Flat Rates 2023'!$A$1:$DB$1,0))</f>
        <v>19.39</v>
      </c>
      <c r="S46" s="138">
        <f>INDEX(Control!$E$17:$O$21,MATCH(W46,Control!$E$17:$E$21,0),MATCH(T46,Control!$E$17:$O$17,0))</f>
        <v>0.5</v>
      </c>
      <c r="T46" s="138" t="s">
        <v>336</v>
      </c>
      <c r="U46" s="116">
        <f>INDEX(Vessel_Minimum_MT,MATCH(W46,Control!$E$11:$E$15,0),MATCH(T46,Control!$E$11:$O$11,0))</f>
        <v>145000</v>
      </c>
      <c r="V46" s="140">
        <f t="shared" si="87"/>
        <v>128709.9542334096</v>
      </c>
      <c r="W46" s="147" t="s">
        <v>24</v>
      </c>
      <c r="X46" s="164" t="s">
        <v>50</v>
      </c>
      <c r="Y46" s="142" t="str">
        <f t="shared" si="88"/>
        <v>CARIBS/Med</v>
      </c>
      <c r="Z46" s="141">
        <f t="shared" si="103"/>
        <v>1000000</v>
      </c>
      <c r="AA46" s="141">
        <v>70</v>
      </c>
      <c r="AB46" s="49">
        <f>AB44</f>
        <v>100</v>
      </c>
      <c r="AC46" s="149">
        <f t="shared" si="104"/>
        <v>2.81155</v>
      </c>
      <c r="AD46" s="28">
        <f t="shared" si="105"/>
        <v>1</v>
      </c>
      <c r="AE46" s="155">
        <f>IF(INDEX(Index,MATCH(X46,TVM_PortList,0),MATCH("Type",Control!$Q$3:$U$3,0))="BL",$A$8+INDEX(Index,MATCH(T46,TVM_PortList,0),MATCH("Payment",Control!$Q$3:$U$3,0)),$A$8+INDEX(Index,MATCH(X46,TVM_PortList,0),MATCH("Payment",Control!$Q$3:$U$3,0))+AW46)-DATE(YEAR($A$8),MONTH(EOMONTH($A$8,1)),20)</f>
        <v>360</v>
      </c>
      <c r="AF46" s="143">
        <f t="shared" si="89"/>
        <v>2.3E-2</v>
      </c>
      <c r="AG46" s="143">
        <f t="shared" si="90"/>
        <v>1.7753424657534247</v>
      </c>
      <c r="AH46" s="143">
        <f t="shared" si="91"/>
        <v>0</v>
      </c>
      <c r="AI46" s="143">
        <f t="shared" si="92"/>
        <v>0</v>
      </c>
      <c r="AJ46" s="143">
        <v>0</v>
      </c>
      <c r="AK46" s="143">
        <f t="shared" si="93"/>
        <v>5.0000000000000001E-3</v>
      </c>
      <c r="AL46" s="143">
        <f t="shared" si="94"/>
        <v>2.9999999999999997E-4</v>
      </c>
      <c r="AM46" s="143">
        <f>IF(INDEX(Control!$Q$3:$S$62,MATCH($X46,Control!$Q$3:$Q$62,0),MATCH(AM$8,Control!$Q$3:$S$3,0))=1,$BD$14*$BE$14,0)</f>
        <v>0</v>
      </c>
      <c r="AN46" s="143" t="e">
        <f>IF(INDEX(Control!$Q$3:$S$62,MATCH($X46,Control!$Q$3:$Q$62,0),MATCH(AN$8,Control!$Q$3:$S$3,0))=1,$BD$15/$Z46,0)</f>
        <v>#N/A</v>
      </c>
      <c r="AO46" s="143" t="str">
        <f t="shared" si="106"/>
        <v/>
      </c>
      <c r="AP46" s="143">
        <f t="shared" si="95"/>
        <v>0</v>
      </c>
      <c r="AQ46" s="149" t="e">
        <f t="shared" ref="AQ46:AQ47" si="110">SUM(AF46:AP46)</f>
        <v>#N/A</v>
      </c>
      <c r="AR46" s="149" t="e">
        <f t="shared" si="97"/>
        <v>#N/A</v>
      </c>
      <c r="AS46" s="149" t="e">
        <f t="shared" si="98"/>
        <v>#N/A</v>
      </c>
      <c r="AT46" s="149">
        <f t="shared" si="107"/>
        <v>0</v>
      </c>
      <c r="AU46" s="135" t="e">
        <f t="shared" si="99"/>
        <v>#N/A</v>
      </c>
      <c r="AW46" s="153">
        <f>INDEX('[1]Transit Time'!$A:$DC,MATCH(G46,'[1]Transit Time'!$A:$A,0),MATCH(J46,'[1]Transit Time'!$A$1:$DC$1,0))+INDEX('[1]Transit Time'!$A:$DC,MATCH(J46,'[1]Transit Time'!$A:$A,0),MATCH(T46,'[1]Transit Time'!$A$1:$DC$1,0))+INDEX('[1]Transit Time'!$A:$DC,MATCH(T46,'[1]Transit Time'!$A:$A,0),MATCH(X46,'[1]Transit Time'!$A$1:$DC$1,0))</f>
        <v>17</v>
      </c>
      <c r="AX46" s="152"/>
      <c r="AY46" s="163">
        <f t="shared" si="100"/>
        <v>45658</v>
      </c>
      <c r="AZ46" s="163">
        <f t="shared" si="101"/>
        <v>45660</v>
      </c>
      <c r="BB46"/>
      <c r="BC46"/>
      <c r="BD46"/>
      <c r="BE46"/>
      <c r="BF46"/>
      <c r="BG46"/>
      <c r="BH46"/>
      <c r="BI46"/>
      <c r="BJ46"/>
      <c r="BK46"/>
    </row>
    <row r="47" spans="1:63" ht="16" thickBot="1" x14ac:dyDescent="0.4">
      <c r="A47" s="230">
        <f t="shared" si="102"/>
        <v>45641</v>
      </c>
      <c r="B47" s="230">
        <f t="shared" si="82"/>
        <v>45643</v>
      </c>
      <c r="D47" s="244"/>
      <c r="E47" s="245">
        <f>IF(G47=J47,0,INDEX('[2]Flat Rates 2023'!$A:$DB,MATCH(G47,'[2]Flat Rates 2023'!$A:$A,0),MATCH(J47,'[2]Flat Rates 2023'!$A$1:$DB$1,0)))</f>
        <v>0</v>
      </c>
      <c r="F47" s="245">
        <f>INDEX(Control!$E$17:$O$21,MATCH(L47,Control!$E$17:$E$21,0),MATCH(G47,Control!$E$17:$O$17,0))</f>
        <v>0.5</v>
      </c>
      <c r="G47" s="245" t="str">
        <f t="shared" si="83"/>
        <v>LIZA FPSO</v>
      </c>
      <c r="H47" s="213">
        <f>INDEX(Vessel_Minimum_MT,MATCH(L47,Control!$E$11:$E$15,0),MATCH(G47,Control!$E$11:$O$11,0))</f>
        <v>50000</v>
      </c>
      <c r="I47" s="246">
        <f t="shared" si="84"/>
        <v>90096.96796338672</v>
      </c>
      <c r="J47" s="245" t="s">
        <v>336</v>
      </c>
      <c r="K47" s="245" t="str">
        <f t="shared" si="85"/>
        <v/>
      </c>
      <c r="L47" s="247" t="s">
        <v>22</v>
      </c>
      <c r="M47" s="246">
        <v>700000</v>
      </c>
      <c r="N47" s="248">
        <v>0</v>
      </c>
      <c r="O47" s="249">
        <v>0</v>
      </c>
      <c r="P47" s="250">
        <f t="shared" si="86"/>
        <v>0</v>
      </c>
      <c r="Q47" s="2"/>
      <c r="R47" s="220">
        <f>INDEX('[2]Flat Rates 2023'!$A:$DB,MATCH(T47,'[2]Flat Rates 2023'!$A:$A,0),MATCH(X47,'[2]Flat Rates 2023'!$A$1:$DB$1,0))</f>
        <v>14.2</v>
      </c>
      <c r="S47" s="220">
        <f>INDEX(Control!$E$17:$O$21,MATCH(W47,Control!$E$17:$E$21,0),MATCH(T47,Control!$E$17:$O$17,0))</f>
        <v>0.5</v>
      </c>
      <c r="T47" s="220" t="s">
        <v>336</v>
      </c>
      <c r="U47" s="213">
        <f>INDEX(Vessel_Minimum_MT,MATCH(W47,Control!$E$11:$E$15,0),MATCH(T47,Control!$E$11:$O$11,0))</f>
        <v>145000</v>
      </c>
      <c r="V47" s="222">
        <f t="shared" si="87"/>
        <v>0.12870995423340961</v>
      </c>
      <c r="W47" s="215" t="s">
        <v>24</v>
      </c>
      <c r="X47" s="223" t="s">
        <v>42</v>
      </c>
      <c r="Y47" s="212" t="str">
        <f t="shared" si="88"/>
        <v>CARIBS/Nsea</v>
      </c>
      <c r="Z47" s="214">
        <v>1</v>
      </c>
      <c r="AA47" s="214">
        <v>70</v>
      </c>
      <c r="AB47" s="377">
        <v>35</v>
      </c>
      <c r="AC47" s="225">
        <f t="shared" si="104"/>
        <v>720650</v>
      </c>
      <c r="AD47" s="306">
        <f t="shared" si="105"/>
        <v>1</v>
      </c>
      <c r="AE47" s="214">
        <f>IF(INDEX(Index,MATCH(X47,TVM_PortList,0),MATCH("Type",Control!$Q$3:$U$3,0))="BL",$A$8+INDEX(Index,MATCH(T47,TVM_PortList,0),MATCH("Payment",Control!$Q$3:$U$3,0)),$A$8+INDEX(Index,MATCH(X47,TVM_PortList,0),MATCH("Payment",Control!$Q$3:$U$3,0))+AW47)-DATE(YEAR($A$8),MONTH(EOMONTH($A$8,1)),20)</f>
        <v>360</v>
      </c>
      <c r="AF47" s="227">
        <f t="shared" si="89"/>
        <v>23000</v>
      </c>
      <c r="AG47" s="227">
        <f t="shared" si="90"/>
        <v>1.7753424657534247</v>
      </c>
      <c r="AH47" s="227">
        <f t="shared" si="91"/>
        <v>0</v>
      </c>
      <c r="AI47" s="227">
        <f t="shared" si="92"/>
        <v>0</v>
      </c>
      <c r="AJ47" s="227">
        <v>0</v>
      </c>
      <c r="AK47" s="227">
        <f t="shared" si="93"/>
        <v>5.0000000000000001E-3</v>
      </c>
      <c r="AL47" s="227">
        <f t="shared" si="94"/>
        <v>2.9999999999999997E-4</v>
      </c>
      <c r="AM47" s="227">
        <f>IF(INDEX(Control!$Q$3:$S$62,MATCH($X47,Control!$Q$3:$Q$62,0),MATCH(AM$8,Control!$Q$3:$S$3,0))=1,$BD$14*$BE$14,0)</f>
        <v>0</v>
      </c>
      <c r="AN47" s="227" t="e">
        <f>IF(INDEX(Control!$Q$3:$S$62,MATCH($X47,Control!$Q$3:$Q$62,0),MATCH(AN$8,Control!$Q$3:$S$3,0))=1,$BD$15/$Z47,0)</f>
        <v>#N/A</v>
      </c>
      <c r="AO47" s="227">
        <f>IF(X47="Rotterdam",0.19,"")</f>
        <v>0.19</v>
      </c>
      <c r="AP47" s="227">
        <f t="shared" si="95"/>
        <v>0</v>
      </c>
      <c r="AQ47" s="225" t="e">
        <f t="shared" si="110"/>
        <v>#N/A</v>
      </c>
      <c r="AR47" s="225" t="e">
        <f t="shared" si="97"/>
        <v>#N/A</v>
      </c>
      <c r="AS47" s="225">
        <f t="shared" si="98"/>
        <v>0</v>
      </c>
      <c r="AT47" s="225">
        <f t="shared" si="107"/>
        <v>0</v>
      </c>
      <c r="AU47" s="228" t="e">
        <f t="shared" si="99"/>
        <v>#N/A</v>
      </c>
      <c r="AV47" s="220"/>
      <c r="AW47" s="229">
        <f>INDEX('[1]Transit Time'!$A:$DC,MATCH(G47,'[1]Transit Time'!$A:$A,0),MATCH(J47,'[1]Transit Time'!$A$1:$DC$1,0))+INDEX('[1]Transit Time'!$A:$DC,MATCH(J47,'[1]Transit Time'!$A:$A,0),MATCH(T47,'[1]Transit Time'!$A$1:$DC$1,0))+INDEX('[1]Transit Time'!$A:$DC,MATCH(T47,'[1]Transit Time'!$A:$A,0),MATCH(X47,'[1]Transit Time'!$A$1:$DC$1,0))</f>
        <v>14</v>
      </c>
      <c r="AX47" s="204"/>
      <c r="AY47" s="230">
        <f t="shared" si="100"/>
        <v>45655</v>
      </c>
      <c r="AZ47" s="230">
        <f t="shared" si="101"/>
        <v>45657</v>
      </c>
      <c r="BB47"/>
      <c r="BC47"/>
      <c r="BD47"/>
      <c r="BE47"/>
      <c r="BF47"/>
      <c r="BG47"/>
      <c r="BH47"/>
      <c r="BI47"/>
      <c r="BJ47"/>
      <c r="BK47"/>
    </row>
    <row r="48" spans="1:63" ht="16" thickBot="1" x14ac:dyDescent="0.4">
      <c r="A48" s="163">
        <f t="shared" si="102"/>
        <v>45641</v>
      </c>
      <c r="B48" s="163">
        <f t="shared" si="82"/>
        <v>45643</v>
      </c>
      <c r="D48" s="157"/>
      <c r="E48" s="158">
        <f>IF(G48=J48,0,INDEX('[2]Flat Rates 2023'!$A:$DB,MATCH(G48,'[2]Flat Rates 2023'!$A:$A,0),MATCH(J48,'[2]Flat Rates 2023'!$A$1:$DB$1,0)))</f>
        <v>0</v>
      </c>
      <c r="F48" s="158">
        <f>INDEX(Control!$E$17:$O$21,MATCH(L48,Control!$E$17:$E$21,0),MATCH(G48,Control!$E$17:$O$17,0))</f>
        <v>0.5</v>
      </c>
      <c r="G48" s="158" t="str">
        <f t="shared" si="83"/>
        <v>LIZA FPSO</v>
      </c>
      <c r="H48" s="116">
        <f>INDEX(Vessel_Minimum_MT,MATCH(L48,Control!$E$11:$E$15,0),MATCH(G48,Control!$E$11:$O$11,0))</f>
        <v>50000</v>
      </c>
      <c r="I48" s="159">
        <f t="shared" si="84"/>
        <v>90096.96796338672</v>
      </c>
      <c r="J48" s="158" t="s">
        <v>336</v>
      </c>
      <c r="K48" s="158" t="str">
        <f t="shared" si="85"/>
        <v/>
      </c>
      <c r="L48" s="156" t="s">
        <v>22</v>
      </c>
      <c r="M48" s="159">
        <v>700000</v>
      </c>
      <c r="N48" s="160">
        <v>0</v>
      </c>
      <c r="O48" s="161">
        <v>0</v>
      </c>
      <c r="P48" s="162">
        <f t="shared" si="86"/>
        <v>0</v>
      </c>
      <c r="Q48" s="2"/>
      <c r="R48" s="138">
        <f>INDEX('[2]Flat Rates 2023'!$A:$DB,MATCH(T48,'[2]Flat Rates 2023'!$A:$A,0),MATCH(X48,'[2]Flat Rates 2023'!$A$1:$DB$1,0))</f>
        <v>19.39</v>
      </c>
      <c r="S48" s="138">
        <f>INDEX(Control!$E$17:$O$21,MATCH(W48,Control!$E$17:$E$21,0),MATCH(T48,Control!$E$17:$O$17,0))</f>
        <v>0.5</v>
      </c>
      <c r="T48" s="138" t="s">
        <v>336</v>
      </c>
      <c r="U48" s="116">
        <f>INDEX(Vessel_Minimum_MT,MATCH(W48,Control!$E$11:$E$15,0),MATCH(T48,Control!$E$11:$O$11,0))</f>
        <v>145000</v>
      </c>
      <c r="V48" s="140">
        <f t="shared" si="87"/>
        <v>112621.2099542334</v>
      </c>
      <c r="W48" s="147" t="s">
        <v>24</v>
      </c>
      <c r="X48" s="164" t="s">
        <v>50</v>
      </c>
      <c r="Y48" s="142" t="str">
        <f t="shared" si="88"/>
        <v>CARIBS/Med</v>
      </c>
      <c r="Z48" s="141">
        <v>875000</v>
      </c>
      <c r="AA48" s="141">
        <v>70</v>
      </c>
      <c r="AB48" s="202">
        <f>AB47</f>
        <v>35</v>
      </c>
      <c r="AC48" s="149">
        <f t="shared" si="104"/>
        <v>1.12462</v>
      </c>
      <c r="AD48" s="28">
        <f t="shared" si="105"/>
        <v>1</v>
      </c>
      <c r="AE48" s="155">
        <f>IF(INDEX(Index,MATCH(X48,TVM_PortList,0),MATCH("Type",Control!$Q$3:$U$3,0))="BL",$A$8+INDEX(Index,MATCH(T48,TVM_PortList,0),MATCH("Payment",Control!$Q$3:$U$3,0)),$A$8+INDEX(Index,MATCH(X48,TVM_PortList,0),MATCH("Payment",Control!$Q$3:$U$3,0))+AW48)-DATE(YEAR($A$8),MONTH(EOMONTH($A$8,1)),20)</f>
        <v>360</v>
      </c>
      <c r="AF48" s="143">
        <f t="shared" si="89"/>
        <v>2.6285714285714287E-2</v>
      </c>
      <c r="AG48" s="143">
        <f t="shared" si="90"/>
        <v>1.7753424657534247</v>
      </c>
      <c r="AH48" s="143">
        <f t="shared" si="91"/>
        <v>0</v>
      </c>
      <c r="AI48" s="143">
        <f t="shared" si="92"/>
        <v>0</v>
      </c>
      <c r="AJ48" s="143">
        <v>0</v>
      </c>
      <c r="AK48" s="143">
        <f t="shared" si="93"/>
        <v>5.0000000000000001E-3</v>
      </c>
      <c r="AL48" s="143">
        <f t="shared" si="94"/>
        <v>2.9999999999999997E-4</v>
      </c>
      <c r="AM48" s="143">
        <f>IF(INDEX(Control!$Q$3:$S$62,MATCH($X48,Control!$Q$3:$Q$62,0),MATCH(AM$8,Control!$Q$3:$S$3,0))=1,$BD$14*$BE$14,0)</f>
        <v>0</v>
      </c>
      <c r="AN48" s="143" t="e">
        <f>IF(INDEX(Control!$Q$3:$S$62,MATCH($X48,Control!$Q$3:$Q$62,0),MATCH(AN$8,Control!$Q$3:$S$3,0))=1,$BD$15/$Z48,0)</f>
        <v>#N/A</v>
      </c>
      <c r="AO48" s="143" t="str">
        <f t="shared" si="106"/>
        <v/>
      </c>
      <c r="AP48" s="143">
        <f t="shared" si="95"/>
        <v>0</v>
      </c>
      <c r="AQ48" s="149" t="e">
        <f t="shared" ref="AQ48" si="111">SUM(AF48:AP48)</f>
        <v>#N/A</v>
      </c>
      <c r="AR48" s="149" t="e">
        <f t="shared" si="97"/>
        <v>#N/A</v>
      </c>
      <c r="AS48" s="149" t="e">
        <f t="shared" si="98"/>
        <v>#N/A</v>
      </c>
      <c r="AT48" s="149">
        <f t="shared" si="107"/>
        <v>0</v>
      </c>
      <c r="AU48" s="145" t="e">
        <f t="shared" si="99"/>
        <v>#N/A</v>
      </c>
      <c r="AW48" s="153">
        <f>INDEX('[1]Transit Time'!$A:$DC,MATCH(G48,'[1]Transit Time'!$A:$A,0),MATCH(J48,'[1]Transit Time'!$A$1:$DC$1,0))+INDEX('[1]Transit Time'!$A:$DC,MATCH(J48,'[1]Transit Time'!$A:$A,0),MATCH(T48,'[1]Transit Time'!$A$1:$DC$1,0))+INDEX('[1]Transit Time'!$A:$DC,MATCH(T48,'[1]Transit Time'!$A:$A,0),MATCH(X48,'[1]Transit Time'!$A$1:$DC$1,0))</f>
        <v>17</v>
      </c>
      <c r="AX48" s="152"/>
      <c r="AY48" s="163">
        <f t="shared" si="100"/>
        <v>45658</v>
      </c>
      <c r="AZ48" s="163">
        <f t="shared" si="101"/>
        <v>45660</v>
      </c>
      <c r="BB48"/>
      <c r="BC48"/>
      <c r="BD48"/>
      <c r="BE48"/>
      <c r="BF48"/>
      <c r="BG48"/>
      <c r="BH48"/>
      <c r="BI48"/>
      <c r="BJ48"/>
      <c r="BK48"/>
    </row>
    <row r="49" spans="1:63" ht="18.75" customHeight="1" thickBot="1" x14ac:dyDescent="0.5">
      <c r="A49" s="163"/>
      <c r="B49" s="163"/>
      <c r="D49" s="1057" t="str">
        <f>D7</f>
        <v>LIZA FPSO-PTP</v>
      </c>
      <c r="E49" s="1058"/>
      <c r="F49" s="1058"/>
      <c r="G49" s="1058"/>
      <c r="H49" s="1058"/>
      <c r="I49" s="1058"/>
      <c r="J49" s="1058"/>
      <c r="K49" s="1058"/>
      <c r="L49" s="1058"/>
      <c r="M49" s="1058"/>
      <c r="N49" s="1058"/>
      <c r="O49" s="1058"/>
      <c r="P49" s="1059"/>
      <c r="Q49" s="2"/>
      <c r="R49" s="9"/>
      <c r="S49" s="9"/>
      <c r="T49" s="9"/>
      <c r="U49" s="9"/>
      <c r="V49" s="9"/>
      <c r="W49" s="1057" t="s">
        <v>284</v>
      </c>
      <c r="X49" s="1058"/>
      <c r="Y49" s="1058"/>
      <c r="Z49" s="1058"/>
      <c r="AA49" s="1058"/>
      <c r="AB49" s="1058"/>
      <c r="AC49" s="1058"/>
      <c r="AD49" s="1058"/>
      <c r="AE49" s="1058"/>
      <c r="AF49" s="1058"/>
      <c r="AG49" s="1058"/>
      <c r="AH49" s="1058"/>
      <c r="AI49" s="1058"/>
      <c r="AJ49" s="1058"/>
      <c r="AK49" s="1058"/>
      <c r="AL49" s="1058"/>
      <c r="AM49" s="1058"/>
      <c r="AN49" s="1058"/>
      <c r="AO49" s="1058"/>
      <c r="AP49" s="1058"/>
      <c r="AQ49" s="1058"/>
      <c r="AR49" s="1058"/>
      <c r="AS49" s="1058"/>
      <c r="AT49" s="1058"/>
      <c r="AU49" s="1059"/>
      <c r="AW49"/>
      <c r="AY49"/>
      <c r="AZ49"/>
      <c r="BB49"/>
      <c r="BC49"/>
      <c r="BD49"/>
      <c r="BE49"/>
      <c r="BF49"/>
      <c r="BG49"/>
      <c r="BH49"/>
      <c r="BI49"/>
      <c r="BJ49"/>
      <c r="BK49"/>
    </row>
    <row r="50" spans="1:63" ht="29.5" customHeight="1" x14ac:dyDescent="0.35">
      <c r="A50" s="1005" t="s">
        <v>167</v>
      </c>
      <c r="B50" s="1005"/>
      <c r="D50" s="120" t="s">
        <v>276</v>
      </c>
      <c r="E50" s="152" t="s">
        <v>172</v>
      </c>
      <c r="F50" s="152" t="s">
        <v>2</v>
      </c>
      <c r="G50" s="152" t="s">
        <v>173</v>
      </c>
      <c r="H50" s="152" t="s">
        <v>174</v>
      </c>
      <c r="I50" s="125" t="s">
        <v>175</v>
      </c>
      <c r="J50" s="152" t="s">
        <v>177</v>
      </c>
      <c r="K50" s="152" t="s">
        <v>178</v>
      </c>
      <c r="L50" s="122" t="s">
        <v>176</v>
      </c>
      <c r="M50" s="120" t="s">
        <v>200</v>
      </c>
      <c r="N50" s="120" t="str">
        <f>$N$8</f>
        <v>WS Rate</v>
      </c>
      <c r="O50" s="121" t="s">
        <v>202</v>
      </c>
      <c r="P50" s="123" t="s">
        <v>335</v>
      </c>
      <c r="Q50" s="2"/>
      <c r="R50" s="120" t="s">
        <v>172</v>
      </c>
      <c r="S50" s="120" t="s">
        <v>2</v>
      </c>
      <c r="T50" s="120" t="s">
        <v>173</v>
      </c>
      <c r="U50" s="152" t="str">
        <f>$U$8</f>
        <v>Vessel MT</v>
      </c>
      <c r="V50" s="120" t="s">
        <v>175</v>
      </c>
      <c r="W50" s="120" t="s">
        <v>176</v>
      </c>
      <c r="X50" s="120" t="s">
        <v>177</v>
      </c>
      <c r="Y50" s="120" t="s">
        <v>178</v>
      </c>
      <c r="Z50" s="120" t="s">
        <v>200</v>
      </c>
      <c r="AA50" s="146" t="str">
        <f>$AA$8</f>
        <v xml:space="preserve">Current WS Rate </v>
      </c>
      <c r="AB50" s="128" t="s">
        <v>202</v>
      </c>
      <c r="AC50" s="150" t="s">
        <v>182</v>
      </c>
      <c r="AD50" s="136" t="s">
        <v>183</v>
      </c>
      <c r="AE50" s="146" t="s">
        <v>279</v>
      </c>
      <c r="AF50" s="136" t="s">
        <v>184</v>
      </c>
      <c r="AG50" s="136" t="s">
        <v>140</v>
      </c>
      <c r="AH50" s="136" t="str">
        <f>AH29</f>
        <v>STS</v>
      </c>
      <c r="AI50" s="136" t="s">
        <v>186</v>
      </c>
      <c r="AJ50" s="136" t="s">
        <v>187</v>
      </c>
      <c r="AK50" s="136" t="s">
        <v>141</v>
      </c>
      <c r="AL50" s="136" t="s">
        <v>188</v>
      </c>
      <c r="AM50" s="136" t="s">
        <v>17</v>
      </c>
      <c r="AN50" s="136" t="s">
        <v>207</v>
      </c>
      <c r="AO50" s="136" t="s">
        <v>189</v>
      </c>
      <c r="AP50" s="136" t="s">
        <v>152</v>
      </c>
      <c r="AQ50" s="150" t="s">
        <v>208</v>
      </c>
      <c r="AR50" s="150" t="s">
        <v>209</v>
      </c>
      <c r="AS50" s="150" t="s">
        <v>210</v>
      </c>
      <c r="AT50" s="150" t="str">
        <f>AT41</f>
        <v>Basis</v>
      </c>
      <c r="AU50" s="137" t="s">
        <v>211</v>
      </c>
      <c r="AW50" s="137" t="s">
        <v>195</v>
      </c>
      <c r="AY50" s="1011" t="s">
        <v>196</v>
      </c>
      <c r="AZ50" s="1011"/>
      <c r="BB50"/>
      <c r="BC50"/>
      <c r="BD50"/>
      <c r="BE50"/>
      <c r="BF50"/>
      <c r="BG50"/>
      <c r="BH50"/>
      <c r="BI50"/>
      <c r="BJ50"/>
      <c r="BK50"/>
    </row>
    <row r="51" spans="1:63" x14ac:dyDescent="0.35">
      <c r="A51" s="163">
        <f t="shared" ref="A51" si="112">+$A$9</f>
        <v>45641</v>
      </c>
      <c r="B51" s="163">
        <f t="shared" ref="B51" si="113">IF(ISBLANK(A51),"",A51+2)</f>
        <v>45643</v>
      </c>
      <c r="D51" s="16"/>
      <c r="E51" s="138">
        <f>INDEX('[2]Flat Rates 2023'!$A:$DB,MATCH(G51,'[2]Flat Rates 2023'!$A:$A,0),MATCH(J51,'[2]Flat Rates 2023'!$A$1:$DB$1,0))</f>
        <v>6.86</v>
      </c>
      <c r="F51" s="138">
        <f>INDEX(Control!$E$17:$O$21,MATCH(L51,Control!$E$17:$E$21,0),MATCH(G51,Control!$E$17:$O$17,0))</f>
        <v>0</v>
      </c>
      <c r="G51" s="138" t="str">
        <f t="shared" ref="G51" si="114">$G$9</f>
        <v>LIZA FPSO</v>
      </c>
      <c r="H51" s="116">
        <f>INDEX(Vessel_Minimum_MT,MATCH(L51,Control!$E$11:$E$15,0),MATCH(G51,Control!$E$11:$O$11,0))</f>
        <v>70000</v>
      </c>
      <c r="I51" s="116">
        <f>M51/$BD$17</f>
        <v>96532.465675057203</v>
      </c>
      <c r="J51" s="138" t="s">
        <v>55</v>
      </c>
      <c r="K51" s="138" t="str">
        <f>IF(J51=G51,"",CONCATENATE(CONCATENATE(VLOOKUP(G51,Zones,2,FALSE),"/",VLOOKUP(J51,Zones,2,FALSE))))</f>
        <v>CARIBS/CARIBS</v>
      </c>
      <c r="L51" s="147" t="s">
        <v>23</v>
      </c>
      <c r="M51" s="141">
        <v>750000</v>
      </c>
      <c r="N51" s="17">
        <v>170</v>
      </c>
      <c r="O51" s="18">
        <v>82.5</v>
      </c>
      <c r="P51" s="148">
        <f>IF($G51="Esmeraldas",IF(N51&gt;1000,IF(O51=0,N51,O51)/M51*1.1,((H51*E51*(IF(O51=0,N51,O51)/100))+IF(I51&lt;H51,0,(I51-H51)*E51*IF(O51=0,N51,O51)/100*F51))/M51*1.1),IF(N51&gt;1000,IF(O51=0,N51,O51)/M51,((H51*E51*(IF(O51=0,N51,O51)/100))+IF(I51&lt;H51,0,(I51-H51)*E51*IF(O51=0,N51,O51)/100*F51)))/M51)</f>
        <v>0.52822000000000002</v>
      </c>
      <c r="Q51" s="2"/>
      <c r="R51" s="138">
        <f>INDEX('[2]Flat Rates 2023'!$A:$DB,MATCH(T51,'[2]Flat Rates 2023'!$A:$A,0),MATCH(X51,'[2]Flat Rates 2023'!$A$1:$DB$1,0))</f>
        <v>18.82</v>
      </c>
      <c r="S51" s="138">
        <f>INDEX(Control!$E$17:$O$21,MATCH(W51,Control!$E$17:$E$21,0),MATCH(T51,Control!$E$17:$O$17,0))</f>
        <v>0.5</v>
      </c>
      <c r="T51" s="138" t="s">
        <v>55</v>
      </c>
      <c r="U51" s="116">
        <f>INDEX(Vessel_Minimum_MT,MATCH(W51,Control!$E$11:$E$15,0),MATCH(T51,Control!$E$11:$O$11,0))</f>
        <v>150000</v>
      </c>
      <c r="V51" s="140">
        <f>Z51/$BD$17</f>
        <v>128709.9542334096</v>
      </c>
      <c r="W51" s="147" t="s">
        <v>24</v>
      </c>
      <c r="X51" s="164" t="s">
        <v>42</v>
      </c>
      <c r="Y51" s="142" t="str">
        <f>IF(X51=T51,"",CONCATENATE(CONCATENATE(VLOOKUP(T51,Zones,2,FALSE),"/",VLOOKUP(X51,Zones,2,FALSE))))</f>
        <v>CARIBS/Nsea</v>
      </c>
      <c r="Z51" s="141">
        <v>1000000</v>
      </c>
      <c r="AA51" s="141">
        <f>$AA$42</f>
        <v>70</v>
      </c>
      <c r="AB51" s="151">
        <f>AB48</f>
        <v>35</v>
      </c>
      <c r="AC51" s="149">
        <f>IF($T51="Esmeraldas",IF(AA51&gt;1000,IF(AB51=0,AA51,AB51)/Z51*1.1,((U51*R51*(IF(AB51=0,AA51,AB51)/100))+IF(V51&lt;U51,0,(V51-U51)*R51*IF(AB51=0,AA51,AB51)/100*S51))/Z51*1.1),IF(AA51&gt;1000,IF(AB51=0,AA51,AB51)/Z51,((U51*R51*(IF(AB51=0,AA51,AB51)/100))+IF(V51&lt;U51,0,(V51-U51)*R51*IF(AB51=0,AA51,AB51)/100*S51))/Z51))</f>
        <v>0.98804999999999987</v>
      </c>
      <c r="AD51" s="134">
        <v>2</v>
      </c>
      <c r="AE51" s="155">
        <f>IF(INDEX(Index,MATCH(X51,TVM_PortList,0),MATCH("Type",Control!$Q$3:$U$3,0))="BL",$A$8+INDEX(Index,MATCH(T51,TVM_PortList,0),MATCH("Payment",Control!$Q$3:$U$3,0)),$A$8+INDEX(Index,MATCH(T51,TVM_PortList,0),MATCH("Payment",Control!$Q$3:$U$3,0))+AW51)-DATE(YEAR($A$8),MONTH(EOMONTH($A$8,1)),20)</f>
        <v>343</v>
      </c>
      <c r="AF51" s="143">
        <f>AD51*VLOOKUP($W51,$BF$9:$BH$13,3,FALSE)/$Z51</f>
        <v>4.5999999999999999E-2</v>
      </c>
      <c r="AG51" s="143">
        <f>IF(AE51&lt;0,0,$AE51*$BD$11)</f>
        <v>1.6915068493150685</v>
      </c>
      <c r="AH51" s="143">
        <f>IF(((Z51-VLOOKUP(W51,$BJ$10:$BK$14,2,FALSE))/$BD$18)&lt;=0,0,$BH$15/Z51)</f>
        <v>0</v>
      </c>
      <c r="AI51" s="143">
        <f>IF(G51="LIZA FPSO",$BD$10,0)</f>
        <v>0</v>
      </c>
      <c r="AJ51" s="143">
        <v>0</v>
      </c>
      <c r="AK51" s="143">
        <f t="shared" ref="AK51" si="115">$BD$12</f>
        <v>5.0000000000000001E-3</v>
      </c>
      <c r="AL51" s="143">
        <f t="shared" ref="AL51" si="116">$BD$13</f>
        <v>2.9999999999999997E-4</v>
      </c>
      <c r="AM51" s="143">
        <f>IF(INDEX(Control!$Q$3:$S$62,MATCH($X51,Control!$Q$3:$Q$62,0),MATCH(AM$8,Control!$Q$3:$S$3,0))=1,$BD$14*$BE$14,0)</f>
        <v>0</v>
      </c>
      <c r="AN51" s="143" t="e">
        <f>IF(INDEX(Control!$Q$3:$S$62,MATCH($X51,Control!$Q$3:$Q$62,0),MATCH(AN$8,Control!$Q$3:$S$3,0))=1,$BD$15/$Z51,0)</f>
        <v>#N/A</v>
      </c>
      <c r="AO51" s="143">
        <f>$BD$16</f>
        <v>0</v>
      </c>
      <c r="AP51" s="143">
        <f>IF(AND(J51="Chiriqui Grande",T51="Puerto Armuelles"),$BG$18,0)</f>
        <v>0</v>
      </c>
      <c r="AQ51" s="149" t="e">
        <f t="shared" ref="AQ51" si="117">SUM(AF51:AP51)</f>
        <v>#N/A</v>
      </c>
      <c r="AR51" s="149" t="e">
        <f>+P51+AC51+AQ51</f>
        <v>#N/A</v>
      </c>
      <c r="AS51" s="149" t="e">
        <f>IF(MONTH(A51)=MONTH(AZ51),0,IF(MONTH(AZ51)-MONTH(A51)&gt;1,VLOOKUP("Spreads",$AQ$3:$AU$4,MATCH(EOMONTH(AZ51,0),$AQ$3:$AU$3,0),FALSE)+VLOOKUP("Spreads",$AQ$3:$AU$4,MATCH(EOMONTH(AZ51,-1),$AQ$3:$AU$3,0),FALSE),VLOOKUP("Spreads",$AQ$3:$AU$4,MATCH(EOMONTH(AZ51,0),$AQ$3:$AU$3,0))))</f>
        <v>#N/A</v>
      </c>
      <c r="AT51" s="149">
        <f>+IF($AQ$3=1,HLOOKUP(EOMONTH(AZ51,0),$AR$3:$AU$6,4,FALSE),IF($AQ$3=2,HLOOKUP(EOMONTH(AZ51,0),$AR$3:$AU$6,3,FALSE),0))</f>
        <v>0</v>
      </c>
      <c r="AU51" s="145" t="e">
        <f>$L$3+AR51+AS51+AT51</f>
        <v>#N/A</v>
      </c>
      <c r="AW51" s="153">
        <f>INDEX('[1]Transit Time'!$A:$DC,MATCH(G51,'[1]Transit Time'!$A:$A,0),MATCH(J51,'[1]Transit Time'!$A$1:$DC$1,0))+INDEX('[1]Transit Time'!$A:$DC,MATCH(J51,'[1]Transit Time'!$A:$A,0),MATCH(T51,'[1]Transit Time'!$A$1:$DC$1,0))+INDEX('[1]Transit Time'!$A:$DC,MATCH(T51,'[1]Transit Time'!$A:$A,0),MATCH(X51,'[1]Transit Time'!$A$1:$DC$1,0))</f>
        <v>24.5</v>
      </c>
      <c r="AY51" s="163">
        <f>IF(ISBLANK(A51),"",A51+$AW51)</f>
        <v>45665.5</v>
      </c>
      <c r="AZ51" s="163">
        <f>IFERROR(IF(ISBLANK(B51),"",B51+$AW51),"")</f>
        <v>45667.5</v>
      </c>
      <c r="BB51"/>
      <c r="BC51"/>
      <c r="BD51"/>
      <c r="BE51"/>
      <c r="BF51"/>
      <c r="BG51"/>
      <c r="BH51"/>
      <c r="BI51"/>
      <c r="BJ51"/>
      <c r="BK51"/>
    </row>
    <row r="52" spans="1:63" x14ac:dyDescent="0.35">
      <c r="A52"/>
      <c r="B52"/>
      <c r="M52"/>
      <c r="N52"/>
      <c r="O52"/>
      <c r="Q52" s="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B52"/>
      <c r="BC52"/>
      <c r="BD52"/>
      <c r="BE52"/>
      <c r="BF52"/>
      <c r="BG52"/>
      <c r="BH52"/>
      <c r="BI52"/>
      <c r="BJ52"/>
      <c r="BK52"/>
    </row>
    <row r="53" spans="1:63" x14ac:dyDescent="0.35">
      <c r="A53"/>
      <c r="B53"/>
      <c r="M53"/>
      <c r="N53"/>
      <c r="O53"/>
      <c r="Q53" s="2"/>
      <c r="AA53" s="3"/>
      <c r="AB53"/>
      <c r="AC53"/>
      <c r="AD53"/>
      <c r="AE53" s="308"/>
      <c r="AF53" s="308"/>
      <c r="AG53"/>
      <c r="AH53"/>
      <c r="AI53"/>
      <c r="AJ53"/>
      <c r="AK53"/>
      <c r="AL53"/>
      <c r="AM53"/>
      <c r="AN53"/>
      <c r="AO53"/>
      <c r="AP53"/>
      <c r="AQ53"/>
      <c r="AR53"/>
      <c r="AT53"/>
      <c r="AU53"/>
      <c r="AV53"/>
      <c r="AW53"/>
      <c r="AX53"/>
      <c r="AY53"/>
      <c r="AZ53"/>
      <c r="BB53"/>
      <c r="BC53"/>
      <c r="BD53"/>
      <c r="BE53"/>
      <c r="BF53"/>
      <c r="BG53"/>
      <c r="BH53"/>
      <c r="BI53"/>
      <c r="BJ53"/>
      <c r="BK53"/>
    </row>
    <row r="54" spans="1:63" x14ac:dyDescent="0.35">
      <c r="A54"/>
      <c r="B54"/>
      <c r="M54"/>
      <c r="N54"/>
      <c r="O54"/>
      <c r="Q54" s="2"/>
      <c r="X54" s="308"/>
      <c r="AB54"/>
      <c r="AC54"/>
      <c r="AD54"/>
      <c r="AE54" s="3">
        <v>2.83</v>
      </c>
      <c r="AF54" s="362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B54"/>
      <c r="BC54"/>
      <c r="BD54"/>
      <c r="BE54"/>
      <c r="BF54"/>
      <c r="BG54"/>
      <c r="BH54"/>
      <c r="BI54"/>
      <c r="BJ54"/>
      <c r="BK54"/>
    </row>
    <row r="55" spans="1:63" x14ac:dyDescent="0.35">
      <c r="A55"/>
      <c r="B55"/>
      <c r="M55"/>
      <c r="N55"/>
      <c r="O55"/>
      <c r="Q55" s="2"/>
      <c r="W55" s="362"/>
      <c r="X55" s="308"/>
      <c r="AB55"/>
      <c r="AC55" s="2"/>
      <c r="AD55" s="3"/>
      <c r="AE55" s="195">
        <v>2.38</v>
      </c>
      <c r="AF55"/>
      <c r="AG55">
        <v>4.95</v>
      </c>
      <c r="AH55"/>
      <c r="AI55"/>
      <c r="AJ55"/>
      <c r="AK55"/>
      <c r="AL55"/>
      <c r="AM55"/>
      <c r="AN55"/>
      <c r="AO55"/>
      <c r="AP55"/>
      <c r="AQ55"/>
      <c r="AR55"/>
      <c r="AS55" s="195"/>
      <c r="AT55" s="195"/>
      <c r="AU55"/>
      <c r="AV55"/>
      <c r="AW55"/>
      <c r="AX55"/>
      <c r="AY55"/>
      <c r="AZ55"/>
      <c r="BB55"/>
      <c r="BC55"/>
      <c r="BD55"/>
      <c r="BE55"/>
      <c r="BF55"/>
      <c r="BG55"/>
      <c r="BH55"/>
      <c r="BI55"/>
      <c r="BJ55"/>
      <c r="BK55"/>
    </row>
    <row r="56" spans="1:63" x14ac:dyDescent="0.35">
      <c r="A56"/>
      <c r="B56"/>
      <c r="Q56" s="2"/>
      <c r="AB56" s="2"/>
      <c r="AC56" s="3"/>
      <c r="AD56" s="3"/>
      <c r="AE56" s="2"/>
      <c r="AG56" s="2">
        <v>4.45</v>
      </c>
      <c r="AK56" s="133"/>
      <c r="BB56"/>
      <c r="BC56"/>
      <c r="BD56"/>
      <c r="BE56"/>
      <c r="BF56"/>
      <c r="BG56"/>
      <c r="BH56"/>
      <c r="BI56"/>
      <c r="BJ56"/>
      <c r="BK56"/>
    </row>
    <row r="57" spans="1:63" x14ac:dyDescent="0.35">
      <c r="A57"/>
      <c r="B57"/>
      <c r="Q57" s="2"/>
      <c r="AB57" s="2"/>
      <c r="AC57" s="3"/>
      <c r="AD57" s="3"/>
      <c r="AE57" s="2"/>
      <c r="AG57" s="2">
        <f>AVERAGE(AG55:AG56)</f>
        <v>4.7</v>
      </c>
      <c r="AK57" s="133"/>
    </row>
    <row r="58" spans="1:63" x14ac:dyDescent="0.35">
      <c r="A58"/>
      <c r="B58"/>
      <c r="Q58" s="2"/>
      <c r="AB58" s="34"/>
      <c r="AC58" s="2"/>
      <c r="AD58" s="3"/>
      <c r="AE58" s="2"/>
      <c r="AK58" s="133"/>
    </row>
    <row r="59" spans="1:63" x14ac:dyDescent="0.35">
      <c r="A59"/>
      <c r="B59"/>
      <c r="Q59" s="2"/>
      <c r="AB59" s="2"/>
      <c r="AC59" s="132"/>
      <c r="AD59" s="3"/>
      <c r="AE59" s="2"/>
      <c r="AK59" s="133"/>
    </row>
    <row r="60" spans="1:63" x14ac:dyDescent="0.35">
      <c r="A60"/>
      <c r="B60"/>
      <c r="AB60" s="2"/>
      <c r="AC60" s="132"/>
      <c r="AD60" s="3"/>
      <c r="AE60" s="2"/>
      <c r="AK60" s="133"/>
    </row>
    <row r="61" spans="1:63" x14ac:dyDescent="0.35">
      <c r="A61"/>
      <c r="B61"/>
      <c r="AB61" s="2"/>
      <c r="AC61" s="2"/>
      <c r="AD61" s="3"/>
      <c r="AE61" s="2"/>
      <c r="AK61" s="133"/>
    </row>
    <row r="62" spans="1:63" x14ac:dyDescent="0.35">
      <c r="AB62" s="2"/>
      <c r="AC62" s="2"/>
      <c r="AE62" s="2"/>
      <c r="AK62" s="133"/>
    </row>
    <row r="63" spans="1:63" x14ac:dyDescent="0.35">
      <c r="AC63" s="3"/>
      <c r="AD63" s="34"/>
      <c r="AH63" s="1"/>
      <c r="AI63" s="1"/>
    </row>
    <row r="64" spans="1:63" x14ac:dyDescent="0.35">
      <c r="AC64" s="124"/>
      <c r="AD64" s="34"/>
      <c r="AH64" s="1"/>
      <c r="AI64" s="1"/>
    </row>
    <row r="65" spans="12:49" x14ac:dyDescent="0.35">
      <c r="AH65" s="1"/>
      <c r="AI65" s="1"/>
    </row>
    <row r="66" spans="12:49" x14ac:dyDescent="0.35">
      <c r="AH66" s="1"/>
      <c r="AI66" s="1"/>
    </row>
    <row r="67" spans="12:49" x14ac:dyDescent="0.35">
      <c r="AH67" s="1"/>
      <c r="AI67" s="1"/>
    </row>
    <row r="68" spans="12:49" x14ac:dyDescent="0.35">
      <c r="AH68" s="1"/>
      <c r="AI68" s="1"/>
    </row>
    <row r="69" spans="12:49" x14ac:dyDescent="0.35">
      <c r="L69" s="2"/>
      <c r="P69" s="2"/>
      <c r="Q69" s="2"/>
      <c r="R69" s="2"/>
      <c r="S69" s="2"/>
      <c r="T69" s="2"/>
      <c r="V69" s="2"/>
      <c r="W69" s="2"/>
      <c r="X69" s="2"/>
      <c r="AA69" s="2"/>
      <c r="AB69" s="2"/>
      <c r="AC69" s="2"/>
      <c r="AE69" s="2"/>
      <c r="AH69" s="1"/>
      <c r="AI69" s="1"/>
      <c r="AQ69" s="2"/>
      <c r="AR69" s="2"/>
      <c r="AS69" s="2"/>
      <c r="AT69" s="2"/>
      <c r="AU69" s="2"/>
      <c r="AW69" s="2"/>
    </row>
    <row r="70" spans="12:49" x14ac:dyDescent="0.35">
      <c r="L70" s="2"/>
      <c r="P70" s="2"/>
      <c r="Q70" s="2"/>
      <c r="R70" s="2"/>
      <c r="S70" s="2"/>
      <c r="T70" s="2"/>
      <c r="V70" s="2"/>
      <c r="W70" s="2"/>
      <c r="X70" s="2"/>
      <c r="AA70" s="2"/>
      <c r="AB70" s="2"/>
      <c r="AC70" s="2"/>
      <c r="AE70" s="2"/>
      <c r="AH70" s="1"/>
      <c r="AI70" s="1"/>
      <c r="AQ70" s="2"/>
      <c r="AR70" s="2"/>
      <c r="AS70" s="2"/>
      <c r="AT70" s="2"/>
      <c r="AU70" s="2"/>
      <c r="AW70" s="2"/>
    </row>
    <row r="71" spans="12:49" x14ac:dyDescent="0.35">
      <c r="L71" s="2"/>
      <c r="P71" s="2"/>
      <c r="Q71" s="2"/>
      <c r="R71" s="2"/>
      <c r="S71" s="2"/>
      <c r="T71" s="2"/>
      <c r="V71" s="2"/>
      <c r="W71" s="2"/>
      <c r="X71" s="2"/>
      <c r="AA71" s="2"/>
      <c r="AB71" s="2"/>
      <c r="AC71" s="2"/>
      <c r="AE71" s="2"/>
      <c r="AH71" s="1"/>
      <c r="AI71" s="1"/>
      <c r="AQ71" s="2"/>
      <c r="AR71" s="2"/>
      <c r="AS71" s="2"/>
      <c r="AT71" s="2"/>
      <c r="AU71" s="2"/>
      <c r="AW71" s="2"/>
    </row>
  </sheetData>
  <mergeCells count="26">
    <mergeCell ref="AY8:AZ8"/>
    <mergeCell ref="D2:AU2"/>
    <mergeCell ref="AA5:AC5"/>
    <mergeCell ref="A7:B7"/>
    <mergeCell ref="D7:P7"/>
    <mergeCell ref="W7:AU7"/>
    <mergeCell ref="D16:P16"/>
    <mergeCell ref="W16:AU16"/>
    <mergeCell ref="A17:B17"/>
    <mergeCell ref="AY17:AZ17"/>
    <mergeCell ref="D24:P24"/>
    <mergeCell ref="W24:AU24"/>
    <mergeCell ref="A25:B25"/>
    <mergeCell ref="AY25:AZ25"/>
    <mergeCell ref="D28:P28"/>
    <mergeCell ref="W28:AU28"/>
    <mergeCell ref="A29:B29"/>
    <mergeCell ref="AY29:AZ29"/>
    <mergeCell ref="A50:B50"/>
    <mergeCell ref="AY50:AZ50"/>
    <mergeCell ref="D40:P40"/>
    <mergeCell ref="W40:AU40"/>
    <mergeCell ref="A41:B41"/>
    <mergeCell ref="AY41:AZ41"/>
    <mergeCell ref="D49:P49"/>
    <mergeCell ref="W49:AU49"/>
  </mergeCells>
  <conditionalFormatting sqref="A8:B15">
    <cfRule type="expression" dxfId="56" priority="22">
      <formula>LEN(A8)=0</formula>
    </cfRule>
  </conditionalFormatting>
  <conditionalFormatting sqref="A18:B23">
    <cfRule type="expression" dxfId="55" priority="1">
      <formula>LEN(A18)=0</formula>
    </cfRule>
  </conditionalFormatting>
  <conditionalFormatting sqref="A26:B27">
    <cfRule type="expression" dxfId="54" priority="39">
      <formula>LEN(A26)=0</formula>
    </cfRule>
  </conditionalFormatting>
  <conditionalFormatting sqref="A30:B39">
    <cfRule type="expression" dxfId="53" priority="5">
      <formula>LEN(A30)=0</formula>
    </cfRule>
  </conditionalFormatting>
  <conditionalFormatting sqref="A49:B49 A51:B51">
    <cfRule type="expression" dxfId="52" priority="35">
      <formula>LEN(A49)=0</formula>
    </cfRule>
  </conditionalFormatting>
  <conditionalFormatting sqref="AD9:AD15 AD26:AD27">
    <cfRule type="cellIs" dxfId="51" priority="45" operator="greaterThan">
      <formula>2</formula>
    </cfRule>
  </conditionalFormatting>
  <conditionalFormatting sqref="AD18:AD23">
    <cfRule type="cellIs" dxfId="50" priority="2" operator="greaterThan">
      <formula>2</formula>
    </cfRule>
  </conditionalFormatting>
  <conditionalFormatting sqref="AD30:AD39">
    <cfRule type="cellIs" dxfId="49" priority="25" operator="greaterThan">
      <formula>2</formula>
    </cfRule>
  </conditionalFormatting>
  <conditionalFormatting sqref="AD42:AD48">
    <cfRule type="cellIs" dxfId="48" priority="15" operator="greaterThan">
      <formula>2</formula>
    </cfRule>
  </conditionalFormatting>
  <conditionalFormatting sqref="AD51">
    <cfRule type="cellIs" dxfId="47" priority="37" operator="greaterThan">
      <formula>2</formula>
    </cfRule>
  </conditionalFormatting>
  <conditionalFormatting sqref="AY9:AZ15">
    <cfRule type="expression" dxfId="46" priority="43">
      <formula>LEN(AY9)=0</formula>
    </cfRule>
  </conditionalFormatting>
  <conditionalFormatting sqref="AY18:AZ23">
    <cfRule type="expression" dxfId="45" priority="7">
      <formula>LEN(AY18)=0</formula>
    </cfRule>
  </conditionalFormatting>
  <conditionalFormatting sqref="AY26:AZ27">
    <cfRule type="expression" dxfId="44" priority="44">
      <formula>LEN(AY26)=0</formula>
    </cfRule>
  </conditionalFormatting>
  <conditionalFormatting sqref="AY30:AZ39">
    <cfRule type="expression" dxfId="43" priority="27">
      <formula>LEN(AY30)=0</formula>
    </cfRule>
  </conditionalFormatting>
  <conditionalFormatting sqref="AY51:AZ51">
    <cfRule type="expression" dxfId="42" priority="36">
      <formula>LEN(AY51)=0</formula>
    </cfRule>
  </conditionalFormatting>
  <dataValidations count="2">
    <dataValidation type="list" allowBlank="1" showInputMessage="1" showErrorMessage="1" sqref="S51 S26:S27" xr:uid="{80FF1E29-9C29-4D68-82EA-93C978043DAA}">
      <formula1>Overages</formula1>
    </dataValidation>
    <dataValidation type="list" allowBlank="1" showInputMessage="1" showErrorMessage="1" sqref="X18:X23 X9:X15 G9:G15 J9:J15 T9:T15 J18:J23 X26:X27 X51 J51 G51 T51 T18:T23 X42:X48 G30:G39 G26:G27 T26:T27 J26:J27 T30:T39 J30:J39 X30:X39 G18:G23" xr:uid="{B167A69C-E29A-4ABE-B6D4-2F6501F9DAE0}">
      <formula1>Port_List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F6E733B-E7B8-4BB4-9020-AA1CD679FB9C}">
          <x14:formula1>
            <xm:f>Control!$E$6:$E$9</xm:f>
          </x14:formula1>
          <xm:sqref>W18:W23 W30:W39 L51 W51 L9:L15 W9:W15 W26:W27 L26:L27 L30:L39 L18:L23</xm:sqref>
        </x14:dataValidation>
        <x14:dataValidation type="list" allowBlank="1" showInputMessage="1" showErrorMessage="1" xr:uid="{DB290BC3-4D77-4078-90D3-25D5E9F5CDE8}">
          <x14:formula1>
            <xm:f>Control!$E$2:$E$4</xm:f>
          </x14:formula1>
          <xm:sqref>D26:D27 D30:D39 D51 D9:D15 D18:D23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7103-CF35-47ED-B548-9BCFD68CDF38}">
  <sheetPr codeName="Sheet11">
    <tabColor rgb="FF66FFFF"/>
    <outlinePr summaryRight="0"/>
  </sheetPr>
  <dimension ref="A1:BP151"/>
  <sheetViews>
    <sheetView showGridLines="0" topLeftCell="A2" zoomScale="80" zoomScaleNormal="80" workbookViewId="0">
      <pane xSplit="3" ySplit="22" topLeftCell="D24" activePane="bottomRight" state="frozen"/>
      <selection pane="topRight" activeCell="D2" sqref="D2"/>
      <selection pane="bottomLeft" activeCell="A24" sqref="A24"/>
      <selection pane="bottomRight" activeCell="D2" sqref="D2"/>
    </sheetView>
  </sheetViews>
  <sheetFormatPr defaultColWidth="8.81640625" defaultRowHeight="15.5" outlineLevelRow="1" outlineLevelCol="1" x14ac:dyDescent="0.35"/>
  <cols>
    <col min="1" max="1" width="8" style="2" customWidth="1"/>
    <col min="2" max="2" width="8.453125" style="2" customWidth="1"/>
    <col min="3" max="3" width="1.1796875" customWidth="1"/>
    <col min="4" max="4" width="10.453125" style="43" customWidth="1"/>
    <col min="5" max="5" width="13" style="43" customWidth="1" collapsed="1"/>
    <col min="6" max="6" width="19.54296875" style="2" hidden="1" customWidth="1" outlineLevel="1"/>
    <col min="7" max="7" width="5.54296875" style="2" hidden="1" customWidth="1" outlineLevel="1"/>
    <col min="8" max="9" width="9.453125" style="2" hidden="1" customWidth="1" outlineLevel="1"/>
    <col min="10" max="10" width="18" style="2" hidden="1" customWidth="1" outlineLevel="1"/>
    <col min="11" max="11" width="14" style="124" hidden="1" customWidth="1" outlineLevel="1"/>
    <col min="12" max="12" width="15.81640625" style="2" hidden="1" customWidth="1" outlineLevel="1"/>
    <col min="13" max="13" width="14.54296875" style="2" hidden="1" customWidth="1" outlineLevel="1"/>
    <col min="14" max="14" width="11" style="133" hidden="1" customWidth="1" outlineLevel="1"/>
    <col min="15" max="15" width="8" style="2" hidden="1" customWidth="1" outlineLevel="1"/>
    <col min="16" max="17" width="10.453125" style="2" hidden="1" customWidth="1" outlineLevel="1"/>
    <col min="18" max="18" width="10.453125" hidden="1" customWidth="1" outlineLevel="1"/>
    <col min="19" max="19" width="2.54296875" customWidth="1" collapsed="1"/>
    <col min="20" max="20" width="7.54296875" hidden="1" customWidth="1" outlineLevel="1"/>
    <col min="21" max="21" width="9.453125" hidden="1" customWidth="1" outlineLevel="1"/>
    <col min="22" max="22" width="19.54296875" hidden="1" customWidth="1" outlineLevel="1"/>
    <col min="23" max="23" width="18" style="2" hidden="1" customWidth="1" outlineLevel="1"/>
    <col min="24" max="24" width="13.453125" hidden="1" customWidth="1" outlineLevel="1"/>
    <col min="25" max="25" width="18.54296875" customWidth="1"/>
    <col min="26" max="26" width="14.54296875" customWidth="1"/>
    <col min="27" max="27" width="18" style="2" customWidth="1"/>
    <col min="28" max="28" width="16.453125" style="2" customWidth="1"/>
    <col min="29" max="29" width="17.453125" style="124" hidden="1" customWidth="1"/>
    <col min="30" max="30" width="14.54296875" style="124" customWidth="1"/>
    <col min="31" max="31" width="17.453125" style="21" customWidth="1"/>
    <col min="32" max="32" width="10.453125" style="2" customWidth="1"/>
    <col min="33" max="33" width="11" style="124" customWidth="1"/>
    <col min="34" max="34" width="13.453125" style="2" customWidth="1"/>
    <col min="35" max="35" width="7.54296875" style="2" bestFit="1" customWidth="1"/>
    <col min="36" max="36" width="9" style="2" customWidth="1" collapsed="1"/>
    <col min="37" max="37" width="10.453125" style="2" hidden="1" customWidth="1" outlineLevel="1"/>
    <col min="38" max="38" width="16" style="2" hidden="1" customWidth="1" outlineLevel="1"/>
    <col min="39" max="39" width="11" style="2" hidden="1" customWidth="1" outlineLevel="1"/>
    <col min="40" max="40" width="11.54296875" style="2" hidden="1" customWidth="1" outlineLevel="1"/>
    <col min="41" max="41" width="17" style="2" hidden="1" customWidth="1" outlineLevel="1"/>
    <col min="42" max="42" width="9.54296875" style="2" hidden="1" customWidth="1" outlineLevel="1"/>
    <col min="43" max="43" width="11.54296875" style="2" hidden="1" customWidth="1" outlineLevel="1"/>
    <col min="44" max="44" width="12.54296875" style="2" hidden="1" customWidth="1" outlineLevel="1"/>
    <col min="45" max="45" width="14.1796875" style="21" customWidth="1"/>
    <col min="46" max="46" width="8.453125" style="21" customWidth="1"/>
    <col min="47" max="47" width="10.453125" style="21" customWidth="1"/>
    <col min="48" max="48" width="9" style="21" customWidth="1"/>
    <col min="49" max="49" width="12.54296875" style="495" customWidth="1"/>
    <col min="50" max="50" width="1.1796875" style="2" customWidth="1"/>
    <col min="51" max="51" width="1.1796875" style="2" hidden="1" customWidth="1"/>
    <col min="52" max="52" width="12" style="43" customWidth="1"/>
    <col min="53" max="53" width="9.54296875" style="2" customWidth="1"/>
    <col min="54" max="54" width="10.453125" style="2" customWidth="1"/>
    <col min="55" max="55" width="8.453125" style="2" bestFit="1" customWidth="1"/>
    <col min="56" max="56" width="9.453125" style="2" customWidth="1"/>
    <col min="57" max="57" width="9.54296875" style="2" customWidth="1"/>
    <col min="58" max="58" width="12.54296875" style="735" customWidth="1"/>
    <col min="59" max="59" width="28.54296875" style="2" bestFit="1" customWidth="1"/>
    <col min="60" max="61" width="14.54296875" style="2" bestFit="1" customWidth="1"/>
    <col min="62" max="62" width="11.453125" style="2" bestFit="1" customWidth="1"/>
    <col min="63" max="63" width="8.81640625" style="2"/>
    <col min="64" max="64" width="12.54296875" style="2" bestFit="1" customWidth="1"/>
    <col min="65" max="65" width="10.453125" style="2" bestFit="1" customWidth="1"/>
    <col min="66" max="66" width="8.81640625" style="2"/>
    <col min="67" max="67" width="13.453125" style="2" bestFit="1" customWidth="1"/>
    <col min="68" max="68" width="12.54296875" style="2" bestFit="1" customWidth="1"/>
  </cols>
  <sheetData>
    <row r="1" spans="1:68" ht="15.65" hidden="1" customHeight="1" x14ac:dyDescent="0.35">
      <c r="R1" s="20"/>
      <c r="S1" s="2"/>
      <c r="T1" s="2"/>
      <c r="U1" s="2"/>
      <c r="V1" s="2"/>
      <c r="W1" s="2" t="e">
        <f>INDEX(Vessel_Minimum_MT,MATCH(Y1,Control!$E$11:$E$15,0),MATCH(V1,Control!$E$11:$J$11,0))</f>
        <v>#N/A</v>
      </c>
      <c r="X1" s="2"/>
      <c r="Y1" s="2"/>
      <c r="Z1" s="2"/>
      <c r="AH1" s="2" t="e">
        <f>AF1*VLOOKUP($Y1,Control!$F$75:$H$79,3,FALSE)/$AB1</f>
        <v>#N/A</v>
      </c>
    </row>
    <row r="2" spans="1:68" ht="29" thickBot="1" x14ac:dyDescent="0.7">
      <c r="A2" s="386"/>
      <c r="B2"/>
      <c r="D2" s="997" t="s">
        <v>153</v>
      </c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  <c r="P2" s="997"/>
      <c r="Q2" s="997"/>
      <c r="R2" s="997"/>
      <c r="S2" s="997"/>
      <c r="T2" s="997"/>
      <c r="U2" s="997"/>
      <c r="V2" s="997"/>
      <c r="W2" s="997"/>
      <c r="X2" s="997"/>
      <c r="Y2" s="997"/>
      <c r="Z2" s="997"/>
      <c r="AA2" s="997"/>
      <c r="AB2" s="997"/>
      <c r="AC2" s="997"/>
      <c r="AD2" s="997"/>
      <c r="AE2" s="997"/>
      <c r="AF2" s="997"/>
      <c r="AG2" s="997"/>
      <c r="AH2" s="997"/>
      <c r="AI2" s="997"/>
      <c r="AJ2" s="997"/>
      <c r="AK2" s="997"/>
      <c r="AL2" s="997"/>
      <c r="AM2" s="997"/>
      <c r="AN2" s="997"/>
      <c r="AO2" s="997"/>
      <c r="AP2" s="997"/>
      <c r="AQ2" s="997"/>
      <c r="AR2" s="997"/>
      <c r="AS2" s="997"/>
      <c r="AT2" s="997"/>
      <c r="AU2" s="997"/>
      <c r="AV2" s="997"/>
      <c r="AW2" s="997"/>
      <c r="AX2" s="997"/>
      <c r="AY2" s="997"/>
      <c r="AZ2" s="997"/>
      <c r="BA2" s="997"/>
      <c r="BB2" s="997"/>
      <c r="BC2" s="997"/>
      <c r="BD2" s="997"/>
      <c r="BE2" s="997"/>
      <c r="BG2" s="133"/>
      <c r="BI2" s="268"/>
    </row>
    <row r="3" spans="1:68" s="364" customFormat="1" ht="18" customHeight="1" thickBot="1" x14ac:dyDescent="0.4">
      <c r="A3" s="387"/>
      <c r="C3"/>
      <c r="D3" s="998" t="s">
        <v>154</v>
      </c>
      <c r="E3" s="998"/>
      <c r="F3" s="204"/>
      <c r="G3" s="205"/>
      <c r="H3" s="206"/>
      <c r="I3" s="207"/>
      <c r="J3" s="206"/>
      <c r="K3" s="206"/>
      <c r="O3" s="11"/>
      <c r="P3" s="193"/>
      <c r="Q3" s="193"/>
      <c r="R3" s="193"/>
      <c r="S3" s="37"/>
      <c r="T3" s="37"/>
      <c r="U3" s="126"/>
      <c r="V3" s="38"/>
      <c r="W3" s="126"/>
      <c r="X3" s="37"/>
      <c r="Y3" s="570">
        <v>-1.65</v>
      </c>
      <c r="Z3" s="759" t="s">
        <v>340</v>
      </c>
      <c r="AH3" s="644"/>
      <c r="AK3" s="12"/>
      <c r="AL3" s="12"/>
      <c r="AM3" s="12"/>
      <c r="AN3" s="12"/>
      <c r="AO3" s="12"/>
      <c r="AP3" s="12"/>
      <c r="AQ3" s="12"/>
      <c r="AR3" s="371"/>
      <c r="AT3" s="124" t="s">
        <v>155</v>
      </c>
      <c r="AU3" s="2" t="s">
        <v>156</v>
      </c>
      <c r="AV3" s="2" t="s">
        <v>157</v>
      </c>
      <c r="AW3" s="2"/>
      <c r="AX3" s="2"/>
      <c r="AY3" s="2"/>
      <c r="AZ3" s="483">
        <v>1</v>
      </c>
      <c r="BA3" s="373">
        <v>45657</v>
      </c>
      <c r="BB3" s="374">
        <f>EOMONTH(BA3,1)</f>
        <v>45688</v>
      </c>
      <c r="BC3" s="374">
        <f>EOMONTH(BB3,1)</f>
        <v>45716</v>
      </c>
      <c r="BD3" s="496">
        <f>EOMONTH(BC3,1)</f>
        <v>45747</v>
      </c>
      <c r="BE3" s="496">
        <f>EOMONTH(BD3,1)</f>
        <v>45777</v>
      </c>
      <c r="BF3" s="735"/>
      <c r="BG3" s="369"/>
      <c r="BH3" s="365"/>
      <c r="BI3" s="370"/>
      <c r="BJ3" s="365"/>
      <c r="BK3" s="365"/>
      <c r="BL3" s="365"/>
      <c r="BM3" s="365"/>
      <c r="BN3" s="365"/>
      <c r="BO3" s="365"/>
      <c r="BP3" s="365"/>
    </row>
    <row r="4" spans="1:68" ht="15.65" customHeight="1" x14ac:dyDescent="0.35">
      <c r="B4"/>
      <c r="D4" s="1006" t="s">
        <v>158</v>
      </c>
      <c r="E4" s="1006"/>
      <c r="N4" s="133" t="s">
        <v>159</v>
      </c>
      <c r="T4" t="s">
        <v>160</v>
      </c>
      <c r="U4" t="s">
        <v>161</v>
      </c>
      <c r="V4" t="s">
        <v>162</v>
      </c>
      <c r="Y4" s="195">
        <f>Y3-[3]USG!$E$29-[3]USG!$E$30</f>
        <v>-1.65</v>
      </c>
      <c r="Z4" s="194"/>
      <c r="AH4" s="406"/>
      <c r="AR4" s="21"/>
      <c r="AT4" s="193">
        <v>0</v>
      </c>
      <c r="AU4" s="193">
        <v>1</v>
      </c>
      <c r="AV4" s="193">
        <v>2</v>
      </c>
      <c r="AW4" s="193" t="s">
        <v>163</v>
      </c>
      <c r="AZ4" s="46" t="s">
        <v>164</v>
      </c>
      <c r="BA4" s="208">
        <v>0.38</v>
      </c>
      <c r="BB4" s="208">
        <v>0.32</v>
      </c>
      <c r="BC4" s="208">
        <v>0.26</v>
      </c>
      <c r="BD4" s="208">
        <v>0.23</v>
      </c>
      <c r="BE4" s="208">
        <v>0.23</v>
      </c>
      <c r="BO4" s="132"/>
      <c r="BP4" s="127"/>
    </row>
    <row r="5" spans="1:68" ht="15" customHeight="1" x14ac:dyDescent="0.35">
      <c r="D5" s="1007" t="s">
        <v>165</v>
      </c>
      <c r="E5" s="1007"/>
      <c r="G5" s="204"/>
      <c r="H5" s="204"/>
      <c r="I5" s="205"/>
      <c r="J5" s="206"/>
      <c r="K5" s="207"/>
      <c r="L5" s="206"/>
      <c r="M5" s="206"/>
      <c r="T5" s="194">
        <f>A8</f>
        <v>45675</v>
      </c>
      <c r="U5">
        <v>13</v>
      </c>
      <c r="V5" s="375">
        <f>T5+AZ31+U5</f>
        <v>45737</v>
      </c>
      <c r="X5" s="2"/>
      <c r="Y5">
        <v>0</v>
      </c>
      <c r="Z5" s="77">
        <f>AW71-AW70</f>
        <v>0.12871130577299406</v>
      </c>
      <c r="AB5" s="51"/>
      <c r="AC5" s="569"/>
      <c r="AD5" s="569"/>
      <c r="AE5" s="569"/>
      <c r="AF5" s="51"/>
      <c r="AR5" s="21"/>
      <c r="AT5" s="645" t="s">
        <v>155</v>
      </c>
      <c r="AU5" s="646" t="s">
        <v>156</v>
      </c>
      <c r="AV5" s="646" t="s">
        <v>157</v>
      </c>
      <c r="AZ5" s="203" t="s">
        <v>229</v>
      </c>
      <c r="BA5" s="208">
        <v>0.55000000000000004</v>
      </c>
      <c r="BB5" s="208">
        <v>0.3</v>
      </c>
      <c r="BC5" s="208">
        <v>0.13</v>
      </c>
      <c r="BD5" s="208">
        <v>0</v>
      </c>
      <c r="BE5" s="208">
        <v>0</v>
      </c>
    </row>
    <row r="6" spans="1:68" ht="15" customHeight="1" thickBot="1" x14ac:dyDescent="0.4">
      <c r="G6" s="204"/>
      <c r="H6" s="204"/>
      <c r="I6" s="205"/>
      <c r="J6" s="206"/>
      <c r="K6" s="207"/>
      <c r="L6" s="206"/>
      <c r="M6" s="206"/>
      <c r="R6" s="20"/>
      <c r="V6" s="2"/>
      <c r="X6" s="2"/>
      <c r="Y6" s="2"/>
      <c r="Z6" s="35"/>
      <c r="AA6" s="52"/>
      <c r="AB6" s="192"/>
      <c r="AC6" s="192"/>
      <c r="AD6" s="192"/>
      <c r="AE6" s="192"/>
      <c r="AF6" s="192"/>
      <c r="AG6" s="484"/>
      <c r="AH6" s="384"/>
      <c r="AI6" s="384"/>
      <c r="AZ6" s="203" t="s">
        <v>254</v>
      </c>
      <c r="BA6" s="208">
        <v>0.56000000000000005</v>
      </c>
      <c r="BB6" s="208">
        <v>0.35</v>
      </c>
      <c r="BC6" s="208">
        <v>0.5</v>
      </c>
      <c r="BD6" s="208">
        <v>0.69</v>
      </c>
      <c r="BE6" s="208">
        <v>0.7</v>
      </c>
      <c r="BH6" s="44"/>
      <c r="BI6" s="44"/>
    </row>
    <row r="7" spans="1:68" ht="19" thickBot="1" x14ac:dyDescent="0.5">
      <c r="A7" s="1005" t="s">
        <v>167</v>
      </c>
      <c r="B7" s="1005"/>
      <c r="D7" s="112"/>
      <c r="E7" s="112"/>
      <c r="F7"/>
      <c r="G7"/>
      <c r="H7"/>
      <c r="I7"/>
      <c r="J7"/>
      <c r="K7"/>
      <c r="L7"/>
      <c r="M7"/>
      <c r="N7"/>
      <c r="O7"/>
      <c r="P7"/>
      <c r="Q7"/>
      <c r="T7" s="9"/>
      <c r="U7" s="9"/>
      <c r="V7" s="9"/>
      <c r="W7" s="9"/>
      <c r="X7" s="9"/>
      <c r="Y7" s="999" t="s">
        <v>255</v>
      </c>
      <c r="Z7" s="1000"/>
      <c r="AA7" s="1000"/>
      <c r="AB7" s="1000"/>
      <c r="AC7" s="1000"/>
      <c r="AD7" s="1000"/>
      <c r="AE7" s="1000"/>
      <c r="AF7" s="1000"/>
      <c r="AG7" s="1000"/>
      <c r="AH7" s="1000"/>
      <c r="AI7" s="1000"/>
      <c r="AJ7" s="1000"/>
      <c r="AK7" s="1000"/>
      <c r="AL7" s="1000"/>
      <c r="AM7" s="1000"/>
      <c r="AN7" s="1000"/>
      <c r="AO7" s="1000"/>
      <c r="AP7" s="1000"/>
      <c r="AQ7" s="1000"/>
      <c r="AR7" s="1000"/>
      <c r="AS7" s="1000"/>
      <c r="AT7" s="1000"/>
      <c r="AU7" s="1000"/>
      <c r="AV7" s="1000"/>
      <c r="AW7" s="1001"/>
      <c r="AZ7" s="483">
        <v>1</v>
      </c>
      <c r="BA7" s="583" t="s">
        <v>169</v>
      </c>
      <c r="BB7" s="76"/>
      <c r="BC7" s="76"/>
      <c r="BD7" s="76"/>
      <c r="BE7" s="76"/>
      <c r="BG7" s="587"/>
      <c r="BH7" s="44"/>
    </row>
    <row r="8" spans="1:68" ht="27" customHeight="1" thickBot="1" x14ac:dyDescent="0.4">
      <c r="A8" s="309">
        <v>45675</v>
      </c>
      <c r="B8" s="310">
        <f>A8+2</f>
        <v>45677</v>
      </c>
      <c r="D8" s="137" t="s">
        <v>170</v>
      </c>
      <c r="E8" s="137" t="s">
        <v>171</v>
      </c>
      <c r="F8"/>
      <c r="G8"/>
      <c r="H8"/>
      <c r="I8"/>
      <c r="J8"/>
      <c r="K8"/>
      <c r="L8"/>
      <c r="M8"/>
      <c r="N8"/>
      <c r="O8"/>
      <c r="P8"/>
      <c r="Q8"/>
      <c r="T8" s="120" t="s">
        <v>172</v>
      </c>
      <c r="U8" s="120" t="s">
        <v>2</v>
      </c>
      <c r="V8" s="120" t="s">
        <v>173</v>
      </c>
      <c r="W8" s="152" t="s">
        <v>174</v>
      </c>
      <c r="X8" s="120" t="s">
        <v>175</v>
      </c>
      <c r="Y8" s="571" t="s">
        <v>176</v>
      </c>
      <c r="Z8" s="571" t="s">
        <v>177</v>
      </c>
      <c r="AA8" s="571" t="s">
        <v>178</v>
      </c>
      <c r="AB8" s="571" t="s">
        <v>179</v>
      </c>
      <c r="AC8" s="578" t="s">
        <v>180</v>
      </c>
      <c r="AD8" s="128" t="s">
        <v>181</v>
      </c>
      <c r="AE8" s="579" t="s">
        <v>182</v>
      </c>
      <c r="AF8" s="580" t="s">
        <v>183</v>
      </c>
      <c r="AG8" s="578" t="s">
        <v>279</v>
      </c>
      <c r="AH8" s="580" t="s">
        <v>184</v>
      </c>
      <c r="AI8" s="580" t="s">
        <v>185</v>
      </c>
      <c r="AJ8" s="580" t="s">
        <v>98</v>
      </c>
      <c r="AK8" s="580" t="s">
        <v>186</v>
      </c>
      <c r="AL8" s="580" t="s">
        <v>187</v>
      </c>
      <c r="AM8" s="580" t="s">
        <v>141</v>
      </c>
      <c r="AN8" s="580" t="s">
        <v>188</v>
      </c>
      <c r="AO8" s="580" t="s">
        <v>17</v>
      </c>
      <c r="AP8" s="580" t="s">
        <v>18</v>
      </c>
      <c r="AQ8" s="580" t="s">
        <v>189</v>
      </c>
      <c r="AR8" s="580" t="s">
        <v>152</v>
      </c>
      <c r="AS8" s="579" t="s">
        <v>190</v>
      </c>
      <c r="AT8" s="579" t="s">
        <v>191</v>
      </c>
      <c r="AU8" s="579" t="s">
        <v>192</v>
      </c>
      <c r="AV8" s="579" t="s">
        <v>193</v>
      </c>
      <c r="AW8" s="137" t="s">
        <v>194</v>
      </c>
      <c r="AZ8" s="137" t="s">
        <v>195</v>
      </c>
      <c r="BA8" s="1012" t="s">
        <v>196</v>
      </c>
      <c r="BB8" s="1012"/>
      <c r="BC8" s="581" t="s">
        <v>193</v>
      </c>
      <c r="BD8" s="581" t="s">
        <v>197</v>
      </c>
      <c r="BE8" s="581" t="s">
        <v>198</v>
      </c>
      <c r="BH8" s="44"/>
      <c r="BI8" s="44"/>
    </row>
    <row r="9" spans="1:68" ht="15.75" hidden="1" customHeight="1" outlineLevel="1" x14ac:dyDescent="0.35">
      <c r="A9" s="82">
        <f>+$A$8</f>
        <v>45675</v>
      </c>
      <c r="B9" s="82">
        <f t="shared" ref="B9:B21" si="0">IF(ISBLANK(A9),"",A9+2)</f>
        <v>45677</v>
      </c>
      <c r="D9" s="153">
        <f>IF(AJ9=0,0,VLOOKUP(Y9,Control!$G$41:$J$44,4,FALSE))</f>
        <v>0</v>
      </c>
      <c r="E9" s="153"/>
      <c r="F9"/>
      <c r="G9"/>
      <c r="H9"/>
      <c r="I9"/>
      <c r="J9"/>
      <c r="K9"/>
      <c r="L9"/>
      <c r="M9"/>
      <c r="N9"/>
      <c r="O9"/>
      <c r="P9"/>
      <c r="Q9"/>
      <c r="T9" s="165">
        <f>INDEX('[2]Flat Rates 2024'!$A:$DZ,MATCH(V9,'[2]Flat Rates 2024'!$A:$A,0),MATCH(Z9,'[2]Flat Rates 2024'!$A$1:$DZ$1,0))</f>
        <v>10.63</v>
      </c>
      <c r="U9" s="138">
        <f>INDEX(Control!$E$17:$J$21,MATCH(Y9,Control!$E$17:$E$21,0),MATCH(V9,Control!$E$17:$J$17,0))</f>
        <v>0.5</v>
      </c>
      <c r="V9" s="138" t="s">
        <v>63</v>
      </c>
      <c r="W9" s="116">
        <f>INDEX(Vessel_Minimum_MT,MATCH(Y9,Control!$E$11:$E$15,0),MATCH(V9,Control!$E$11:$J$11,0))</f>
        <v>50000</v>
      </c>
      <c r="X9" s="140">
        <f>AB9/Control!$D$84</f>
        <v>62424.327803203661</v>
      </c>
      <c r="Y9" s="147" t="s">
        <v>22</v>
      </c>
      <c r="Z9" s="142" t="s">
        <v>110</v>
      </c>
      <c r="AA9" s="142" t="str">
        <f t="shared" ref="AA9:AA21" si="1">IF(Z9=V9,"",CONCATENATE(CONCATENATE(VLOOKUP(V9,Zones,2,FALSE),"/",VLOOKUP(Z9,Zones,2,FALSE))))</f>
        <v>Panama WC/LATAM WEST</v>
      </c>
      <c r="AB9" s="141">
        <v>485000</v>
      </c>
      <c r="AC9" s="141">
        <v>245</v>
      </c>
      <c r="AD9" s="151">
        <v>100</v>
      </c>
      <c r="AE9" s="149">
        <f>IF(AD9&gt;1000,IF(AD9=0,AD9,AD9)/AB9,((W9*T9*(IF(AD9=0,AD9,AD9)/100))+IF(X9&lt;W9,0,(X9-W9)*T9*IF(AD9=0,AD9,AD9)/100*U9))/AB9)</f>
        <v>1.2320315510804691</v>
      </c>
      <c r="AF9" s="144">
        <v>5</v>
      </c>
      <c r="AG9" s="155">
        <f>IF(INDEX(Index,MATCH(Z9,TVM_PortList,0),MATCH("Type",Control!$Q$3:$U$3,0))="BL",INDEX(Index,MATCH(Z9,TVM_PortList,0),MATCH("Payment",Control!$Q$3:$U$3,0))-INDEX(Index,MATCH(V9,TVM_PortList,0),MATCH("Payment",Control!$Q$3:$U$3,0)),AZ9+INDEX(Index,MATCH(Z9,TVM_PortList,0),MATCH("Payment",Control!$Q$3:$U$3,0))-INDEX(Index,MATCH(V9,TVM_PortList,0),MATCH("Payment",Control!$Q$3:$U$3,0)))</f>
        <v>15</v>
      </c>
      <c r="AH9" s="143">
        <f>AF9*VLOOKUP($Y9,Control!$F$75:$H$79,3,FALSE)/$AB9</f>
        <v>0.46391752577319589</v>
      </c>
      <c r="AI9" s="143">
        <f>IF(AG9&lt;0,0,$AG9*Control!$D$77)</f>
        <v>0.19554246575342468</v>
      </c>
      <c r="AJ9" s="143">
        <f>INDEX(Lightering,MATCH($V9,Control!$AB$3:$AB$29,0),MATCH(FORTIES!$Y9,Control!$AB$3:$AF$3,0))*($AB9/Control!$D$85)*Control!$H$90/$AB9</f>
        <v>0</v>
      </c>
      <c r="AK9" s="143">
        <f>IF(I9="Corpus Christi",Control!$D$76,0)</f>
        <v>0</v>
      </c>
      <c r="AL9" s="143">
        <v>0</v>
      </c>
      <c r="AM9" s="143">
        <f>Control!$D$78</f>
        <v>0</v>
      </c>
      <c r="AN9" s="143">
        <f>Control!$D$79</f>
        <v>6.7299999999999999E-2</v>
      </c>
      <c r="AO9" s="143">
        <f>IF(INDEX(Control!$Q$3:$S$62,MATCH($Z9,Control!$Q$3:$Q$62,0),MATCH(AO$8,Control!$Q$3:$S$3,0))=1,Control!$D$81*Control!$E$81,0)</f>
        <v>0</v>
      </c>
      <c r="AP9" s="143">
        <f>IF(INDEX(Control!$Q$3:$S$62,MATCH($Z9,Control!$Q$3:$Q$62,0),MATCH(AP$8,Control!$Q$3:$S$3,0))=1,Control!$D$82/$AB9,0)</f>
        <v>0</v>
      </c>
      <c r="AQ9" s="143"/>
      <c r="AR9" s="143">
        <f>IF(AND(L9="Chiriqui Grande",V9="Puerto Armuelles"),Control!$G$93,0)</f>
        <v>0</v>
      </c>
      <c r="AS9" s="149">
        <f>SUM(AH9:AR9)</f>
        <v>0.72675999152662063</v>
      </c>
      <c r="AT9" s="149">
        <f t="shared" ref="AT9:AT21" si="2">+R9+AE9+AS9</f>
        <v>1.9587915426070897</v>
      </c>
      <c r="AU9" s="149" t="e">
        <f t="shared" ref="AU9:AU15" si="3">IF((MONTH(A9)=MONTH(BB9)),0,IF((MONTH(BB9)+12)-(MONTH(A9)+12)&gt;1,VLOOKUP("Spreads",$AZ$3:$BD$4,MATCH(EOMONTH(BB9,0),$AZ$3:$BD$3,0),FALSE)+VLOOKUP("Spreads",$AZ$3:$BD$4,MATCH(EOMONTH(BB9,-1),$AZ$3:$BD$3,0),FALSE),VLOOKUP("Spreads",$AZ$3:$BD$4,MATCH(EOMONTH(A9,0),$AZ$3:$BD$3,0))))</f>
        <v>#N/A</v>
      </c>
      <c r="AV9" s="149">
        <v>0</v>
      </c>
      <c r="AW9" s="497" t="e">
        <f t="shared" ref="AW9:AW21" si="4">$Y$3+AT9+AU9+AV9</f>
        <v>#N/A</v>
      </c>
      <c r="AZ9" s="153" t="e">
        <f>INDEX('[1]Transit Time'!$A:$DZ,MATCH(I9,'[1]Transit Time'!$A:$A,0),MATCH(L9,'[1]Transit Time'!$A$1:$DZ$1,0))+INDEX('[1]Transit Time'!$A:$DZ,MATCH(L9,'[1]Transit Time'!$A:$A,0),MATCH(V9,'[1]Transit Time'!$A$1:$DZ$1,0))+INDEX('[1]Transit Time'!$A:$DZ,MATCH(V9,'[1]Transit Time'!$A:$A,0),MATCH(Z9,'[1]Transit Time'!$A$1:$DZ$1,0))</f>
        <v>#N/A</v>
      </c>
      <c r="BA9" s="163" t="e">
        <f>IF(ISBLANK(A9),"",A9+$AZ9+D9)</f>
        <v>#N/A</v>
      </c>
      <c r="BB9" s="163" t="e">
        <f>IF(ISBLANK(B9),"",B9+$AZ9)</f>
        <v>#N/A</v>
      </c>
      <c r="BC9" s="163"/>
      <c r="BD9" s="163"/>
      <c r="BE9" s="163"/>
    </row>
    <row r="10" spans="1:68" ht="15.75" hidden="1" customHeight="1" outlineLevel="1" x14ac:dyDescent="0.35">
      <c r="A10" s="209">
        <f>+$A$9</f>
        <v>45675</v>
      </c>
      <c r="B10" s="209">
        <f t="shared" si="0"/>
        <v>45677</v>
      </c>
      <c r="D10" s="229">
        <f>IF(AJ10=0,0,VLOOKUP(Y10,Control!$G$41:$J$44,4,FALSE))</f>
        <v>0</v>
      </c>
      <c r="E10" s="229"/>
      <c r="F10"/>
      <c r="G10"/>
      <c r="H10"/>
      <c r="I10"/>
      <c r="J10"/>
      <c r="K10"/>
      <c r="L10"/>
      <c r="M10"/>
      <c r="N10"/>
      <c r="O10"/>
      <c r="P10"/>
      <c r="Q10"/>
      <c r="T10" s="220">
        <f>INDEX('[2]Flat Rates 2024'!$A:$DZ,MATCH(V10,'[2]Flat Rates 2024'!$A:$A,0),MATCH(Z10,'[2]Flat Rates 2024'!$A$1:$DZ$1,0))</f>
        <v>10.63</v>
      </c>
      <c r="U10" s="220">
        <f>INDEX(Control!$E$17:$J$21,MATCH(Y10,Control!$E$17:$E$21,0),MATCH(V10,Control!$E$17:$J$17,0))</f>
        <v>0.5</v>
      </c>
      <c r="V10" s="220" t="s">
        <v>63</v>
      </c>
      <c r="W10" s="213">
        <f>INDEX(Vessel_Minimum_MT,MATCH(Y10,Control!$E$11:$E$15,0),MATCH(V10,Control!$E$11:$J$11,0))</f>
        <v>70000</v>
      </c>
      <c r="X10" s="222">
        <f>AB10/Control!$D$84</f>
        <v>96532.465675057203</v>
      </c>
      <c r="Y10" s="215" t="s">
        <v>23</v>
      </c>
      <c r="Z10" s="212" t="s">
        <v>110</v>
      </c>
      <c r="AA10" s="212" t="str">
        <f t="shared" si="1"/>
        <v>Panama WC/LATAM WEST</v>
      </c>
      <c r="AB10" s="214">
        <v>750000</v>
      </c>
      <c r="AC10" s="214">
        <v>155</v>
      </c>
      <c r="AD10" s="224"/>
      <c r="AE10" s="225">
        <f t="shared" ref="AE10:AE21" si="5">IF(AC10&gt;1000,IF(AD10=0,AC10,AD10)/AB10,((W10*T10*(IF(AD10=0,AC10,AD10)/100))+IF(X10&lt;W10,0,(X10-W10)*T10*IF(AD10=0,AC10,AD10)/100*U10))/AB10)</f>
        <v>1.82924811379672</v>
      </c>
      <c r="AF10" s="226">
        <v>0</v>
      </c>
      <c r="AG10" s="214">
        <f>IF(INDEX(Index,MATCH(Z10,TVM_PortList,0),MATCH("Type",Control!$Q$3:$U$3,0))="BL",INDEX(Index,MATCH(Z10,TVM_PortList,0),MATCH("Payment",Control!$Q$3:$U$3,0))-INDEX(Index,MATCH(V10,TVM_PortList,0),MATCH("Payment",Control!$Q$3:$U$3,0)),AZ10+INDEX(Index,MATCH(Z10,TVM_PortList,0),MATCH("Payment",Control!$Q$3:$U$3,0))-INDEX(Index,MATCH(V10,TVM_PortList,0),MATCH("Payment",Control!$Q$3:$U$3,0)))</f>
        <v>15</v>
      </c>
      <c r="AH10" s="227">
        <f>AF10*VLOOKUP($Y10,Control!$F$75:$H$79,3,FALSE)/$AB10</f>
        <v>0</v>
      </c>
      <c r="AI10" s="227">
        <f>IF(AG10&lt;0,0,$AG10*Control!$D$77)</f>
        <v>0.19554246575342468</v>
      </c>
      <c r="AJ10" s="227">
        <f>INDEX(Lightering,MATCH($V10,Control!$AB$3:$AB$29,0),MATCH(FORTIES!$Y10,Control!$AB$3:$AF$3,0))*($AB10/Control!$D$85)*Control!$H$90/$AB10</f>
        <v>0</v>
      </c>
      <c r="AK10" s="227">
        <f>IF(I10="Corpus Christi",Control!$D$76,0)</f>
        <v>0</v>
      </c>
      <c r="AL10" s="227">
        <v>0</v>
      </c>
      <c r="AM10" s="227">
        <f>Control!$D$78</f>
        <v>0</v>
      </c>
      <c r="AN10" s="227">
        <f>Control!$D$79</f>
        <v>6.7299999999999999E-2</v>
      </c>
      <c r="AO10" s="227">
        <f>IF(INDEX(Control!$Q$3:$S$62,MATCH($Z10,Control!$Q$3:$Q$62,0),MATCH(AO$8,Control!$Q$3:$S$3,0))=1,Control!$D$81*Control!$E$81,0)</f>
        <v>0</v>
      </c>
      <c r="AP10" s="227">
        <f>IF(INDEX(Control!$Q$3:$S$62,MATCH($Z10,Control!$Q$3:$Q$62,0),MATCH(AP$8,Control!$Q$3:$S$3,0))=1,Control!$D$82/$AB10,0)</f>
        <v>0</v>
      </c>
      <c r="AQ10" s="227"/>
      <c r="AR10" s="227">
        <f>IF(AND(L10="Chiriqui Grande",V10="Puerto Armuelles"),Control!$G$93,0)</f>
        <v>0</v>
      </c>
      <c r="AS10" s="225">
        <f t="shared" ref="AS10:AS21" si="6">SUM(AH10:AR10)</f>
        <v>0.26284246575342468</v>
      </c>
      <c r="AT10" s="225">
        <f t="shared" si="2"/>
        <v>2.0920905795501445</v>
      </c>
      <c r="AU10" s="225" t="e">
        <f t="shared" si="3"/>
        <v>#VALUE!</v>
      </c>
      <c r="AV10" s="225">
        <v>0</v>
      </c>
      <c r="AW10" s="498" t="e">
        <f t="shared" si="4"/>
        <v>#VALUE!</v>
      </c>
      <c r="AY10" s="220"/>
      <c r="AZ10" s="229" t="e">
        <f>INDEX('[1]Transit Time'!$A:$DZ,MATCH(I10,'[1]Transit Time'!$A:$A,0),MATCH(L10,'[1]Transit Time'!$A$1:$DZ$1,0))+INDEX('[1]Transit Time'!$A:$DZ,MATCH(L10,'[1]Transit Time'!$A:$A,0),MATCH(V10,'[1]Transit Time'!$A$1:$DZ$1,0))+INDEX('[1]Transit Time'!$A:$DZ,MATCH(V10,'[1]Transit Time'!$A:$A,0),MATCH(Z10,'[1]Transit Time'!$A$1:$DZ$1,0))</f>
        <v>#N/A</v>
      </c>
      <c r="BA10" s="230" t="e">
        <f t="shared" ref="BA10:BA15" si="7">IF(ISBLANK(A10),"",A10+$AZ10)</f>
        <v>#N/A</v>
      </c>
      <c r="BB10" s="230" t="str">
        <f t="shared" ref="BB10:BB21" si="8">IFERROR(IF(ISBLANK(B10),"",B10+$AZ10),"")</f>
        <v/>
      </c>
      <c r="BC10" s="230"/>
      <c r="BD10" s="230"/>
      <c r="BE10" s="230"/>
    </row>
    <row r="11" spans="1:68" ht="15.75" hidden="1" customHeight="1" outlineLevel="1" x14ac:dyDescent="0.35">
      <c r="A11" s="163">
        <f t="shared" ref="A11:A15" si="9">+$A$9</f>
        <v>45675</v>
      </c>
      <c r="B11" s="163">
        <f t="shared" si="0"/>
        <v>45677</v>
      </c>
      <c r="D11" s="153">
        <f>IF(AJ11=0,0,VLOOKUP(Y11,Control!$G$41:$J$44,4,FALSE))</f>
        <v>0</v>
      </c>
      <c r="E11" s="153"/>
      <c r="F11"/>
      <c r="G11"/>
      <c r="H11"/>
      <c r="I11"/>
      <c r="J11"/>
      <c r="K11"/>
      <c r="L11"/>
      <c r="M11"/>
      <c r="N11"/>
      <c r="O11"/>
      <c r="P11"/>
      <c r="Q11"/>
      <c r="T11" s="191">
        <f>INDEX('[2]Flat Rates 2024'!$A:$DZ,MATCH(V11,'[2]Flat Rates 2024'!$A:$A,0),MATCH(Z11,'[2]Flat Rates 2024'!$A$1:$DZ$1,0))</f>
        <v>10.63</v>
      </c>
      <c r="U11" s="138">
        <f>INDEX(Control!$E$17:$J$21,MATCH(Y11,Control!$E$17:$E$21,0),MATCH(V11,Control!$E$17:$J$17,0))</f>
        <v>0.5</v>
      </c>
      <c r="V11" s="138" t="s">
        <v>63</v>
      </c>
      <c r="W11" s="116">
        <f>INDEX(Vessel_Minimum_MT,MATCH(Y11,Control!$E$11:$E$15,0),MATCH(V11,Control!$E$11:$J$11,0))</f>
        <v>145000</v>
      </c>
      <c r="X11" s="140">
        <f>AB11/Control!$D$84</f>
        <v>128709.9542334096</v>
      </c>
      <c r="Y11" s="147" t="s">
        <v>24</v>
      </c>
      <c r="Z11" s="142" t="s">
        <v>110</v>
      </c>
      <c r="AA11" s="142" t="str">
        <f t="shared" si="1"/>
        <v>Panama WC/LATAM WEST</v>
      </c>
      <c r="AB11" s="141">
        <v>1000000</v>
      </c>
      <c r="AC11" s="141">
        <v>110</v>
      </c>
      <c r="AD11" s="151"/>
      <c r="AE11" s="149">
        <f t="shared" si="5"/>
        <v>1.6954850000000001</v>
      </c>
      <c r="AF11" s="144">
        <v>0</v>
      </c>
      <c r="AG11" s="141">
        <f>IF(INDEX(Index,MATCH(Z11,TVM_PortList,0),MATCH("Type",Control!$Q$3:$U$3,0))="BL",INDEX(Index,MATCH(Z11,TVM_PortList,0),MATCH("Payment",Control!$Q$3:$U$3,0))-INDEX(Index,MATCH(V11,TVM_PortList,0),MATCH("Payment",Control!$Q$3:$U$3,0)),AZ11+INDEX(Index,MATCH(Z11,TVM_PortList,0),MATCH("Payment",Control!$Q$3:$U$3,0))-INDEX(Index,MATCH(V11,TVM_PortList,0),MATCH("Payment",Control!$Q$3:$U$3,0)))</f>
        <v>15</v>
      </c>
      <c r="AH11" s="143">
        <f>AF11*VLOOKUP($Y11,Control!$F$75:$H$79,3,FALSE)/$AB11</f>
        <v>0</v>
      </c>
      <c r="AI11" s="143">
        <f>IF(AG11&lt;0,0,$AG11*Control!$D$77)</f>
        <v>0.19554246575342468</v>
      </c>
      <c r="AJ11" s="143">
        <f>INDEX(Lightering,MATCH($V11,Control!$AB$3:$AB$29,0),MATCH(FORTIES!$Y11,Control!$AB$3:$AF$3,0))*($AB11/Control!$D$85)*Control!$H$90/$AB11</f>
        <v>0</v>
      </c>
      <c r="AK11" s="143">
        <f>IF(I11="Corpus Christi",Control!$D$76,0)</f>
        <v>0</v>
      </c>
      <c r="AL11" s="143">
        <v>0</v>
      </c>
      <c r="AM11" s="143">
        <f>Control!$D$78</f>
        <v>0</v>
      </c>
      <c r="AN11" s="143">
        <f>Control!$D$79</f>
        <v>6.7299999999999999E-2</v>
      </c>
      <c r="AO11" s="143">
        <f>IF(INDEX(Control!$Q$3:$S$62,MATCH($Z11,Control!$Q$3:$Q$62,0),MATCH(AO$8,Control!$Q$3:$S$3,0))=1,Control!$D$81*Control!$E$81,0)</f>
        <v>0</v>
      </c>
      <c r="AP11" s="143">
        <f>IF(INDEX(Control!$Q$3:$S$62,MATCH($Z11,Control!$Q$3:$Q$62,0),MATCH(AP$8,Control!$Q$3:$S$3,0))=1,Control!$D$82/$AB11,0)</f>
        <v>0</v>
      </c>
      <c r="AQ11" s="143"/>
      <c r="AR11" s="143">
        <f>IF(AND(L11="Chiriqui Grande",V11="Puerto Armuelles"),Control!$G$93,0)</f>
        <v>0</v>
      </c>
      <c r="AS11" s="149">
        <f t="shared" si="6"/>
        <v>0.26284246575342468</v>
      </c>
      <c r="AT11" s="149">
        <f t="shared" si="2"/>
        <v>1.9583274657534249</v>
      </c>
      <c r="AU11" s="149" t="e">
        <f t="shared" si="3"/>
        <v>#VALUE!</v>
      </c>
      <c r="AV11" s="149">
        <v>0</v>
      </c>
      <c r="AW11" s="499" t="e">
        <f t="shared" si="4"/>
        <v>#VALUE!</v>
      </c>
      <c r="AZ11" s="153" t="e">
        <f>INDEX('[1]Transit Time'!$A:$DZ,MATCH(I11,'[1]Transit Time'!$A:$A,0),MATCH(L11,'[1]Transit Time'!$A$1:$DZ$1,0))+INDEX('[1]Transit Time'!$A:$DZ,MATCH(L11,'[1]Transit Time'!$A:$A,0),MATCH(V11,'[1]Transit Time'!$A$1:$DZ$1,0))+INDEX('[1]Transit Time'!$A:$DZ,MATCH(V11,'[1]Transit Time'!$A:$A,0),MATCH(Z11,'[1]Transit Time'!$A$1:$DZ$1,0))</f>
        <v>#N/A</v>
      </c>
      <c r="BA11" s="163" t="e">
        <f t="shared" si="7"/>
        <v>#N/A</v>
      </c>
      <c r="BB11" s="163" t="str">
        <f t="shared" si="8"/>
        <v/>
      </c>
      <c r="BC11" s="163"/>
      <c r="BD11" s="163"/>
      <c r="BE11" s="163"/>
    </row>
    <row r="12" spans="1:68" ht="15.75" hidden="1" customHeight="1" outlineLevel="1" x14ac:dyDescent="0.35">
      <c r="A12" s="230">
        <f t="shared" si="9"/>
        <v>45675</v>
      </c>
      <c r="B12" s="230">
        <f t="shared" si="0"/>
        <v>45677</v>
      </c>
      <c r="D12" s="229">
        <f>IF(AJ12=0,0,VLOOKUP(Y12,Control!$G$41:$J$44,4,FALSE))</f>
        <v>0</v>
      </c>
      <c r="E12" s="229"/>
      <c r="F12"/>
      <c r="G12"/>
      <c r="H12"/>
      <c r="I12"/>
      <c r="J12"/>
      <c r="K12"/>
      <c r="L12"/>
      <c r="M12"/>
      <c r="N12"/>
      <c r="O12"/>
      <c r="P12"/>
      <c r="Q12"/>
      <c r="T12" s="220">
        <f>INDEX('[2]Flat Rates 2024'!$A:$DZ,MATCH(V12,'[2]Flat Rates 2024'!$A:$A,0),MATCH(Z12,'[2]Flat Rates 2024'!$A$1:$DZ$1,0))</f>
        <v>5.93</v>
      </c>
      <c r="U12" s="220">
        <f>INDEX(Control!$E$17:$J$21,MATCH(Y12,Control!$E$17:$E$21,0),MATCH(V12,Control!$E$17:$J$17,0))</f>
        <v>0.5</v>
      </c>
      <c r="V12" s="220" t="s">
        <v>63</v>
      </c>
      <c r="W12" s="213">
        <f>INDEX(Vessel_Minimum_MT,MATCH(Y12,Control!$E$11:$E$15,0),MATCH(V12,Control!$E$11:$J$11,0))</f>
        <v>50000</v>
      </c>
      <c r="X12" s="222">
        <f>AB12/Control!$D$84</f>
        <v>61137.22826086956</v>
      </c>
      <c r="Y12" s="215" t="s">
        <v>22</v>
      </c>
      <c r="Z12" s="212" t="s">
        <v>94</v>
      </c>
      <c r="AA12" s="212" t="str">
        <f t="shared" si="1"/>
        <v>Panama WC/PAMPILLA</v>
      </c>
      <c r="AB12" s="214">
        <v>475000</v>
      </c>
      <c r="AC12" s="214">
        <v>1001</v>
      </c>
      <c r="AD12" s="224">
        <v>700000</v>
      </c>
      <c r="AE12" s="225">
        <f t="shared" si="5"/>
        <v>1.4736842105263157</v>
      </c>
      <c r="AF12" s="226">
        <v>0</v>
      </c>
      <c r="AG12" s="214" t="e">
        <f>IF(INDEX(Index,MATCH(Z12,TVM_PortList,0),MATCH("Type",Control!$Q$3:$U$3,0))="BL",INDEX(Index,MATCH(Z12,TVM_PortList,0),MATCH("Payment",Control!$Q$3:$U$3,0))-INDEX(Index,MATCH(V12,TVM_PortList,0),MATCH("Payment",Control!$Q$3:$U$3,0)),AZ12+INDEX(Index,MATCH(Z12,TVM_PortList,0),MATCH("Payment",Control!$Q$3:$U$3,0))-INDEX(Index,MATCH(V12,TVM_PortList,0),MATCH("Payment",Control!$Q$3:$U$3,0)))</f>
        <v>#N/A</v>
      </c>
      <c r="AH12" s="227">
        <f>AF12*VLOOKUP($Y12,Control!$F$75:$H$79,3,FALSE)/$AB12</f>
        <v>0</v>
      </c>
      <c r="AI12" s="227" t="e">
        <f>IF(AG12&lt;0,0,$AG12*Control!$D$77)</f>
        <v>#N/A</v>
      </c>
      <c r="AJ12" s="227">
        <f>INDEX(Lightering,MATCH($V12,Control!$AB$3:$AB$29,0),MATCH(FORTIES!$Y12,Control!$AB$3:$AF$3,0))*($AB12/Control!$D$85)*Control!$H$90/$AB12</f>
        <v>0</v>
      </c>
      <c r="AK12" s="227">
        <f>IF(I12="Corpus Christi",Control!$D$76,0)</f>
        <v>0</v>
      </c>
      <c r="AL12" s="227">
        <v>0</v>
      </c>
      <c r="AM12" s="227">
        <f>Control!$D$78</f>
        <v>0</v>
      </c>
      <c r="AN12" s="227">
        <f>Control!$D$79</f>
        <v>6.7299999999999999E-2</v>
      </c>
      <c r="AO12" s="227">
        <f>IF(INDEX(Control!$Q$3:$S$62,MATCH($Z12,Control!$Q$3:$Q$62,0),MATCH(AO$8,Control!$Q$3:$S$3,0))=1,Control!$D$81*Control!$E$81,0)</f>
        <v>0</v>
      </c>
      <c r="AP12" s="227">
        <f>IF(INDEX(Control!$Q$3:$S$62,MATCH($Z12,Control!$Q$3:$Q$62,0),MATCH(AP$8,Control!$Q$3:$S$3,0))=1,Control!$D$82/$AB12,0)</f>
        <v>0</v>
      </c>
      <c r="AQ12" s="227"/>
      <c r="AR12" s="227">
        <f>IF(AND(L12="Chiriqui Grande",V12="Puerto Armuelles"),Control!$G$93,0)</f>
        <v>0</v>
      </c>
      <c r="AS12" s="225" t="e">
        <f t="shared" si="6"/>
        <v>#N/A</v>
      </c>
      <c r="AT12" s="225" t="e">
        <f t="shared" si="2"/>
        <v>#N/A</v>
      </c>
      <c r="AU12" s="225" t="e">
        <f t="shared" si="3"/>
        <v>#VALUE!</v>
      </c>
      <c r="AV12" s="225">
        <v>0</v>
      </c>
      <c r="AW12" s="498" t="e">
        <f t="shared" si="4"/>
        <v>#N/A</v>
      </c>
      <c r="AY12" s="220"/>
      <c r="AZ12" s="229" t="e">
        <f>INDEX('[1]Transit Time'!$A:$DZ,MATCH(I12,'[1]Transit Time'!$A:$A,0),MATCH(L12,'[1]Transit Time'!$A$1:$DZ$1,0))+INDEX('[1]Transit Time'!$A:$DZ,MATCH(L12,'[1]Transit Time'!$A:$A,0),MATCH(V12,'[1]Transit Time'!$A$1:$DZ$1,0))+INDEX('[1]Transit Time'!$A:$DZ,MATCH(V12,'[1]Transit Time'!$A:$A,0),MATCH(Z12,'[1]Transit Time'!$A$1:$DZ$1,0))</f>
        <v>#N/A</v>
      </c>
      <c r="BA12" s="230" t="e">
        <f t="shared" si="7"/>
        <v>#N/A</v>
      </c>
      <c r="BB12" s="230" t="str">
        <f t="shared" si="8"/>
        <v/>
      </c>
      <c r="BC12" s="230"/>
      <c r="BD12" s="230"/>
      <c r="BE12" s="230"/>
    </row>
    <row r="13" spans="1:68" ht="15.75" hidden="1" customHeight="1" outlineLevel="1" x14ac:dyDescent="0.35">
      <c r="A13" s="163">
        <f t="shared" si="9"/>
        <v>45675</v>
      </c>
      <c r="B13" s="163">
        <f t="shared" si="0"/>
        <v>45677</v>
      </c>
      <c r="D13" s="153">
        <f>IF(AJ13=0,0,VLOOKUP(Y13,Control!$G$41:$J$44,4,FALSE))</f>
        <v>0</v>
      </c>
      <c r="E13" s="153"/>
      <c r="F13"/>
      <c r="G13"/>
      <c r="H13"/>
      <c r="I13"/>
      <c r="J13"/>
      <c r="K13"/>
      <c r="L13"/>
      <c r="M13"/>
      <c r="N13"/>
      <c r="O13"/>
      <c r="P13"/>
      <c r="Q13"/>
      <c r="T13" s="138">
        <f>INDEX('[2]Flat Rates 2024'!$A:$DZ,MATCH(V13,'[2]Flat Rates 2024'!$A:$A,0),MATCH(Z13,'[2]Flat Rates 2024'!$A$1:$DZ$1,0))</f>
        <v>5.93</v>
      </c>
      <c r="U13" s="138">
        <f>INDEX(Control!$E$17:$J$21,MATCH(Y13,Control!$E$17:$E$21,0),MATCH(V13,Control!$E$17:$J$17,0))</f>
        <v>0.5</v>
      </c>
      <c r="V13" s="138" t="s">
        <v>63</v>
      </c>
      <c r="W13" s="116">
        <f>INDEX(Vessel_Minimum_MT,MATCH(Y13,Control!$E$11:$E$15,0),MATCH(V13,Control!$E$11:$J$11,0))</f>
        <v>70000</v>
      </c>
      <c r="X13" s="140">
        <f>AB13/Control!$D$84</f>
        <v>84948.569794050345</v>
      </c>
      <c r="Y13" s="147" t="s">
        <v>23</v>
      </c>
      <c r="Z13" s="142" t="s">
        <v>94</v>
      </c>
      <c r="AA13" s="142" t="str">
        <f t="shared" si="1"/>
        <v>Panama WC/PAMPILLA</v>
      </c>
      <c r="AB13" s="141">
        <v>660000</v>
      </c>
      <c r="AC13" s="141">
        <v>205</v>
      </c>
      <c r="AD13" s="151">
        <v>0</v>
      </c>
      <c r="AE13" s="149">
        <f t="shared" si="5"/>
        <v>1.4269941581071006</v>
      </c>
      <c r="AF13" s="144">
        <v>0</v>
      </c>
      <c r="AG13" s="141" t="e">
        <f>IF(INDEX(Index,MATCH(Z13,TVM_PortList,0),MATCH("Type",Control!$Q$3:$U$3,0))="BL",INDEX(Index,MATCH(Z13,TVM_PortList,0),MATCH("Payment",Control!$Q$3:$U$3,0))-INDEX(Index,MATCH(V13,TVM_PortList,0),MATCH("Payment",Control!$Q$3:$U$3,0)),AZ13+INDEX(Index,MATCH(Z13,TVM_PortList,0),MATCH("Payment",Control!$Q$3:$U$3,0))-INDEX(Index,MATCH(V13,TVM_PortList,0),MATCH("Payment",Control!$Q$3:$U$3,0)))</f>
        <v>#N/A</v>
      </c>
      <c r="AH13" s="143">
        <f>AF13*VLOOKUP($Y13,Control!$F$75:$H$79,3,FALSE)/$AB13</f>
        <v>0</v>
      </c>
      <c r="AI13" s="143" t="e">
        <f>IF(AG13&lt;0,0,$AG13*Control!$D$77)</f>
        <v>#N/A</v>
      </c>
      <c r="AJ13" s="143">
        <f>INDEX(Lightering,MATCH($V13,Control!$AB$3:$AB$29,0),MATCH(FORTIES!$Y13,Control!$AB$3:$AF$3,0))*($AB13/Control!$D$85)*Control!$H$90/$AB13</f>
        <v>0</v>
      </c>
      <c r="AK13" s="143">
        <f>IF(I13="Corpus Christi",Control!$D$76,0)</f>
        <v>0</v>
      </c>
      <c r="AL13" s="143">
        <v>0</v>
      </c>
      <c r="AM13" s="143">
        <f>Control!$D$78</f>
        <v>0</v>
      </c>
      <c r="AN13" s="143">
        <f>Control!$D$79</f>
        <v>6.7299999999999999E-2</v>
      </c>
      <c r="AO13" s="143">
        <f>IF(INDEX(Control!$Q$3:$S$62,MATCH($Z13,Control!$Q$3:$Q$62,0),MATCH(AO$8,Control!$Q$3:$S$3,0))=1,Control!$D$81*Control!$E$81,0)</f>
        <v>0</v>
      </c>
      <c r="AP13" s="143">
        <f>IF(INDEX(Control!$Q$3:$S$62,MATCH($Z13,Control!$Q$3:$Q$62,0),MATCH(AP$8,Control!$Q$3:$S$3,0))=1,Control!$D$82/$AB13,0)</f>
        <v>0</v>
      </c>
      <c r="AQ13" s="143"/>
      <c r="AR13" s="143">
        <f>IF(AND(L13="Chiriqui Grande",V13="Puerto Armuelles"),Control!$G$93,0)</f>
        <v>0</v>
      </c>
      <c r="AS13" s="149" t="e">
        <f t="shared" si="6"/>
        <v>#N/A</v>
      </c>
      <c r="AT13" s="149" t="e">
        <f t="shared" si="2"/>
        <v>#N/A</v>
      </c>
      <c r="AU13" s="149" t="e">
        <f t="shared" si="3"/>
        <v>#VALUE!</v>
      </c>
      <c r="AV13" s="149">
        <v>0</v>
      </c>
      <c r="AW13" s="499" t="e">
        <f t="shared" si="4"/>
        <v>#N/A</v>
      </c>
      <c r="AZ13" s="153" t="e">
        <f>INDEX('[1]Transit Time'!$A:$DZ,MATCH(I13,'[1]Transit Time'!$A:$A,0),MATCH(L13,'[1]Transit Time'!$A$1:$DZ$1,0))+INDEX('[1]Transit Time'!$A:$DZ,MATCH(L13,'[1]Transit Time'!$A:$A,0),MATCH(V13,'[1]Transit Time'!$A$1:$DZ$1,0))+INDEX('[1]Transit Time'!$A:$DZ,MATCH(V13,'[1]Transit Time'!$A:$A,0),MATCH(Z13,'[1]Transit Time'!$A$1:$DZ$1,0))</f>
        <v>#N/A</v>
      </c>
      <c r="BA13" s="163" t="e">
        <f t="shared" si="7"/>
        <v>#N/A</v>
      </c>
      <c r="BB13" s="163" t="str">
        <f t="shared" si="8"/>
        <v/>
      </c>
      <c r="BC13" s="163"/>
      <c r="BD13" s="163"/>
      <c r="BE13" s="163"/>
    </row>
    <row r="14" spans="1:68" ht="15.75" hidden="1" customHeight="1" outlineLevel="1" x14ac:dyDescent="0.35">
      <c r="A14" s="230">
        <f t="shared" si="9"/>
        <v>45675</v>
      </c>
      <c r="B14" s="230">
        <f t="shared" si="0"/>
        <v>45677</v>
      </c>
      <c r="D14" s="229">
        <f>IF(AJ14=0,0,VLOOKUP(Y14,Control!$G$41:$J$44,4,FALSE))</f>
        <v>0</v>
      </c>
      <c r="E14" s="229"/>
      <c r="F14"/>
      <c r="G14"/>
      <c r="H14"/>
      <c r="I14"/>
      <c r="J14"/>
      <c r="K14"/>
      <c r="L14"/>
      <c r="M14"/>
      <c r="N14"/>
      <c r="O14"/>
      <c r="P14"/>
      <c r="Q14"/>
      <c r="T14" s="220" t="e">
        <f>INDEX('[2]Flat Rates 2024'!$A:$DZ,MATCH(V14,'[2]Flat Rates 2024'!$A:$A,0),MATCH(Z14,'[2]Flat Rates 2024'!$A$1:$DZ$1,0))</f>
        <v>#N/A</v>
      </c>
      <c r="U14" s="220">
        <f>INDEX(Control!$E$17:$J$21,MATCH(Y14,Control!$E$17:$E$21,0),MATCH(V14,Control!$E$17:$J$17,0))</f>
        <v>0.5</v>
      </c>
      <c r="V14" s="220" t="s">
        <v>63</v>
      </c>
      <c r="W14" s="213">
        <f>INDEX(Vessel_Minimum_MT,MATCH(Y14,Control!$E$11:$E$15,0),MATCH(V14,Control!$E$11:$J$11,0))</f>
        <v>50000</v>
      </c>
      <c r="X14" s="222">
        <f>AB14/Control!$D$84</f>
        <v>51355.271739130432</v>
      </c>
      <c r="Y14" s="215" t="s">
        <v>22</v>
      </c>
      <c r="Z14" s="212" t="s">
        <v>199</v>
      </c>
      <c r="AA14" s="212" t="e">
        <f t="shared" si="1"/>
        <v>#N/A</v>
      </c>
      <c r="AB14" s="214">
        <v>399000</v>
      </c>
      <c r="AC14" s="214">
        <v>1001</v>
      </c>
      <c r="AD14" s="224">
        <v>700000</v>
      </c>
      <c r="AE14" s="225">
        <f t="shared" si="5"/>
        <v>1.7543859649122806</v>
      </c>
      <c r="AF14" s="226">
        <v>0</v>
      </c>
      <c r="AG14" s="214" t="e">
        <f>IF(INDEX(Index,MATCH(Z14,TVM_PortList,0),MATCH("Type",Control!$Q$3:$U$3,0))="BL",INDEX(Index,MATCH(Z14,TVM_PortList,0),MATCH("Payment",Control!$Q$3:$U$3,0))-INDEX(Index,MATCH(V14,TVM_PortList,0),MATCH("Payment",Control!$Q$3:$U$3,0)),AZ14+INDEX(Index,MATCH(Z14,TVM_PortList,0),MATCH("Payment",Control!$Q$3:$U$3,0))-INDEX(Index,MATCH(V14,TVM_PortList,0),MATCH("Payment",Control!$Q$3:$U$3,0)))</f>
        <v>#N/A</v>
      </c>
      <c r="AH14" s="227">
        <f>AF14*VLOOKUP($Y14,Control!$F$75:$H$79,3,FALSE)/$AB14</f>
        <v>0</v>
      </c>
      <c r="AI14" s="227" t="e">
        <f>IF(AG14&lt;0,0,$AG14*Control!$D$77)</f>
        <v>#N/A</v>
      </c>
      <c r="AJ14" s="227">
        <f>INDEX(Lightering,MATCH($V14,Control!$AB$3:$AB$29,0),MATCH(FORTIES!$Y14,Control!$AB$3:$AF$3,0))*($AB14/Control!$D$85)*Control!$H$90/$AB14</f>
        <v>0</v>
      </c>
      <c r="AK14" s="227">
        <f>IF(I14="Corpus Christi",Control!$D$76,0)</f>
        <v>0</v>
      </c>
      <c r="AL14" s="227">
        <v>0</v>
      </c>
      <c r="AM14" s="227">
        <f>Control!$D$78</f>
        <v>0</v>
      </c>
      <c r="AN14" s="227">
        <f>Control!$D$79</f>
        <v>6.7299999999999999E-2</v>
      </c>
      <c r="AO14" s="227" t="e">
        <f>IF(INDEX(Control!$Q$3:$S$62,MATCH($Z14,Control!$Q$3:$Q$62,0),MATCH(AO$8,Control!$Q$3:$S$3,0))=1,Control!$D$81*Control!$E$81,0)</f>
        <v>#N/A</v>
      </c>
      <c r="AP14" s="227" t="e">
        <f>IF(INDEX(Control!$Q$3:$S$62,MATCH($Z14,Control!$Q$3:$Q$62,0),MATCH(AP$8,Control!$Q$3:$S$3,0))=1,Control!$D$82/$AB14,0)</f>
        <v>#N/A</v>
      </c>
      <c r="AQ14" s="227"/>
      <c r="AR14" s="227">
        <f>IF(AND(L14="Chiriqui Grande",V14="Puerto Armuelles"),Control!$G$93,0)</f>
        <v>0</v>
      </c>
      <c r="AS14" s="225" t="e">
        <f t="shared" si="6"/>
        <v>#N/A</v>
      </c>
      <c r="AT14" s="225" t="e">
        <f t="shared" si="2"/>
        <v>#N/A</v>
      </c>
      <c r="AU14" s="225" t="e">
        <f t="shared" si="3"/>
        <v>#VALUE!</v>
      </c>
      <c r="AV14" s="225">
        <v>0</v>
      </c>
      <c r="AW14" s="498" t="e">
        <f t="shared" si="4"/>
        <v>#N/A</v>
      </c>
      <c r="AY14" s="220"/>
      <c r="AZ14" s="229" t="e">
        <f>INDEX('[1]Transit Time'!$A:$DZ,MATCH(I14,'[1]Transit Time'!$A:$A,0),MATCH(L14,'[1]Transit Time'!$A$1:$DZ$1,0))+INDEX('[1]Transit Time'!$A:$DZ,MATCH(L14,'[1]Transit Time'!$A:$A,0),MATCH(V14,'[1]Transit Time'!$A$1:$DZ$1,0))+INDEX('[1]Transit Time'!$A:$DZ,MATCH(V14,'[1]Transit Time'!$A:$A,0),MATCH(Z14,'[1]Transit Time'!$A$1:$DZ$1,0))</f>
        <v>#N/A</v>
      </c>
      <c r="BA14" s="230" t="e">
        <f t="shared" si="7"/>
        <v>#N/A</v>
      </c>
      <c r="BB14" s="230" t="str">
        <f t="shared" si="8"/>
        <v/>
      </c>
      <c r="BC14" s="230"/>
      <c r="BD14" s="230"/>
      <c r="BE14" s="230"/>
    </row>
    <row r="15" spans="1:68" ht="15.75" hidden="1" customHeight="1" outlineLevel="1" x14ac:dyDescent="0.35">
      <c r="A15" s="163">
        <f t="shared" si="9"/>
        <v>45675</v>
      </c>
      <c r="B15" s="163">
        <f t="shared" si="0"/>
        <v>45677</v>
      </c>
      <c r="D15" s="153">
        <f>IF(AJ15=0,0,VLOOKUP(Y15,Control!$G$41:$J$44,4,FALSE))</f>
        <v>0</v>
      </c>
      <c r="E15" s="153"/>
      <c r="F15"/>
      <c r="G15"/>
      <c r="H15"/>
      <c r="I15"/>
      <c r="J15"/>
      <c r="K15"/>
      <c r="L15"/>
      <c r="M15"/>
      <c r="N15"/>
      <c r="O15"/>
      <c r="P15"/>
      <c r="Q15"/>
      <c r="T15" s="138" t="e">
        <f>INDEX('[2]Flat Rates 2024'!$A:$DZ,MATCH(V15,'[2]Flat Rates 2024'!$A:$A,0),MATCH(Z15,'[2]Flat Rates 2024'!$A$1:$DZ$1,0))</f>
        <v>#N/A</v>
      </c>
      <c r="U15" s="138">
        <f>INDEX(Control!$E$17:$J$21,MATCH(Y15,Control!$E$17:$E$21,0),MATCH(V15,Control!$E$17:$J$17,0))</f>
        <v>0</v>
      </c>
      <c r="V15" s="138" t="s">
        <v>55</v>
      </c>
      <c r="W15" s="116">
        <f>INDEX(Vessel_Minimum_MT,MATCH(Y15,Control!$E$11:$E$15,0),MATCH(V15,Control!$E$11:$J$11,0))</f>
        <v>70000</v>
      </c>
      <c r="X15" s="140">
        <f>AB15/Control!$D$84</f>
        <v>64354.977116704802</v>
      </c>
      <c r="Y15" s="147" t="s">
        <v>23</v>
      </c>
      <c r="Z15" s="142" t="s">
        <v>112</v>
      </c>
      <c r="AA15" s="142" t="str">
        <f t="shared" si="1"/>
        <v>CARIBS/CARIBS</v>
      </c>
      <c r="AB15" s="141">
        <v>500000</v>
      </c>
      <c r="AC15" s="141">
        <v>180</v>
      </c>
      <c r="AD15" s="151">
        <v>325</v>
      </c>
      <c r="AE15" s="149" t="e">
        <f t="shared" si="5"/>
        <v>#N/A</v>
      </c>
      <c r="AF15" s="144">
        <v>0</v>
      </c>
      <c r="AG15" s="141" t="e">
        <f>IF(INDEX(Index,MATCH(Z15,TVM_PortList,0),MATCH("Type",Control!$Q$3:$U$3,0))="BL",INDEX(Index,MATCH(Z15,TVM_PortList,0),MATCH("Payment",Control!$Q$3:$U$3,0))-INDEX(Index,MATCH(V15,TVM_PortList,0),MATCH("Payment",Control!$Q$3:$U$3,0)),AZ15+INDEX(Index,MATCH(Z15,TVM_PortList,0),MATCH("Payment",Control!$Q$3:$U$3,0))-INDEX(Index,MATCH(V15,TVM_PortList,0),MATCH("Payment",Control!$Q$3:$U$3,0)))</f>
        <v>#N/A</v>
      </c>
      <c r="AH15" s="143">
        <f>AF15*VLOOKUP($Y15,Control!$F$75:$H$79,3,FALSE)/$AB15</f>
        <v>0</v>
      </c>
      <c r="AI15" s="143" t="e">
        <f>IF(AG15&lt;0,0,$AG15*Control!$D$77)</f>
        <v>#N/A</v>
      </c>
      <c r="AJ15" s="143">
        <f>INDEX(Lightering,MATCH($V15,Control!$AB$3:$AB$29,0),MATCH(FORTIES!$Y15,Control!$AB$3:$AF$3,0))*($AB15/Control!$D$85)*Control!$H$90/$AB15</f>
        <v>0</v>
      </c>
      <c r="AK15" s="143">
        <f>IF(I15="Corpus Christi",Control!$D$76,0)</f>
        <v>0</v>
      </c>
      <c r="AL15" s="143">
        <v>0</v>
      </c>
      <c r="AM15" s="143">
        <f>Control!$D$78</f>
        <v>0</v>
      </c>
      <c r="AN15" s="143">
        <f>Control!$D$79</f>
        <v>6.7299999999999999E-2</v>
      </c>
      <c r="AO15" s="143">
        <f>IF(INDEX(Control!$Q$3:$S$62,MATCH($Z15,Control!$Q$3:$Q$62,0),MATCH(AO$8,Control!$Q$3:$S$3,0))=1,Control!$D$81*Control!$E$81,0)</f>
        <v>0.2</v>
      </c>
      <c r="AP15" s="143">
        <f>IF(INDEX(Control!$Q$3:$S$62,MATCH($Z15,Control!$Q$3:$Q$62,0),MATCH(AP$8,Control!$Q$3:$S$3,0))=1,Control!$D$82/$AB15,0)</f>
        <v>0</v>
      </c>
      <c r="AQ15" s="143"/>
      <c r="AR15" s="143">
        <f>IF(AND(L15="Chiriqui Grande",V15="Puerto Armuelles"),Control!$G$93,0)</f>
        <v>0</v>
      </c>
      <c r="AS15" s="149" t="e">
        <f t="shared" si="6"/>
        <v>#N/A</v>
      </c>
      <c r="AT15" s="149" t="e">
        <f t="shared" si="2"/>
        <v>#N/A</v>
      </c>
      <c r="AU15" s="149" t="e">
        <f t="shared" si="3"/>
        <v>#VALUE!</v>
      </c>
      <c r="AV15" s="149">
        <v>0</v>
      </c>
      <c r="AW15" s="499" t="e">
        <f t="shared" si="4"/>
        <v>#N/A</v>
      </c>
      <c r="AZ15" s="153" t="e">
        <f>INDEX('[1]Transit Time'!$A:$DZ,MATCH(I15,'[1]Transit Time'!$A:$A,0),MATCH(L15,'[1]Transit Time'!$A$1:$DZ$1,0))+INDEX('[1]Transit Time'!$A:$DZ,MATCH(L15,'[1]Transit Time'!$A:$A,0),MATCH(V15,'[1]Transit Time'!$A$1:$DZ$1,0))+INDEX('[1]Transit Time'!$A:$DZ,MATCH(V15,'[1]Transit Time'!$A:$A,0),MATCH(Z15,'[1]Transit Time'!$A$1:$DZ$1,0))</f>
        <v>#N/A</v>
      </c>
      <c r="BA15" s="163" t="e">
        <f t="shared" si="7"/>
        <v>#N/A</v>
      </c>
      <c r="BB15" s="163" t="str">
        <f t="shared" si="8"/>
        <v/>
      </c>
      <c r="BC15" s="163"/>
      <c r="BD15" s="163"/>
      <c r="BE15" s="163"/>
    </row>
    <row r="16" spans="1:68" ht="16" hidden="1" outlineLevel="1" thickBot="1" x14ac:dyDescent="0.4">
      <c r="A16" s="319" t="s">
        <v>159</v>
      </c>
      <c r="B16" s="320" t="e">
        <f t="shared" si="0"/>
        <v>#VALUE!</v>
      </c>
      <c r="D16" s="338">
        <f>IF(AJ16=0,0,VLOOKUP(Y16,Control!$G$41:$J$44,4,FALSE))</f>
        <v>0</v>
      </c>
      <c r="E16" s="515" t="e">
        <f>AVERAGE(A16:B16)+D16</f>
        <v>#VALUE!</v>
      </c>
      <c r="F16"/>
      <c r="G16"/>
      <c r="H16"/>
      <c r="I16"/>
      <c r="J16"/>
      <c r="K16"/>
      <c r="L16"/>
      <c r="M16"/>
      <c r="N16"/>
      <c r="O16"/>
      <c r="P16"/>
      <c r="Q16"/>
      <c r="T16" s="330">
        <f>INDEX('[2]Flat Rates 2024'!$A:$DZ,MATCH(V16,'[2]Flat Rates 2024'!$A:$A,0),MATCH(Z16,'[2]Flat Rates 2024'!$A$1:$DZ$1,0))</f>
        <v>0</v>
      </c>
      <c r="U16" s="330">
        <f>INDEX(Control!$E$17:$J$21,MATCH(Y16,Control!$E$17:$E$21,0),MATCH(V16,Control!$E$17:$J$17,0))</f>
        <v>0</v>
      </c>
      <c r="V16" s="330" t="s">
        <v>45</v>
      </c>
      <c r="W16" s="323">
        <f>INDEX(Vessel_Minimum_MT,MATCH(Y16,Control!$E$11:$E$15,0),MATCH(V16,Control!$E$11:$J$11,0))</f>
        <v>70000</v>
      </c>
      <c r="X16" s="331">
        <f>AB16/Control!$D$84</f>
        <v>96532.465675057203</v>
      </c>
      <c r="Y16" s="325" t="s">
        <v>23</v>
      </c>
      <c r="Z16" s="322" t="s">
        <v>110</v>
      </c>
      <c r="AA16" s="322" t="str">
        <f t="shared" si="1"/>
        <v>USGC/LATAM WEST</v>
      </c>
      <c r="AB16" s="324">
        <v>750000</v>
      </c>
      <c r="AC16" s="324">
        <v>1001</v>
      </c>
      <c r="AD16" s="333">
        <v>1600000</v>
      </c>
      <c r="AE16" s="334">
        <f t="shared" si="5"/>
        <v>2.1333333333333333</v>
      </c>
      <c r="AF16" s="335">
        <v>3</v>
      </c>
      <c r="AG16" s="324">
        <f>IF(INDEX(Index,MATCH(Z16,TVM_PortList,0),MATCH("Type",Control!$Q$3:$U$3,0))="BL",INDEX(Index,MATCH(Z16,TVM_PortList,0),MATCH("Payment",Control!$Q$3:$U$3,0))-INDEX(Index,MATCH(V16,TVM_PortList,0),MATCH("Payment",Control!$Q$3:$U$3,0)),AZ16+INDEX(Index,MATCH(Z16,TVM_PortList,0),MATCH("Payment",Control!$Q$3:$U$3,0))-INDEX(Index,MATCH(V16,TVM_PortList,0),MATCH("Payment",Control!$Q$3:$U$3,0)))</f>
        <v>0</v>
      </c>
      <c r="AH16" s="336">
        <f>AF16*VLOOKUP($Y16,Control!$F$75:$H$79,3,FALSE)/$AB16</f>
        <v>0.32</v>
      </c>
      <c r="AI16" s="336">
        <f>IF(AG16&lt;0,0,$AG16*Control!$D$77)</f>
        <v>0</v>
      </c>
      <c r="AJ16" s="336">
        <f>INDEX(Lightering,MATCH($V16,Control!$AB$3:$AB$29,0),MATCH(FORTIES!$Y16,Control!$AB$3:$AF$3,0))*($AB16/Control!$D$85)*Control!$H$90/$AB16</f>
        <v>0</v>
      </c>
      <c r="AK16" s="336">
        <f>IF(I16="Corpus Christi",Control!$D$76,0)</f>
        <v>0</v>
      </c>
      <c r="AL16" s="336">
        <v>0</v>
      </c>
      <c r="AM16" s="336">
        <f>Control!$D$78</f>
        <v>0</v>
      </c>
      <c r="AN16" s="336">
        <f>Control!$D$79</f>
        <v>6.7299999999999999E-2</v>
      </c>
      <c r="AO16" s="336">
        <f>IF(INDEX(Control!$Q$3:$S$62,MATCH($Z16,Control!$Q$3:$Q$62,0),MATCH(AO$8,Control!$Q$3:$S$3,0))=1,Control!$D$81*Control!$E$81,0)</f>
        <v>0</v>
      </c>
      <c r="AP16" s="336">
        <f>IF(INDEX(Control!$Q$3:$S$62,MATCH($Z16,Control!$Q$3:$Q$62,0),MATCH(AP$8,Control!$Q$3:$S$3,0))=1,Control!$D$82/$AB16,0)</f>
        <v>0</v>
      </c>
      <c r="AQ16" s="336"/>
      <c r="AR16" s="336">
        <f>IF(AND(L16="Chiriqui Grande",V16="Puerto Armuelles"),Control!$G$93,0)</f>
        <v>0</v>
      </c>
      <c r="AS16" s="334">
        <f t="shared" si="6"/>
        <v>0.38729999999999998</v>
      </c>
      <c r="AT16" s="334">
        <f t="shared" si="2"/>
        <v>2.5206333333333335</v>
      </c>
      <c r="AU16" s="334" t="e">
        <f t="shared" ref="AU16:AU21" si="10">IF((MONTH(A16)=MONTH(BE16)),0,IF(((MONTH(BE16))-MONTH(A16))+12*YEAR(BD16)-YEAR(A16)&gt;1,SUMIFS($BA$4:$BD$4,$BA$3:$BD$3,"&lt;="&amp;EOMONTH(BD16,-1),$BA$3:$BD$3,"&gt;="&amp;EOMONTH(A16,0)),VLOOKUP("Spreads",$AZ$3:$BD$4,MATCH(EOMONTH(A16,0),$AZ$3:$BD$3,0))))</f>
        <v>#VALUE!</v>
      </c>
      <c r="AV16" s="334" t="e">
        <f t="shared" ref="AV16:AV21" si="11">+IF($AZ$3=1,HLOOKUP(EOMONTH(BB16,0),$BA$3:$BD$6,4,FALSE),IF($AZ$3=2,-HLOOKUP(EOMONTH(BB16,0),$BA$3:$BD$6,3,FALSE),0))</f>
        <v>#VALUE!</v>
      </c>
      <c r="AW16" s="498" t="e">
        <f t="shared" si="4"/>
        <v>#VALUE!</v>
      </c>
      <c r="AY16" s="330"/>
      <c r="AZ16" s="338">
        <f>+INDEX('[1]Transit Time'!$A:$DZ,MATCH(V16,'[1]Transit Time'!$A:$A,0),MATCH(Z16,'[1]Transit Time'!$A$1:$DZ$1,0))</f>
        <v>18</v>
      </c>
      <c r="BA16" s="320" t="e">
        <f t="shared" ref="BA16:BA21" si="12">IF(ISBLANK(A16),"",A16+$AZ16+D16)</f>
        <v>#VALUE!</v>
      </c>
      <c r="BB16" s="339" t="str">
        <f t="shared" si="8"/>
        <v/>
      </c>
      <c r="BC16" s="320" t="e">
        <f t="shared" ref="BC16:BC21" si="13">HLOOKUP($AZ$3,$AT$3:$AV$3,2,FALSE)</f>
        <v>#N/A</v>
      </c>
      <c r="BD16" s="491" t="e">
        <f t="shared" ref="BD16:BD21" si="14">IF($AZ$7=0,IF(BC16="ICE Brent",EOMONTH(BB16,2),EOMONTH(BB16,0)),IF(BC16="ICE Brent",EOMONTH(BB16,1),EOMONTH(BB16,-1)))</f>
        <v>#N/A</v>
      </c>
      <c r="BE16" s="491" t="e">
        <f t="shared" ref="BE16:BE21" si="15">IF($AZ$7=1,EOMONTH(BB16,-1),EOMONTH(BB16,0))</f>
        <v>#VALUE!</v>
      </c>
    </row>
    <row r="17" spans="1:68" ht="16" hidden="1" outlineLevel="1" thickBot="1" x14ac:dyDescent="0.4">
      <c r="A17" s="340">
        <f t="shared" ref="A17:A21" si="16">+$A$9</f>
        <v>45675</v>
      </c>
      <c r="B17" s="341">
        <f t="shared" si="0"/>
        <v>45677</v>
      </c>
      <c r="D17" s="359">
        <f>IF(AJ17=0,0,VLOOKUP(Y17,Control!$G$41:$J$44,4,FALSE))</f>
        <v>0</v>
      </c>
      <c r="E17" s="516">
        <f t="shared" ref="E17:E21" si="17">AVERAGE(A17:B17)+D17</f>
        <v>45676</v>
      </c>
      <c r="F17"/>
      <c r="G17"/>
      <c r="H17"/>
      <c r="I17"/>
      <c r="J17"/>
      <c r="K17"/>
      <c r="L17"/>
      <c r="M17"/>
      <c r="N17"/>
      <c r="O17"/>
      <c r="P17"/>
      <c r="Q17"/>
      <c r="T17" s="351">
        <f>INDEX('[2]Flat Rates 2024'!$A:$DZ,MATCH(V17,'[2]Flat Rates 2024'!$A:$A,0),MATCH(Z17,'[2]Flat Rates 2024'!$A$1:$DZ$1,0))</f>
        <v>0</v>
      </c>
      <c r="U17" s="351">
        <f>INDEX(Control!$E$17:$J$21,MATCH(Y17,Control!$E$17:$E$21,0),MATCH(V17,Control!$E$17:$J$17,0))</f>
        <v>0</v>
      </c>
      <c r="V17" s="351" t="s">
        <v>45</v>
      </c>
      <c r="W17" s="344">
        <f>INDEX(Vessel_Minimum_MT,MATCH(Y17,Control!$E$11:$E$15,0),MATCH(V17,Control!$E$11:$J$11,0))</f>
        <v>70000</v>
      </c>
      <c r="X17" s="352">
        <f>AB17/Control!$D$84</f>
        <v>96532.465675057203</v>
      </c>
      <c r="Y17" s="346" t="s">
        <v>23</v>
      </c>
      <c r="Z17" s="343" t="s">
        <v>35</v>
      </c>
      <c r="AA17" s="343" t="str">
        <f t="shared" si="1"/>
        <v>USGC/BAYOVAR+T</v>
      </c>
      <c r="AB17" s="345">
        <v>750000</v>
      </c>
      <c r="AC17" s="345"/>
      <c r="AD17" s="354">
        <v>190</v>
      </c>
      <c r="AE17" s="355">
        <f t="shared" si="5"/>
        <v>0</v>
      </c>
      <c r="AF17" s="356">
        <v>2</v>
      </c>
      <c r="AG17" s="345">
        <f>IF(INDEX(Index,MATCH(Z17,TVM_PortList,0),MATCH("Type",Control!$Q$3:$U$3,0))="BL",INDEX(Index,MATCH(Z17,TVM_PortList,0),MATCH("Payment",Control!$Q$3:$U$3,0))-INDEX(Index,MATCH(V17,TVM_PortList,0),MATCH("Payment",Control!$Q$3:$U$3,0)),AZ17+INDEX(Index,MATCH(Z17,TVM_PortList,0),MATCH("Payment",Control!$Q$3:$U$3,0))-INDEX(Index,MATCH(V17,TVM_PortList,0),MATCH("Payment",Control!$Q$3:$U$3,0)))</f>
        <v>2</v>
      </c>
      <c r="AH17" s="357">
        <f>AF17*VLOOKUP($Y17,Control!$F$75:$H$79,3,FALSE)/$AB17</f>
        <v>0.21333333333333335</v>
      </c>
      <c r="AI17" s="357">
        <f>IF(AG17&lt;0,0,$AG17*Control!$D$77)</f>
        <v>2.6072328767123291E-2</v>
      </c>
      <c r="AJ17" s="357">
        <f>INDEX(Lightering,MATCH($V17,Control!$AB$3:$AB$29,0),MATCH(FORTIES!$Y17,Control!$AB$3:$AF$3,0))*($AB17/Control!$D$85)*Control!$H$90/$AB17</f>
        <v>0</v>
      </c>
      <c r="AK17" s="357">
        <f>IF(I17="Corpus Christi",Control!$D$76,0)</f>
        <v>0</v>
      </c>
      <c r="AL17" s="357">
        <v>0.62666666666666671</v>
      </c>
      <c r="AM17" s="357">
        <f>Control!$D$78</f>
        <v>0</v>
      </c>
      <c r="AN17" s="357">
        <f>Control!$D$79</f>
        <v>6.7299999999999999E-2</v>
      </c>
      <c r="AO17" s="357">
        <f>IF(INDEX(Control!$Q$3:$S$62,MATCH($Z17,Control!$Q$3:$Q$62,0),MATCH(AO$8,Control!$Q$3:$S$3,0))=1,Control!$D$81*Control!$E$81,0)</f>
        <v>0</v>
      </c>
      <c r="AP17" s="357">
        <f>IF(INDEX(Control!$Q$3:$S$62,MATCH($Z17,Control!$Q$3:$Q$62,0),MATCH(AP$8,Control!$Q$3:$S$3,0))=1,Control!$D$82/$AB17,0)</f>
        <v>0</v>
      </c>
      <c r="AQ17" s="357"/>
      <c r="AR17" s="357">
        <f>IF(AND(L17="Chiriqui Grande",V17="Puerto Armuelles"),Control!$G$93,0)</f>
        <v>0</v>
      </c>
      <c r="AS17" s="355">
        <f t="shared" si="6"/>
        <v>0.93337232876712339</v>
      </c>
      <c r="AT17" s="355">
        <f t="shared" si="2"/>
        <v>0.93337232876712339</v>
      </c>
      <c r="AU17" s="355">
        <f t="shared" si="10"/>
        <v>0</v>
      </c>
      <c r="AV17" s="355">
        <f t="shared" si="11"/>
        <v>0.5</v>
      </c>
      <c r="AW17" s="501">
        <f t="shared" si="4"/>
        <v>-0.21662767123287652</v>
      </c>
      <c r="AY17" s="350"/>
      <c r="AZ17" s="359">
        <f>+INDEX('[1]Transit Time'!$A:$DZ,MATCH(V17,'[1]Transit Time'!$A:$A,0),MATCH(Z17,'[1]Transit Time'!$A$1:$DZ$1,0))</f>
        <v>19</v>
      </c>
      <c r="BA17" s="341">
        <f t="shared" si="12"/>
        <v>45694</v>
      </c>
      <c r="BB17" s="360">
        <f t="shared" si="8"/>
        <v>45696</v>
      </c>
      <c r="BC17" s="341" t="e">
        <f t="shared" si="13"/>
        <v>#N/A</v>
      </c>
      <c r="BD17" s="492" t="e">
        <f t="shared" si="14"/>
        <v>#N/A</v>
      </c>
      <c r="BE17" s="492">
        <f t="shared" si="15"/>
        <v>45688</v>
      </c>
    </row>
    <row r="18" spans="1:68" ht="16" hidden="1" outlineLevel="1" thickBot="1" x14ac:dyDescent="0.4">
      <c r="A18" s="209">
        <f t="shared" si="16"/>
        <v>45675</v>
      </c>
      <c r="B18" s="209">
        <f t="shared" si="0"/>
        <v>45677</v>
      </c>
      <c r="D18" s="318">
        <f>IF(AJ18=0,0,VLOOKUP(Y18,Control!$G$41:$J$44,4,FALSE))</f>
        <v>3</v>
      </c>
      <c r="E18" s="517">
        <f t="shared" si="17"/>
        <v>45679</v>
      </c>
      <c r="F18"/>
      <c r="G18"/>
      <c r="H18"/>
      <c r="I18"/>
      <c r="J18"/>
      <c r="K18"/>
      <c r="L18"/>
      <c r="M18"/>
      <c r="N18"/>
      <c r="O18"/>
      <c r="P18"/>
      <c r="Q18"/>
      <c r="T18" s="220">
        <f>INDEX('[2]Flat Rates 2024'!$A:$DZ,MATCH(V18,'[2]Flat Rates 2024'!$A:$A,0),MATCH(Z18,'[2]Flat Rates 2024'!$A$1:$DZ$1,0))</f>
        <v>0</v>
      </c>
      <c r="U18" s="220">
        <f>INDEX(Control!$E$17:$J$21,MATCH(Y18,Control!$E$17:$E$21,0),MATCH(V18,Control!$E$17:$J$17,0))</f>
        <v>0.5</v>
      </c>
      <c r="V18" s="220" t="s">
        <v>45</v>
      </c>
      <c r="W18" s="213">
        <f>INDEX(Vessel_Minimum_MT,MATCH(Y18,Control!$E$11:$E$15,0),MATCH(V18,Control!$E$11:$J$11,0))</f>
        <v>145000</v>
      </c>
      <c r="X18" s="222">
        <f>AB18/Control!$D$84</f>
        <v>109403.46109839817</v>
      </c>
      <c r="Y18" s="258" t="s">
        <v>24</v>
      </c>
      <c r="Z18" s="311" t="s">
        <v>35</v>
      </c>
      <c r="AA18" s="311" t="str">
        <f t="shared" si="1"/>
        <v>USGC/BAYOVAR+T</v>
      </c>
      <c r="AB18" s="312">
        <v>850000</v>
      </c>
      <c r="AC18" s="312"/>
      <c r="AD18" s="378">
        <v>90</v>
      </c>
      <c r="AE18" s="314">
        <f t="shared" si="5"/>
        <v>0</v>
      </c>
      <c r="AF18" s="315">
        <v>2</v>
      </c>
      <c r="AG18" s="312">
        <f>IF(INDEX(Index,MATCH(Z18,TVM_PortList,0),MATCH("Type",Control!$Q$3:$U$3,0))="BL",INDEX(Index,MATCH(Z18,TVM_PortList,0),MATCH("Payment",Control!$Q$3:$U$3,0))-INDEX(Index,MATCH(V18,TVM_PortList,0),MATCH("Payment",Control!$Q$3:$U$3,0)),AZ18+INDEX(Index,MATCH(Z18,TVM_PortList,0),MATCH("Payment",Control!$Q$3:$U$3,0))-INDEX(Index,MATCH(V18,TVM_PortList,0),MATCH("Payment",Control!$Q$3:$U$3,0)))</f>
        <v>2</v>
      </c>
      <c r="AH18" s="316">
        <f>ABB362*VLOOKUP($Y18,Control!$F$75:$H$79,3,FALSE)/$AB18</f>
        <v>0</v>
      </c>
      <c r="AI18" s="316">
        <f>IF(AG18&lt;0,0,$AG18*Control!$D$77)</f>
        <v>2.6072328767123291E-2</v>
      </c>
      <c r="AJ18" s="316">
        <f>INDEX(Lightering,MATCH($V18,Control!$AB$3:$AB$29,0),MATCH(FORTIES!$Y18,Control!$AB$3:$AF$3,0))*($AB18/Control!$D$85)*Control!$H$90/$AB18</f>
        <v>2.4666666666666663</v>
      </c>
      <c r="AK18" s="316">
        <f>IF(I18="Corpus Christi",Control!$D$76,0)</f>
        <v>0</v>
      </c>
      <c r="AL18" s="316">
        <v>0</v>
      </c>
      <c r="AM18" s="316">
        <f>Control!$D$78</f>
        <v>0</v>
      </c>
      <c r="AN18" s="316">
        <f>Control!$D$79</f>
        <v>6.7299999999999999E-2</v>
      </c>
      <c r="AO18" s="316">
        <f>IF(INDEX(Control!$Q$3:$S$62,MATCH($Z18,Control!$Q$3:$Q$62,0),MATCH(AO$8,Control!$Q$3:$S$3,0))=1,Control!$D$81*Control!$E$81,0)</f>
        <v>0</v>
      </c>
      <c r="AP18" s="316">
        <f>IF(INDEX(Control!$Q$3:$S$62,MATCH($Z18,Control!$Q$3:$Q$62,0),MATCH(AP$8,Control!$Q$3:$S$3,0))=1,Control!$D$82/$AB18,0)</f>
        <v>0</v>
      </c>
      <c r="AQ18" s="316"/>
      <c r="AR18" s="316">
        <f>IF(AND(L18="Chiriqui Grande",V18="Puerto Armuelles"),Control!$G$93,0)</f>
        <v>0</v>
      </c>
      <c r="AS18" s="314">
        <f t="shared" si="6"/>
        <v>2.5600389954337897</v>
      </c>
      <c r="AT18" s="314">
        <f t="shared" si="2"/>
        <v>2.5600389954337897</v>
      </c>
      <c r="AU18" s="314">
        <f t="shared" si="10"/>
        <v>0</v>
      </c>
      <c r="AV18" s="314">
        <f t="shared" si="11"/>
        <v>0.5</v>
      </c>
      <c r="AW18" s="498">
        <f t="shared" si="4"/>
        <v>1.4100389954337897</v>
      </c>
      <c r="AY18" s="220"/>
      <c r="AZ18" s="318">
        <f>+INDEX('[1]Transit Time'!$A:$DZ,MATCH(V18,'[1]Transit Time'!$A:$A,0),MATCH(Z18,'[1]Transit Time'!$A$1:$DZ$1,0))</f>
        <v>19</v>
      </c>
      <c r="BA18" s="209">
        <f t="shared" si="12"/>
        <v>45697</v>
      </c>
      <c r="BB18" s="209">
        <f t="shared" si="8"/>
        <v>45696</v>
      </c>
      <c r="BC18" s="209" t="e">
        <f t="shared" si="13"/>
        <v>#N/A</v>
      </c>
      <c r="BD18" s="493" t="e">
        <f t="shared" si="14"/>
        <v>#N/A</v>
      </c>
      <c r="BE18" s="493">
        <f t="shared" si="15"/>
        <v>45688</v>
      </c>
    </row>
    <row r="19" spans="1:68" ht="16" hidden="1" outlineLevel="1" thickBot="1" x14ac:dyDescent="0.4">
      <c r="A19" s="163">
        <f t="shared" si="16"/>
        <v>45675</v>
      </c>
      <c r="B19" s="163">
        <f t="shared" si="0"/>
        <v>45677</v>
      </c>
      <c r="D19" s="153">
        <f>IF(AJ19=0,0,VLOOKUP(Y19,Control!$G$41:$J$44,4,FALSE))</f>
        <v>0</v>
      </c>
      <c r="E19" s="518">
        <f t="shared" si="17"/>
        <v>45676</v>
      </c>
      <c r="F19"/>
      <c r="G19"/>
      <c r="H19"/>
      <c r="I19"/>
      <c r="J19"/>
      <c r="K19"/>
      <c r="L19"/>
      <c r="M19"/>
      <c r="N19"/>
      <c r="O19"/>
      <c r="P19"/>
      <c r="Q19"/>
      <c r="T19" s="138">
        <f>INDEX('[2]Flat Rates 2024'!$A:$DZ,MATCH(V19,'[2]Flat Rates 2024'!$A:$A,0),MATCH(Z19,'[2]Flat Rates 2024'!$A$1:$DZ$1,0))</f>
        <v>0</v>
      </c>
      <c r="U19" s="138">
        <f>INDEX(Control!$E$17:$J$21,MATCH(Y19,Control!$E$17:$E$21,0),MATCH(V19,Control!$E$17:$J$17,0))</f>
        <v>0</v>
      </c>
      <c r="V19" s="138" t="s">
        <v>45</v>
      </c>
      <c r="W19" s="116">
        <f>INDEX(Vessel_Minimum_MT,MATCH(Y19,Control!$E$11:$E$15,0),MATCH(V19,Control!$E$11:$J$11,0))</f>
        <v>70000</v>
      </c>
      <c r="X19" s="140">
        <f>AB19/Control!$D$84</f>
        <v>93958.266590389016</v>
      </c>
      <c r="Y19" s="147" t="s">
        <v>23</v>
      </c>
      <c r="Z19" s="142" t="s">
        <v>13</v>
      </c>
      <c r="AA19" s="142" t="str">
        <f t="shared" si="1"/>
        <v>USGC/ECC</v>
      </c>
      <c r="AB19" s="141">
        <v>730000</v>
      </c>
      <c r="AC19" s="141"/>
      <c r="AD19" s="263">
        <f>AD50+10</f>
        <v>160</v>
      </c>
      <c r="AE19" s="149">
        <f t="shared" si="5"/>
        <v>0</v>
      </c>
      <c r="AF19" s="144">
        <v>1</v>
      </c>
      <c r="AG19" s="141">
        <f>IF(INDEX(Index,MATCH(Z19,TVM_PortList,0),MATCH("Type",Control!$Q$3:$U$3,0))="BL",INDEX(Index,MATCH(Z19,TVM_PortList,0),MATCH("Payment",Control!$Q$3:$U$3,0))-INDEX(Index,MATCH(V19,TVM_PortList,0),MATCH("Payment",Control!$Q$3:$U$3,0)),AZ19+INDEX(Index,MATCH(Z19,TVM_PortList,0),MATCH("Payment",Control!$Q$3:$U$3,0))-INDEX(Index,MATCH(V19,TVM_PortList,0),MATCH("Payment",Control!$Q$3:$U$3,0)))</f>
        <v>0</v>
      </c>
      <c r="AH19" s="143">
        <f>ABB363*VLOOKUP($Y19,Control!$F$75:$H$79,3,FALSE)/$AB19</f>
        <v>0</v>
      </c>
      <c r="AI19" s="143">
        <f>IF(AG19&lt;0,0,$AG19*Control!$D$77)</f>
        <v>0</v>
      </c>
      <c r="AJ19" s="143">
        <f>INDEX(Lightering,MATCH($V19,Control!$AB$3:$AB$29,0),MATCH(FORTIES!$Y19,Control!$AB$3:$AF$3,0))*($AB19/Control!$D$85)*Control!$H$90/$AB19</f>
        <v>0</v>
      </c>
      <c r="AK19" s="143">
        <f>IF(I19="Corpus Christi",Control!$D$76,0)</f>
        <v>0</v>
      </c>
      <c r="AL19" s="143">
        <v>0</v>
      </c>
      <c r="AM19" s="143">
        <f>Control!$D$78</f>
        <v>0</v>
      </c>
      <c r="AN19" s="143">
        <f>Control!$D$79</f>
        <v>6.7299999999999999E-2</v>
      </c>
      <c r="AO19" s="143">
        <f>IF(INDEX(Control!$Q$3:$S$62,MATCH($Z19,Control!$Q$3:$Q$62,0),MATCH(AO$8,Control!$Q$3:$S$3,0))=1,Control!$D$81*Control!$E$81,0)</f>
        <v>0</v>
      </c>
      <c r="AP19" s="143">
        <f>IF(INDEX(Control!$Q$3:$S$62,MATCH($Z19,Control!$Q$3:$Q$62,0),MATCH(AP$8,Control!$Q$3:$S$3,0))=1,Control!$D$82/$AB19,0)</f>
        <v>0</v>
      </c>
      <c r="AQ19" s="143"/>
      <c r="AR19" s="143">
        <f>IF(AND(L19="Chiriqui Grande",V19="Puerto Armuelles"),Control!$G$93,0)</f>
        <v>0</v>
      </c>
      <c r="AS19" s="149">
        <f t="shared" si="6"/>
        <v>6.7299999999999999E-2</v>
      </c>
      <c r="AT19" s="149">
        <f t="shared" si="2"/>
        <v>6.7299999999999999E-2</v>
      </c>
      <c r="AU19" s="149" t="e">
        <f t="shared" si="10"/>
        <v>#N/A</v>
      </c>
      <c r="AV19" s="149">
        <f t="shared" si="11"/>
        <v>0.35</v>
      </c>
      <c r="AW19" s="501" t="e">
        <f t="shared" si="4"/>
        <v>#N/A</v>
      </c>
      <c r="AZ19" s="153">
        <f>+INDEX('[1]Transit Time'!$A:$DZ,MATCH(V19,'[1]Transit Time'!$A:$A,0),MATCH(Z19,'[1]Transit Time'!$A$1:$DZ$1,0))</f>
        <v>8</v>
      </c>
      <c r="BA19" s="163">
        <f t="shared" si="12"/>
        <v>45683</v>
      </c>
      <c r="BB19" s="163">
        <f t="shared" si="8"/>
        <v>45685</v>
      </c>
      <c r="BC19" s="163" t="e">
        <f t="shared" si="13"/>
        <v>#N/A</v>
      </c>
      <c r="BD19" s="490" t="e">
        <f t="shared" si="14"/>
        <v>#N/A</v>
      </c>
      <c r="BE19" s="490">
        <f t="shared" si="15"/>
        <v>45657</v>
      </c>
    </row>
    <row r="20" spans="1:68" ht="16" hidden="1" outlineLevel="1" thickBot="1" x14ac:dyDescent="0.4">
      <c r="A20" s="230">
        <f t="shared" si="16"/>
        <v>45675</v>
      </c>
      <c r="B20" s="230">
        <f t="shared" si="0"/>
        <v>45677</v>
      </c>
      <c r="D20" s="229">
        <f>IF(AJ20=0,0,VLOOKUP(Y20,Control!$G$41:$J$44,4,FALSE))</f>
        <v>0</v>
      </c>
      <c r="E20" s="519">
        <f t="shared" si="17"/>
        <v>45676</v>
      </c>
      <c r="F20"/>
      <c r="G20"/>
      <c r="H20"/>
      <c r="I20"/>
      <c r="J20"/>
      <c r="K20"/>
      <c r="L20"/>
      <c r="M20"/>
      <c r="N20"/>
      <c r="O20"/>
      <c r="P20"/>
      <c r="Q20"/>
      <c r="T20" s="220">
        <f>INDEX('[2]Flat Rates 2024'!$A:$DZ,MATCH(V20,'[2]Flat Rates 2024'!$A:$A,0),MATCH(Z20,'[2]Flat Rates 2024'!$A$1:$DZ$1,0))</f>
        <v>16.308</v>
      </c>
      <c r="U20" s="220">
        <f>INDEX(Control!$E$17:$J$21,MATCH(Y20,Control!$E$17:$E$21,0),MATCH(V20,Control!$E$17:$J$17,0))</f>
        <v>0</v>
      </c>
      <c r="V20" s="220" t="s">
        <v>45</v>
      </c>
      <c r="W20" s="213">
        <f>INDEX(Vessel_Minimum_MT,MATCH(Y20,Control!$E$11:$E$15,0),MATCH(V20,Control!$E$11:$J$11,0))</f>
        <v>70000</v>
      </c>
      <c r="X20" s="222">
        <f>AB20/Control!$D$84</f>
        <v>93958.266590389016</v>
      </c>
      <c r="Y20" s="215" t="s">
        <v>23</v>
      </c>
      <c r="Z20" s="212" t="s">
        <v>76</v>
      </c>
      <c r="AA20" s="212" t="str">
        <f t="shared" si="1"/>
        <v>USGC/ECC</v>
      </c>
      <c r="AB20" s="214">
        <v>730000</v>
      </c>
      <c r="AC20" s="214"/>
      <c r="AD20" s="262">
        <f>AD19</f>
        <v>160</v>
      </c>
      <c r="AE20" s="225">
        <f t="shared" si="5"/>
        <v>2.502049315068493</v>
      </c>
      <c r="AF20" s="226">
        <v>1</v>
      </c>
      <c r="AG20" s="214">
        <f>IF(INDEX(Index,MATCH(Z20,TVM_PortList,0),MATCH("Type",Control!$Q$3:$U$3,0))="BL",INDEX(Index,MATCH(Z20,TVM_PortList,0),MATCH("Payment",Control!$Q$3:$U$3,0))-INDEX(Index,MATCH(V20,TVM_PortList,0),MATCH("Payment",Control!$Q$3:$U$3,0)),AZ20+INDEX(Index,MATCH(Z20,TVM_PortList,0),MATCH("Payment",Control!$Q$3:$U$3,0))-INDEX(Index,MATCH(V20,TVM_PortList,0),MATCH("Payment",Control!$Q$3:$U$3,0)))</f>
        <v>0</v>
      </c>
      <c r="AH20" s="227">
        <f>ABB364*VLOOKUP($Y20,Control!$F$75:$H$79,3,FALSE)/$AB20</f>
        <v>0</v>
      </c>
      <c r="AI20" s="227">
        <f>IF(AG20&lt;0,0,$AG20*Control!$D$77)</f>
        <v>0</v>
      </c>
      <c r="AJ20" s="227">
        <f>INDEX(Lightering,MATCH($V20,Control!$AB$3:$AB$29,0),MATCH(FORTIES!$Y20,Control!$AB$3:$AF$3,0))*($AB20/Control!$D$85)*Control!$H$90/$AB20</f>
        <v>0</v>
      </c>
      <c r="AK20" s="227">
        <f>IF(I20="Corpus Christi",Control!$D$76,0)</f>
        <v>0</v>
      </c>
      <c r="AL20" s="227">
        <v>0</v>
      </c>
      <c r="AM20" s="227">
        <f>Control!$D$78</f>
        <v>0</v>
      </c>
      <c r="AN20" s="227">
        <f>Control!$D$79</f>
        <v>6.7299999999999999E-2</v>
      </c>
      <c r="AO20" s="227">
        <f>IF(INDEX(Control!$Q$3:$S$62,MATCH($Z20,Control!$Q$3:$Q$62,0),MATCH(AO$8,Control!$Q$3:$S$3,0))=1,Control!$D$81*Control!$E$81,0)</f>
        <v>0</v>
      </c>
      <c r="AP20" s="227">
        <f>IF(INDEX(Control!$Q$3:$S$62,MATCH($Z20,Control!$Q$3:$Q$62,0),MATCH(AP$8,Control!$Q$3:$S$3,0))=1,Control!$D$82/$AB20,0)</f>
        <v>0</v>
      </c>
      <c r="AQ20" s="227"/>
      <c r="AR20" s="227">
        <f>IF(AND(L20="Chiriqui Grande",V20="Puerto Armuelles"),Control!$G$93,0)</f>
        <v>0</v>
      </c>
      <c r="AS20" s="225">
        <f t="shared" si="6"/>
        <v>6.7299999999999999E-2</v>
      </c>
      <c r="AT20" s="225">
        <f t="shared" si="2"/>
        <v>2.569349315068493</v>
      </c>
      <c r="AU20" s="225" t="e">
        <f t="shared" si="10"/>
        <v>#N/A</v>
      </c>
      <c r="AV20" s="225">
        <f t="shared" si="11"/>
        <v>0.35</v>
      </c>
      <c r="AW20" s="498" t="e">
        <f t="shared" si="4"/>
        <v>#N/A</v>
      </c>
      <c r="AY20" s="220"/>
      <c r="AZ20" s="229">
        <f>+INDEX('[1]Transit Time'!$A:$DZ,MATCH(V20,'[1]Transit Time'!$A:$A,0),MATCH(Z20,'[1]Transit Time'!$A$1:$DZ$1,0))</f>
        <v>11</v>
      </c>
      <c r="BA20" s="230">
        <f t="shared" si="12"/>
        <v>45686</v>
      </c>
      <c r="BB20" s="230">
        <f t="shared" si="8"/>
        <v>45688</v>
      </c>
      <c r="BC20" s="230" t="e">
        <f t="shared" si="13"/>
        <v>#N/A</v>
      </c>
      <c r="BD20" s="489" t="e">
        <f t="shared" si="14"/>
        <v>#N/A</v>
      </c>
      <c r="BE20" s="489">
        <f t="shared" si="15"/>
        <v>45657</v>
      </c>
      <c r="BG20" s="514"/>
      <c r="BI20" s="268"/>
      <c r="BN20" s="34"/>
    </row>
    <row r="21" spans="1:68" ht="16" hidden="1" outlineLevel="1" thickBot="1" x14ac:dyDescent="0.4">
      <c r="A21" s="163">
        <f t="shared" si="16"/>
        <v>45675</v>
      </c>
      <c r="B21" s="163">
        <f t="shared" si="0"/>
        <v>45677</v>
      </c>
      <c r="D21" s="153">
        <f>IF(AJ21=0,0,VLOOKUP(Y21,Control!$G$41:$J$44,4,FALSE))</f>
        <v>0</v>
      </c>
      <c r="E21" s="518">
        <f t="shared" si="17"/>
        <v>45676</v>
      </c>
      <c r="F21"/>
      <c r="G21"/>
      <c r="H21"/>
      <c r="I21"/>
      <c r="J21"/>
      <c r="K21"/>
      <c r="L21"/>
      <c r="M21"/>
      <c r="N21"/>
      <c r="O21"/>
      <c r="P21"/>
      <c r="Q21"/>
      <c r="T21" s="138">
        <f>INDEX('[2]Flat Rates 2024'!$A:$DZ,MATCH(V21,'[2]Flat Rates 2024'!$A:$A,0),MATCH(Z21,'[2]Flat Rates 2024'!$A$1:$DZ$1,0))</f>
        <v>12.429</v>
      </c>
      <c r="U21" s="138">
        <f>INDEX(Control!$E$17:$J$21,MATCH(Y21,Control!$E$17:$E$21,0),MATCH(V21,Control!$E$17:$J$17,0))</f>
        <v>0</v>
      </c>
      <c r="V21" s="138" t="s">
        <v>45</v>
      </c>
      <c r="W21" s="116">
        <f>INDEX(Vessel_Minimum_MT,MATCH(Y21,Control!$E$11:$E$15,0),MATCH(V21,Control!$E$11:$J$11,0))</f>
        <v>70000</v>
      </c>
      <c r="X21" s="140">
        <f>AB21/Control!$D$84</f>
        <v>93958.266590389016</v>
      </c>
      <c r="Y21" s="147" t="s">
        <v>23</v>
      </c>
      <c r="Z21" s="142" t="s">
        <v>53</v>
      </c>
      <c r="AA21" s="142" t="str">
        <f t="shared" si="1"/>
        <v>USGC/ECC</v>
      </c>
      <c r="AB21" s="141">
        <v>730000</v>
      </c>
      <c r="AC21" s="141"/>
      <c r="AD21" s="151">
        <f>AD20</f>
        <v>160</v>
      </c>
      <c r="AE21" s="149">
        <f t="shared" si="5"/>
        <v>1.9069150684931506</v>
      </c>
      <c r="AF21" s="144">
        <v>1</v>
      </c>
      <c r="AG21" s="141">
        <f>IF(INDEX(Index,MATCH(Z21,TVM_PortList,0),MATCH("Type",Control!$Q$3:$U$3,0))="BL",INDEX(Index,MATCH(Z21,TVM_PortList,0),MATCH("Payment",Control!$Q$3:$U$3,0))-INDEX(Index,MATCH(V21,TVM_PortList,0),MATCH("Payment",Control!$Q$3:$U$3,0)),AZ21+INDEX(Index,MATCH(Z21,TVM_PortList,0),MATCH("Payment",Control!$Q$3:$U$3,0))-INDEX(Index,MATCH(V21,TVM_PortList,0),MATCH("Payment",Control!$Q$3:$U$3,0)))</f>
        <v>0</v>
      </c>
      <c r="AH21" s="143">
        <f>ABB365*VLOOKUP($Y21,Control!$F$75:$H$79,3,FALSE)/$AB21</f>
        <v>0</v>
      </c>
      <c r="AI21" s="143">
        <f>IF(AG21&lt;0,0,$AG21*Control!$D$77)</f>
        <v>0</v>
      </c>
      <c r="AJ21" s="143">
        <f>INDEX(Lightering,MATCH($V21,Control!$AB$3:$AB$29,0),MATCH(FORTIES!$Y21,Control!$AB$3:$AF$3,0))*($AB21/Control!$D$85)*Control!$H$90/$AB21</f>
        <v>0</v>
      </c>
      <c r="AK21" s="143">
        <f>IF(I21="Corpus Christi",Control!$D$76,0)</f>
        <v>0</v>
      </c>
      <c r="AL21" s="143">
        <v>0</v>
      </c>
      <c r="AM21" s="143">
        <f>Control!$D$78</f>
        <v>0</v>
      </c>
      <c r="AN21" s="143">
        <f>Control!$D$79</f>
        <v>6.7299999999999999E-2</v>
      </c>
      <c r="AO21" s="143">
        <f>IF(INDEX(Control!$Q$3:$S$62,MATCH($Z21,Control!$Q$3:$Q$62,0),MATCH(AO$8,Control!$Q$3:$S$3,0))=1,Control!$D$81*Control!$E$81,0)</f>
        <v>0</v>
      </c>
      <c r="AP21" s="143">
        <f>IF(INDEX(Control!$Q$3:$S$62,MATCH($Z21,Control!$Q$3:$Q$62,0),MATCH(AP$8,Control!$Q$3:$S$3,0))=1,Control!$D$82/$AB21,0)</f>
        <v>0</v>
      </c>
      <c r="AQ21" s="143"/>
      <c r="AR21" s="143">
        <f>IF(AND(L21="Chiriqui Grande",V21="Puerto Armuelles"),Control!$G$93,0)</f>
        <v>0</v>
      </c>
      <c r="AS21" s="149">
        <f t="shared" si="6"/>
        <v>6.7299999999999999E-2</v>
      </c>
      <c r="AT21" s="149">
        <f t="shared" si="2"/>
        <v>1.9742150684931505</v>
      </c>
      <c r="AU21" s="149" t="e">
        <f t="shared" si="10"/>
        <v>#N/A</v>
      </c>
      <c r="AV21" s="149">
        <f t="shared" si="11"/>
        <v>0.35</v>
      </c>
      <c r="AW21" s="497" t="e">
        <f t="shared" si="4"/>
        <v>#N/A</v>
      </c>
      <c r="AZ21" s="153">
        <f>+INDEX('[1]Transit Time'!$A:$DZ,MATCH(V21,'[1]Transit Time'!$A:$A,0),MATCH(Z21,'[1]Transit Time'!$A$1:$DZ$1,0))</f>
        <v>8</v>
      </c>
      <c r="BA21" s="163">
        <f t="shared" si="12"/>
        <v>45683</v>
      </c>
      <c r="BB21" s="163">
        <f t="shared" si="8"/>
        <v>45685</v>
      </c>
      <c r="BC21" s="163" t="e">
        <f t="shared" si="13"/>
        <v>#N/A</v>
      </c>
      <c r="BD21" s="490" t="e">
        <f t="shared" si="14"/>
        <v>#N/A</v>
      </c>
      <c r="BE21" s="490">
        <f t="shared" si="15"/>
        <v>45657</v>
      </c>
      <c r="BG21" s="133"/>
      <c r="BI21" s="268"/>
      <c r="BN21" s="34"/>
    </row>
    <row r="22" spans="1:68" ht="19.5" customHeight="1" collapsed="1" thickBot="1" x14ac:dyDescent="0.5">
      <c r="A22"/>
      <c r="B22"/>
      <c r="D22"/>
      <c r="E22" s="520"/>
      <c r="F22"/>
      <c r="G22"/>
      <c r="H22"/>
      <c r="I22"/>
      <c r="J22"/>
      <c r="K22"/>
      <c r="L22"/>
      <c r="M22"/>
      <c r="N22"/>
      <c r="O22"/>
      <c r="P22"/>
      <c r="Q22"/>
      <c r="T22" s="9"/>
      <c r="U22" s="9"/>
      <c r="V22" s="9"/>
      <c r="W22" s="129"/>
      <c r="X22" s="9"/>
      <c r="Y22" s="999" t="s">
        <v>168</v>
      </c>
      <c r="Z22" s="1000"/>
      <c r="AA22" s="1000"/>
      <c r="AB22" s="1000"/>
      <c r="AC22" s="1000"/>
      <c r="AD22" s="1000"/>
      <c r="AE22" s="1000"/>
      <c r="AF22" s="1000"/>
      <c r="AG22" s="1000"/>
      <c r="AH22" s="1000"/>
      <c r="AI22" s="1000"/>
      <c r="AJ22" s="1000"/>
      <c r="AK22" s="1000"/>
      <c r="AL22" s="1000"/>
      <c r="AM22" s="1000"/>
      <c r="AN22" s="1000"/>
      <c r="AO22" s="1000"/>
      <c r="AP22" s="1000"/>
      <c r="AQ22" s="1000"/>
      <c r="AR22" s="1000"/>
      <c r="AS22" s="1000"/>
      <c r="AT22" s="1000"/>
      <c r="AU22" s="1000"/>
      <c r="AV22" s="1000"/>
      <c r="AW22" s="1001"/>
      <c r="AZ22"/>
      <c r="BA22"/>
      <c r="BB22"/>
      <c r="BC22"/>
      <c r="BD22"/>
      <c r="BE22"/>
      <c r="BH22" s="124"/>
    </row>
    <row r="23" spans="1:68" ht="29.5" customHeight="1" x14ac:dyDescent="0.35">
      <c r="A23" s="1013" t="s">
        <v>167</v>
      </c>
      <c r="B23" s="1014"/>
      <c r="D23" s="137" t="str">
        <f t="shared" ref="D23:E23" si="18">D8</f>
        <v>STS Time</v>
      </c>
      <c r="E23" s="521" t="str">
        <f t="shared" si="18"/>
        <v>Depart</v>
      </c>
      <c r="F23"/>
      <c r="G23"/>
      <c r="H23"/>
      <c r="I23"/>
      <c r="J23"/>
      <c r="K23"/>
      <c r="L23"/>
      <c r="M23"/>
      <c r="N23"/>
      <c r="O23"/>
      <c r="P23"/>
      <c r="Q23"/>
      <c r="T23" s="120" t="s">
        <v>172</v>
      </c>
      <c r="U23" s="120" t="e">
        <f>INDEX(Control!$E$17:$J$21,MATCH(Y23,Control!$E$17:$E$21,0),MATCH(V23,Control!$E$17:$J$17,0))</f>
        <v>#N/A</v>
      </c>
      <c r="V23" s="120" t="s">
        <v>173</v>
      </c>
      <c r="W23" s="152" t="str">
        <f>$W$8</f>
        <v>Vessel MT</v>
      </c>
      <c r="X23" s="120" t="s">
        <v>175</v>
      </c>
      <c r="Y23" s="571" t="s">
        <v>176</v>
      </c>
      <c r="Z23" s="571" t="s">
        <v>177</v>
      </c>
      <c r="AA23" s="571" t="s">
        <v>178</v>
      </c>
      <c r="AB23" s="571" t="s">
        <v>200</v>
      </c>
      <c r="AC23" s="578" t="s">
        <v>201</v>
      </c>
      <c r="AD23" s="128" t="s">
        <v>202</v>
      </c>
      <c r="AE23" s="579" t="s">
        <v>182</v>
      </c>
      <c r="AF23" s="580" t="s">
        <v>137</v>
      </c>
      <c r="AG23" s="578" t="s">
        <v>281</v>
      </c>
      <c r="AH23" s="580" t="s">
        <v>184</v>
      </c>
      <c r="AI23" s="580" t="s">
        <v>185</v>
      </c>
      <c r="AJ23" s="580" t="str">
        <f>AJ8</f>
        <v>STS</v>
      </c>
      <c r="AK23" s="580" t="s">
        <v>186</v>
      </c>
      <c r="AL23" s="580" t="s">
        <v>187</v>
      </c>
      <c r="AM23" s="580" t="s">
        <v>141</v>
      </c>
      <c r="AN23" s="580" t="s">
        <v>188</v>
      </c>
      <c r="AO23" s="580" t="s">
        <v>17</v>
      </c>
      <c r="AP23" s="580" t="s">
        <v>207</v>
      </c>
      <c r="AQ23" s="580" t="s">
        <v>189</v>
      </c>
      <c r="AR23" s="580" t="s">
        <v>152</v>
      </c>
      <c r="AS23" s="579" t="s">
        <v>208</v>
      </c>
      <c r="AT23" s="579" t="s">
        <v>209</v>
      </c>
      <c r="AU23" s="579" t="s">
        <v>210</v>
      </c>
      <c r="AV23" s="579" t="str">
        <f>AV8</f>
        <v>Basis</v>
      </c>
      <c r="AW23" s="137" t="s">
        <v>211</v>
      </c>
      <c r="AZ23" s="137" t="s">
        <v>195</v>
      </c>
      <c r="BA23" s="1005" t="s">
        <v>196</v>
      </c>
      <c r="BB23" s="1005"/>
      <c r="BC23" s="488" t="str">
        <f>BC8</f>
        <v>Basis</v>
      </c>
      <c r="BD23" s="582" t="str">
        <f>BD8</f>
        <v>Pricing Month</v>
      </c>
      <c r="BE23" s="582" t="str">
        <f>BE8</f>
        <v>Delivery Month</v>
      </c>
      <c r="BI23" s="35"/>
      <c r="BJ23" s="35"/>
    </row>
    <row r="24" spans="1:68" ht="18" customHeight="1" x14ac:dyDescent="0.35">
      <c r="A24" s="701">
        <f>A21</f>
        <v>45675</v>
      </c>
      <c r="B24" s="702">
        <f>B8</f>
        <v>45677</v>
      </c>
      <c r="C24" s="270"/>
      <c r="D24" s="703"/>
      <c r="E24" s="704">
        <f t="shared" ref="E24:E47" si="19">AVERAGE(A24:B24)+D24</f>
        <v>45676</v>
      </c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665">
        <f>INDEX('[2]Flat Rates 2024'!$A:$DZ,MATCH(V24,'[2]Flat Rates 2024'!$A:$A,0),MATCH(Z24,'[2]Flat Rates 2024'!$A$1:$DZ$1,0))</f>
        <v>0</v>
      </c>
      <c r="U24" s="665">
        <f>INDEX(Control!$E$17:$J$21,MATCH(Y24,Control!$E$17:$E$21,0),MATCH(V24,Control!$E$17:$J$17,0))</f>
        <v>0</v>
      </c>
      <c r="V24" s="665" t="s">
        <v>45</v>
      </c>
      <c r="W24" s="666">
        <f>INDEX(Vessel_Minimum_MT,MATCH(Y24,Control!$E$11:$E$15,0),MATCH(V24,Control!$E$11:$J$11,0))</f>
        <v>70000</v>
      </c>
      <c r="X24" s="667">
        <f>AB24/Control!$D$84</f>
        <v>96532.465675057203</v>
      </c>
      <c r="Y24" s="705" t="s">
        <v>23</v>
      </c>
      <c r="Z24" s="706" t="s">
        <v>106</v>
      </c>
      <c r="AA24" s="706" t="str">
        <f t="shared" ref="AA24:AA44" si="20">IF(Z24=V24,"",CONCATENATE(CONCATENATE(VLOOKUP(V24,Zones,2,FALSE),"/",VLOOKUP(Z24,Zones,2,FALSE))))</f>
        <v>USGC/KOREA</v>
      </c>
      <c r="AB24" s="707">
        <v>750000</v>
      </c>
      <c r="AC24" s="707">
        <v>1001</v>
      </c>
      <c r="AD24" s="708">
        <v>6700000</v>
      </c>
      <c r="AE24" s="709">
        <f t="shared" ref="AE24:AE47" si="21">IF(AC24&gt;1000,IF(AD24=0,AC24,AD24)/AB24,((W24*T24*(IF(AD24=0,AC24,AD24)/100))+IF(X24&lt;W24,0,(X24-W24)*T24*IF(AD24=0,AC24,AD24)/100*U24))/AB24)</f>
        <v>8.9333333333333336</v>
      </c>
      <c r="AF24" s="760">
        <v>5</v>
      </c>
      <c r="AG24" s="710">
        <f>IF(INDEX(Index,MATCH(Z24,TVM_PortList,0),MATCH("Type",Control!$Q$3:$U$3,0))="BL",INDEX(Index,MATCH(Z24,TVM_PortList,0),MATCH("Payment",Control!$Q$3:$U$3,0))-INDEX(Index,MATCH(V24,TVM_PortList,0),MATCH("Payment",Control!$Q$3:$U$3,0)),AZ24+INDEX(Index,MATCH(Z24,TVM_PortList,0),MATCH("Payment",Control!$Q$3:$U$3,0))-INDEX(Index,MATCH(V24,TVM_PortList,0),MATCH("Payment",Control!$Q$3:$U$3,0)))</f>
        <v>19</v>
      </c>
      <c r="AH24" s="711">
        <f>AF24*VLOOKUP($Y24,Control!$F$75:$H$87,3,FALSE)/$AB24</f>
        <v>0.53333333333333333</v>
      </c>
      <c r="AI24" s="711">
        <f>$AG24*Control!$D$77</f>
        <v>0.24768712328767126</v>
      </c>
      <c r="AJ24" s="711">
        <f>IF(((AB24-VLOOKUP(Y24,Control!$J$76:$K$80,2,FALSE))/Control!$D$85)&lt;=0,0,ROUNDUP(((AB24-VLOOKUP(Y24,Control!$J$76:$K$80,2,FALSE))/Control!$D$85),0)*Control!$H$90/AB24)</f>
        <v>0</v>
      </c>
      <c r="AK24" s="711">
        <f>IF(I24="Corpus Christi",Control!$D$76,0)</f>
        <v>0</v>
      </c>
      <c r="AL24" s="711">
        <v>0</v>
      </c>
      <c r="AM24" s="711">
        <f>Control!$D$78</f>
        <v>0</v>
      </c>
      <c r="AN24" s="711">
        <f>Control!$D$79</f>
        <v>6.7299999999999999E-2</v>
      </c>
      <c r="AO24" s="711">
        <f>IF(INDEX(Control!$Q$3:$S$62,MATCH($Z24,Control!$Q$3:$Q$62,0),MATCH(AO$8,Control!$Q$3:$S$3,0))=1,Control!$D$81*Control!$E$81,0)</f>
        <v>0.2</v>
      </c>
      <c r="AP24" s="711"/>
      <c r="AQ24" s="711">
        <f>IF(AND(Y24="VLCC",Control!$K$79=1200000),Control!$D$83/AB24,0)</f>
        <v>0</v>
      </c>
      <c r="AR24" s="711"/>
      <c r="AS24" s="712">
        <f t="shared" ref="AS24:AS25" si="22">SUM(AH24:AR24)</f>
        <v>1.0483204566210047</v>
      </c>
      <c r="AT24" s="712">
        <f t="shared" ref="AT24:AT47" si="23">+R24+AE24+AS24</f>
        <v>9.9816537899543381</v>
      </c>
      <c r="AU24" s="712">
        <f t="shared" ref="AU24:AU47" si="24">IF((MONTH(A24)=MONTH(BE24)),0,IF(((MONTH(BE24))-MONTH(A24))+12*YEAR(BD24)-YEAR(A24)&gt;1,SUMIFS($BA$4:$BD$4,$BA$3:$BD$3,"&lt;="&amp;EOMONTH(BD24,-1),$BA$3:$BD$3,"&gt;="&amp;EOMONTH(A24,0)),VLOOKUP("Spreads",$AZ$3:$BD$4,MATCH(EOMONTH(A24,0),$AZ$3:$BD$3,0))))</f>
        <v>0</v>
      </c>
      <c r="AV24" s="712">
        <f>+IF($AZ$3=1,HLOOKUP(EOMONTH(BD24,0),$BA$3:$BE$6,4,FALSE),IF($AZ$3=2,-HLOOKUP(EOMONTH(BD24,0),$AZ$3:$BE$6,3,FALSE),0))</f>
        <v>0.35</v>
      </c>
      <c r="AW24" s="713">
        <f t="shared" ref="AW24:AW47" si="25">$Y$3+AT24+AU24+AV24</f>
        <v>8.6816537899543373</v>
      </c>
      <c r="AX24" s="329"/>
      <c r="AY24" s="329"/>
      <c r="AZ24" s="703">
        <v>39</v>
      </c>
      <c r="BA24" s="702">
        <f t="shared" ref="BA24:BA47" si="26">IF(ISBLANK(A24),"",A24+$AZ24+D24)</f>
        <v>45714</v>
      </c>
      <c r="BB24" s="702">
        <f>BA24+2</f>
        <v>45716</v>
      </c>
      <c r="BC24" s="702" t="str">
        <f>HLOOKUP($AZ$3,$AT$4:$AV$5,2,FALSE)</f>
        <v>Dubai</v>
      </c>
      <c r="BD24" s="714">
        <f t="shared" ref="BD24:BD47" si="27">IF($AZ$7=0,IF(BC24="ICE Brent",EOMONTH(BB24,2),EOMONTH(BB24,0)),IF(BC24="ICE Brent",EOMONTH(BB24,1),EOMONTH(BB24,-1)))</f>
        <v>45688</v>
      </c>
      <c r="BE24" s="715">
        <f t="shared" ref="BE24:BE47" si="28">IF($AZ$7=1,EOMONTH(BB24,-1),EOMONTH(BB24,0))</f>
        <v>45688</v>
      </c>
      <c r="BH24" s="361"/>
    </row>
    <row r="25" spans="1:68" ht="18" customHeight="1" thickBot="1" x14ac:dyDescent="0.4">
      <c r="A25" s="716">
        <f t="shared" ref="A25:A47" si="29">+$A$9</f>
        <v>45675</v>
      </c>
      <c r="B25" s="717">
        <f t="shared" ref="B25:B31" si="30">IF(ISBLANK(A25),"",A25+2)</f>
        <v>45677</v>
      </c>
      <c r="C25" s="275"/>
      <c r="D25" s="718"/>
      <c r="E25" s="719">
        <f t="shared" si="19"/>
        <v>45676</v>
      </c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720">
        <f>INDEX('[2]Flat Rates 2024'!$A:$DZ,MATCH(V25,'[2]Flat Rates 2024'!$A:$A,0),MATCH(Z25,'[2]Flat Rates 2024'!$A$1:$DZ$1,0))</f>
        <v>0</v>
      </c>
      <c r="U25" s="720">
        <f>INDEX(Control!$E$17:$J$21,MATCH(Y25,Control!$E$17:$E$21,0),MATCH(V25,Control!$E$17:$J$17,0))</f>
        <v>0.5</v>
      </c>
      <c r="V25" s="720" t="s">
        <v>45</v>
      </c>
      <c r="W25" s="721">
        <f>INDEX(Vessel_Minimum_MT,MATCH(Y25,Control!$E$11:$E$15,0),MATCH(V25,Control!$E$11:$J$11,0))</f>
        <v>145000</v>
      </c>
      <c r="X25" s="722">
        <f>AB25/Control!$D$84</f>
        <v>109403.46109839817</v>
      </c>
      <c r="Y25" s="723" t="s">
        <v>24</v>
      </c>
      <c r="Z25" s="724" t="s">
        <v>106</v>
      </c>
      <c r="AA25" s="724" t="str">
        <f t="shared" si="20"/>
        <v>USGC/KOREA</v>
      </c>
      <c r="AB25" s="725">
        <v>850000</v>
      </c>
      <c r="AC25" s="725">
        <v>1001</v>
      </c>
      <c r="AD25" s="726">
        <v>7500000</v>
      </c>
      <c r="AE25" s="727">
        <f t="shared" si="21"/>
        <v>8.8235294117647065</v>
      </c>
      <c r="AF25" s="761">
        <v>2</v>
      </c>
      <c r="AG25" s="725">
        <f>IF(INDEX(Index,MATCH(Z25,TVM_PortList,0),MATCH("Type",Control!$Q$3:$U$3,0))="BL",INDEX(Index,MATCH(Z25,TVM_PortList,0),MATCH("Payment",Control!$Q$3:$U$3,0))-INDEX(Index,MATCH(V25,TVM_PortList,0),MATCH("Payment",Control!$Q$3:$U$3,0)),AZ25+INDEX(Index,MATCH(Z25,TVM_PortList,0),MATCH("Payment",Control!$Q$3:$U$3,0))-INDEX(Index,MATCH(V25,TVM_PortList,0),MATCH("Payment",Control!$Q$3:$U$3,0)))</f>
        <v>21</v>
      </c>
      <c r="AH25" s="728">
        <f>AF25*VLOOKUP($Y25,Control!$F$75:$H$87,3,FALSE)/$AB25</f>
        <v>0.22352941176470589</v>
      </c>
      <c r="AI25" s="728">
        <f>$AG25*Control!$D$77</f>
        <v>0.27375945205479457</v>
      </c>
      <c r="AJ25" s="728">
        <f>IF(((AB25-VLOOKUP(Y25,Control!$J$76:$K$80,2,FALSE))/Control!$D$85)&lt;=0,0,ROUNDUP(((AB25-VLOOKUP(Y25,Control!$J$76:$K$80,2,FALSE))/Control!$D$85),0)*Control!$H$90/AB25)</f>
        <v>0</v>
      </c>
      <c r="AK25" s="728">
        <f>IF(I25="Corpus Christi",Control!$D$76,0)</f>
        <v>0</v>
      </c>
      <c r="AL25" s="728">
        <v>0</v>
      </c>
      <c r="AM25" s="728">
        <f>Control!$D$78</f>
        <v>0</v>
      </c>
      <c r="AN25" s="728">
        <f>Control!$D$79</f>
        <v>6.7299999999999999E-2</v>
      </c>
      <c r="AO25" s="728">
        <f>IF(INDEX(Control!$Q$3:$S$62,MATCH($Z25,Control!$Q$3:$Q$62,0),MATCH(AO$8,Control!$Q$3:$S$3,0))=1,Control!$D$81*Control!$E$81,0)</f>
        <v>0.2</v>
      </c>
      <c r="AP25" s="728"/>
      <c r="AQ25" s="728">
        <f>IF(AND(Y25="VLCC",Control!$K$79=1200000),Control!$D$83/AB25,0)</f>
        <v>0</v>
      </c>
      <c r="AR25" s="728"/>
      <c r="AS25" s="727">
        <f t="shared" si="22"/>
        <v>0.76458886381950042</v>
      </c>
      <c r="AT25" s="727">
        <f t="shared" si="23"/>
        <v>9.5881182755842076</v>
      </c>
      <c r="AU25" s="727">
        <f t="shared" si="24"/>
        <v>0.32</v>
      </c>
      <c r="AV25" s="727">
        <f t="shared" ref="AV25:AV45" si="31">+IF($AZ$3=1,HLOOKUP(EOMONTH(BD25,0),$BA$3:$BE$6,4,FALSE),IF($AZ$3=2,-HLOOKUP(EOMONTH(BD25,0),$AZ$3:$BE$6,3,FALSE),0))</f>
        <v>0.5</v>
      </c>
      <c r="AW25" s="729">
        <f t="shared" si="25"/>
        <v>8.7581182755842075</v>
      </c>
      <c r="AX25" s="350"/>
      <c r="AY25" s="720"/>
      <c r="AZ25" s="718">
        <f>AZ24+AF25</f>
        <v>41</v>
      </c>
      <c r="BA25" s="717">
        <f t="shared" si="26"/>
        <v>45716</v>
      </c>
      <c r="BB25" s="717">
        <f t="shared" ref="BB25:BB47" si="32">BA25+2</f>
        <v>45718</v>
      </c>
      <c r="BC25" s="717" t="str">
        <f t="shared" ref="BC25:BC45" si="33">HLOOKUP($AZ$3,$AT$4:$AV$5,2,FALSE)</f>
        <v>Dubai</v>
      </c>
      <c r="BD25" s="730">
        <f t="shared" si="27"/>
        <v>45716</v>
      </c>
      <c r="BE25" s="731">
        <f t="shared" si="28"/>
        <v>45716</v>
      </c>
      <c r="BG25"/>
      <c r="BH25"/>
      <c r="BI25"/>
      <c r="BJ25"/>
      <c r="BK25"/>
      <c r="BL25"/>
      <c r="BM25"/>
      <c r="BN25"/>
      <c r="BO25"/>
      <c r="BP25"/>
    </row>
    <row r="26" spans="1:68" ht="18" customHeight="1" thickBot="1" x14ac:dyDescent="0.5">
      <c r="A26" s="659"/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T26" s="220"/>
      <c r="U26" s="220"/>
      <c r="V26" s="220"/>
      <c r="W26" s="524"/>
      <c r="X26" s="525"/>
      <c r="Y26" s="1022" t="s">
        <v>214</v>
      </c>
      <c r="Z26" s="1023"/>
      <c r="AA26" s="1023"/>
      <c r="AB26" s="1023"/>
      <c r="AC26" s="1023"/>
      <c r="AD26" s="1023"/>
      <c r="AE26" s="1023"/>
      <c r="AF26" s="1023"/>
      <c r="AG26" s="1023"/>
      <c r="AH26" s="1023"/>
      <c r="AI26" s="1023"/>
      <c r="AJ26" s="1023"/>
      <c r="AK26" s="1023"/>
      <c r="AL26" s="1023"/>
      <c r="AM26" s="1023"/>
      <c r="AN26" s="1023"/>
      <c r="AO26" s="1023"/>
      <c r="AP26" s="1023"/>
      <c r="AQ26" s="1023"/>
      <c r="AR26" s="1023"/>
      <c r="AS26" s="1023"/>
      <c r="AT26" s="1023"/>
      <c r="AU26" s="1023"/>
      <c r="AV26" s="1023"/>
      <c r="AW26" s="1025"/>
      <c r="AY26" s="220"/>
      <c r="AZ26" s="659"/>
      <c r="BA26" s="659"/>
      <c r="BB26" s="659"/>
      <c r="BC26" s="659"/>
      <c r="BD26" s="660"/>
      <c r="BE26" s="660"/>
      <c r="BG26"/>
      <c r="BH26"/>
      <c r="BI26"/>
      <c r="BJ26"/>
      <c r="BK26"/>
      <c r="BL26"/>
      <c r="BM26"/>
      <c r="BN26"/>
      <c r="BO26"/>
      <c r="BP26"/>
    </row>
    <row r="27" spans="1:68" ht="18" customHeight="1" x14ac:dyDescent="0.35">
      <c r="A27" s="661">
        <f t="shared" si="29"/>
        <v>45675</v>
      </c>
      <c r="B27" s="662">
        <f t="shared" si="30"/>
        <v>45677</v>
      </c>
      <c r="C27" s="270"/>
      <c r="D27" s="663">
        <f>IF(AJ27=0,0,VLOOKUP(Y27,Control!$G$41:$J$44,4,FALSE))</f>
        <v>3</v>
      </c>
      <c r="E27" s="664">
        <f t="shared" si="19"/>
        <v>45679</v>
      </c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665">
        <v>0</v>
      </c>
      <c r="U27" s="665" t="e">
        <f>INDEX(Control!$E$17:$J$21,MATCH(Y27,Control!$E$17:$E$21,0),MATCH(V27,Control!$E$17:$J$17,0))</f>
        <v>#N/A</v>
      </c>
      <c r="V27" s="665" t="s">
        <v>38</v>
      </c>
      <c r="W27" s="666">
        <v>270000</v>
      </c>
      <c r="X27" s="667">
        <f>AB27/Control!$D$84</f>
        <v>267073.15503432491</v>
      </c>
      <c r="Y27" s="566" t="s">
        <v>26</v>
      </c>
      <c r="Z27" s="138" t="s">
        <v>51</v>
      </c>
      <c r="AA27" s="566">
        <f>AA38</f>
        <v>0</v>
      </c>
      <c r="AB27" s="526">
        <f>AB28</f>
        <v>2075000</v>
      </c>
      <c r="AC27" s="744">
        <v>1001</v>
      </c>
      <c r="AD27" s="745">
        <f>AD28</f>
        <v>6500000</v>
      </c>
      <c r="AE27" s="529">
        <f t="shared" si="21"/>
        <v>3.1325301204819276</v>
      </c>
      <c r="AF27" s="762">
        <v>2</v>
      </c>
      <c r="AG27" s="744">
        <f>VLOOKUP(Z27,Control!$AS$36:$AV$53,4,FALSE)-(BA40-BA27)</f>
        <v>21.3</v>
      </c>
      <c r="AH27" s="746">
        <f>AF27*VLOOKUP($Y27,Control!$F$75:$H$87,3,FALSE)/$AB27</f>
        <v>0.43373493975903615</v>
      </c>
      <c r="AI27" s="747">
        <f>$AG27*Control!$D$77</f>
        <v>0.27767030136986304</v>
      </c>
      <c r="AJ27" s="748">
        <f>IF(((AB27-VLOOKUP(Y27,Control!$J$76:$K$82,2,FALSE))/AL27)&lt;=0,0,ROUNDUP(((AB27-VLOOKUP(Y27,Control!$J$76:$K$82,2,FALSE))/Control!$D$86),0)*IF(AL27=Control!$D$86,Control!$H$91,Control!$H$90)/AB27)</f>
        <v>0.89156626506024095</v>
      </c>
      <c r="AK27" s="748">
        <f>IF(I27="Corpus Christi",Control!$D$76,0)</f>
        <v>0</v>
      </c>
      <c r="AL27" s="749">
        <f>IF(AND(Control!$D$85-ROUNDUP(((AB27-VLOOKUP(Y27,Control!$J$76:$K$82,2,FALSE))),0)&gt;0,Control!$D$85-ROUNDUP(((AB27-VLOOKUP(Y27,Control!$J$76:$K$82,2,FALSE))),0)&lt;Control!$D$86-ROUNDUP(((AB27-VLOOKUP(Y27,Control!$J$76:$K$82,2,FALSE))),0)),Control!$D$85,Control!$D$86)</f>
        <v>750000</v>
      </c>
      <c r="AM27" s="748">
        <f>Control!$D$78</f>
        <v>0</v>
      </c>
      <c r="AN27" s="748">
        <f>Control!$D$79</f>
        <v>6.7299999999999999E-2</v>
      </c>
      <c r="AO27" s="748">
        <f>IF(INDEX(Control!$Q$3:$S$62,MATCH($Z27,Control!$Q$3:$Q$62,0),MATCH(AO$8,Control!$Q$3:$S$3,0))=1,Control!$D$81*Control!$E$81,0)</f>
        <v>0.2</v>
      </c>
      <c r="AP27" s="748"/>
      <c r="AQ27" s="748">
        <f>Control!$D$83/AB27</f>
        <v>0.14457831325301204</v>
      </c>
      <c r="AR27" s="748"/>
      <c r="AS27" s="529">
        <f>SUM(AH27:AK27,AM27:AR27)</f>
        <v>2.0148498194421518</v>
      </c>
      <c r="AT27" s="529">
        <f t="shared" si="23"/>
        <v>5.1473799399240789</v>
      </c>
      <c r="AU27" s="529">
        <f t="shared" si="24"/>
        <v>0.32</v>
      </c>
      <c r="AV27" s="529">
        <f t="shared" si="31"/>
        <v>0.5</v>
      </c>
      <c r="AW27" s="750">
        <f t="shared" si="25"/>
        <v>4.3173799399240789</v>
      </c>
      <c r="AX27" s="329"/>
      <c r="AY27" s="329"/>
      <c r="AZ27" s="663">
        <f>AZ40</f>
        <v>52</v>
      </c>
      <c r="BA27" s="662">
        <f>IF(ISBLANK(A27),"",A27+$AZ27+D27)</f>
        <v>45730</v>
      </c>
      <c r="BB27" s="662">
        <f t="shared" si="32"/>
        <v>45732</v>
      </c>
      <c r="BC27" s="662" t="str">
        <f t="shared" si="33"/>
        <v>Dubai</v>
      </c>
      <c r="BD27" s="669">
        <f t="shared" si="27"/>
        <v>45716</v>
      </c>
      <c r="BE27" s="670">
        <f t="shared" si="28"/>
        <v>45716</v>
      </c>
    </row>
    <row r="28" spans="1:68" ht="18" customHeight="1" thickBot="1" x14ac:dyDescent="0.4">
      <c r="A28" s="671">
        <f t="shared" si="29"/>
        <v>45675</v>
      </c>
      <c r="B28" s="551">
        <f t="shared" si="30"/>
        <v>45677</v>
      </c>
      <c r="C28" s="552"/>
      <c r="D28" s="553">
        <f>IF(AJ28=0,0,VLOOKUP(Y28,Control!$G$41:$J$44,4,FALSE))</f>
        <v>3</v>
      </c>
      <c r="E28" s="554">
        <f t="shared" si="19"/>
        <v>45679</v>
      </c>
      <c r="F28"/>
      <c r="G28"/>
      <c r="H28"/>
      <c r="I28"/>
      <c r="J28"/>
      <c r="K28"/>
      <c r="L28"/>
      <c r="M28"/>
      <c r="N28"/>
      <c r="O28"/>
      <c r="P28"/>
      <c r="Q28"/>
      <c r="T28" s="556">
        <v>0</v>
      </c>
      <c r="U28" s="556" t="e">
        <f>INDEX(Control!$E$17:$J$21,MATCH(Y28,Control!$E$17:$E$21,0),MATCH(V28,Control!$E$17:$J$17,0))</f>
        <v>#N/A</v>
      </c>
      <c r="V28" s="556" t="s">
        <v>38</v>
      </c>
      <c r="W28" s="557">
        <v>270000</v>
      </c>
      <c r="X28" s="558">
        <f>AB28/Control!$D$84</f>
        <v>267073.15503432491</v>
      </c>
      <c r="Y28" s="559" t="s">
        <v>26</v>
      </c>
      <c r="Z28" s="572" t="s">
        <v>106</v>
      </c>
      <c r="AA28" s="556" t="str">
        <f>AA42</f>
        <v>USGC/KOREA</v>
      </c>
      <c r="AB28" s="304">
        <v>2075000</v>
      </c>
      <c r="AC28" s="557">
        <v>1001</v>
      </c>
      <c r="AD28" s="734">
        <f>AD42</f>
        <v>6500000</v>
      </c>
      <c r="AE28" s="561">
        <f t="shared" si="21"/>
        <v>3.1325301204819276</v>
      </c>
      <c r="AF28" s="763">
        <v>2</v>
      </c>
      <c r="AG28" s="557">
        <f>VLOOKUP(Z28,Control!$AS$36:$AV$53,4,FALSE)-(BA42-BA28)-5</f>
        <v>18.3</v>
      </c>
      <c r="AH28" s="558">
        <f>AF28*VLOOKUP($Y28,Control!$F$75:$H$87,3,FALSE)/$AB28</f>
        <v>0.43373493975903615</v>
      </c>
      <c r="AI28" s="737">
        <f>$AG28*Control!$D$77</f>
        <v>0.23856180821917811</v>
      </c>
      <c r="AJ28" s="562">
        <f>IF(((AB28-VLOOKUP(Y28,Control!$J$76:$K$82,2,FALSE))/AL28)&lt;=0,0,ROUNDUP(((AB28-VLOOKUP(Y28,Control!$J$76:$K$82,2,FALSE))/Control!$D$86),0)*IF(AL28=Control!$D$86,Control!$H$91,Control!$H$90)/AB28)</f>
        <v>0.89156626506024095</v>
      </c>
      <c r="AK28" s="562">
        <f>IF(I28="Corpus Christi",Control!$D$76,0)</f>
        <v>0</v>
      </c>
      <c r="AL28" s="584">
        <f>IF(AND(Control!$D$85-ROUNDUP(((AB28-VLOOKUP(Y28,Control!$J$76:$K$82,2,FALSE))),0)&gt;0,Control!$D$85-ROUNDUP(((AB28-VLOOKUP(Y28,Control!$J$76:$K$82,2,FALSE))),0)&lt;Control!$D$86-ROUNDUP(((AB28-VLOOKUP(Y28,Control!$J$76:$K$82,2,FALSE))),0)),Control!$D$85,Control!$D$86)</f>
        <v>750000</v>
      </c>
      <c r="AM28" s="562">
        <f>Control!$D$78</f>
        <v>0</v>
      </c>
      <c r="AN28" s="562">
        <f>Control!$D$79</f>
        <v>6.7299999999999999E-2</v>
      </c>
      <c r="AO28" s="562">
        <f>IF(INDEX(Control!$Q$3:$S$62,MATCH($Z28,Control!$Q$3:$Q$62,0),MATCH(AO$8,Control!$Q$3:$S$3,0))=1,Control!$D$81*Control!$E$81,0)</f>
        <v>0.2</v>
      </c>
      <c r="AP28" s="562"/>
      <c r="AQ28" s="562">
        <f>Control!$D$83/AB28</f>
        <v>0.14457831325301204</v>
      </c>
      <c r="AR28" s="562"/>
      <c r="AS28" s="561">
        <f t="shared" ref="AS28:AS31" si="34">SUM(AH28:AK28,AM28:AR28)</f>
        <v>1.9757413262914671</v>
      </c>
      <c r="AT28" s="561">
        <f t="shared" si="23"/>
        <v>5.1082714467733945</v>
      </c>
      <c r="AU28" s="561">
        <f t="shared" si="24"/>
        <v>0.32</v>
      </c>
      <c r="AV28" s="588">
        <f t="shared" si="31"/>
        <v>0.5</v>
      </c>
      <c r="AW28" s="563">
        <f t="shared" si="25"/>
        <v>4.2782714467733944</v>
      </c>
      <c r="AX28" s="555"/>
      <c r="AY28" s="556"/>
      <c r="AZ28" s="553">
        <f>AZ42</f>
        <v>54</v>
      </c>
      <c r="BA28" s="551">
        <f t="shared" si="26"/>
        <v>45732</v>
      </c>
      <c r="BB28" s="551">
        <f t="shared" si="32"/>
        <v>45734</v>
      </c>
      <c r="BC28" s="649" t="str">
        <f t="shared" si="33"/>
        <v>Dubai</v>
      </c>
      <c r="BD28" s="564">
        <f t="shared" si="27"/>
        <v>45716</v>
      </c>
      <c r="BE28" s="672">
        <f t="shared" si="28"/>
        <v>45716</v>
      </c>
      <c r="BF28" s="735">
        <f>(AT28-AI28)*AB28</f>
        <v>10104647.499999998</v>
      </c>
    </row>
    <row r="29" spans="1:68" ht="18" customHeight="1" x14ac:dyDescent="0.35">
      <c r="A29" s="673">
        <f t="shared" si="29"/>
        <v>45675</v>
      </c>
      <c r="B29" s="530">
        <f t="shared" si="30"/>
        <v>45677</v>
      </c>
      <c r="D29" s="531">
        <f>IF(AJ29=0,0,VLOOKUP(Y29,Control!$G$41:$J$44,4,FALSE))</f>
        <v>3</v>
      </c>
      <c r="E29" s="532">
        <f t="shared" si="19"/>
        <v>45679</v>
      </c>
      <c r="F29"/>
      <c r="G29"/>
      <c r="H29"/>
      <c r="I29"/>
      <c r="J29"/>
      <c r="K29"/>
      <c r="L29"/>
      <c r="M29"/>
      <c r="N29"/>
      <c r="O29"/>
      <c r="P29"/>
      <c r="Q29"/>
      <c r="T29" s="138">
        <v>0</v>
      </c>
      <c r="U29" s="138" t="e">
        <f>INDEX(Control!$E$17:$J$21,MATCH(Y29,Control!$E$17:$E$21,0),MATCH(V29,Control!$E$17:$J$17,0))</f>
        <v>#N/A</v>
      </c>
      <c r="V29" s="138" t="s">
        <v>38</v>
      </c>
      <c r="W29" s="526">
        <v>270000</v>
      </c>
      <c r="X29" s="527">
        <f>AB29/Control!$D$84</f>
        <v>267073.15503432491</v>
      </c>
      <c r="Y29" s="48" t="s">
        <v>26</v>
      </c>
      <c r="Z29" s="674" t="s">
        <v>114</v>
      </c>
      <c r="AA29" s="138" t="str">
        <f>AA44</f>
        <v>USGC/Singapore</v>
      </c>
      <c r="AB29" s="526">
        <f>AB28</f>
        <v>2075000</v>
      </c>
      <c r="AC29" s="526">
        <v>1001</v>
      </c>
      <c r="AD29" s="481">
        <f>AD28-1000000</f>
        <v>5500000</v>
      </c>
      <c r="AE29" s="529">
        <f t="shared" si="21"/>
        <v>2.6506024096385543</v>
      </c>
      <c r="AF29" s="762">
        <v>2</v>
      </c>
      <c r="AG29" s="668">
        <f>VLOOKUP(Z29,Control!$AS$36:$AV$53,4,FALSE)-(BA44-BA29)</f>
        <v>13.3</v>
      </c>
      <c r="AH29" s="527">
        <f>AF29*VLOOKUP($Y29,Control!$F$75:$H$87,3,FALSE)/$AB29</f>
        <v>0.43373493975903615</v>
      </c>
      <c r="AI29" s="738">
        <f>$AG29*Control!$D$77</f>
        <v>0.17338098630136989</v>
      </c>
      <c r="AJ29" s="533">
        <f>IF(((AB29-VLOOKUP(Y29,Control!$J$76:$K$82,2,FALSE))/AL29)&lt;=0,0,ROUNDUP(((AB29-VLOOKUP(Y29,Control!$J$76:$K$82,2,FALSE))/Control!$D$86),0)*IF(AL29=Control!$D$86,Control!$H$91,Control!$H$90)/AB29)</f>
        <v>0.89156626506024095</v>
      </c>
      <c r="AK29" s="533">
        <f>IF(I29="Corpus Christi",Control!$D$76,0)</f>
        <v>0</v>
      </c>
      <c r="AL29" s="585">
        <f>IF(AND(Control!$D$85-ROUNDUP(((AB29-VLOOKUP(Y29,Control!$J$76:$K$82,2,FALSE))),0)&gt;0,Control!$D$85-ROUNDUP(((AB29-VLOOKUP(Y29,Control!$J$76:$K$82,2,FALSE))),0)&lt;Control!$D$86-ROUNDUP(((AB29-VLOOKUP(Y29,Control!$J$76:$K$82,2,FALSE))),0)),Control!$D$85,Control!$D$86)</f>
        <v>750000</v>
      </c>
      <c r="AM29" s="533">
        <f>Control!$D$78</f>
        <v>0</v>
      </c>
      <c r="AN29" s="533">
        <f>Control!$D$79</f>
        <v>6.7299999999999999E-2</v>
      </c>
      <c r="AO29" s="533">
        <f>IF(INDEX(Control!$Q$3:$S$62,MATCH($Z29,Control!$Q$3:$Q$62,0),MATCH(AO$8,Control!$Q$3:$S$3,0))=1,Control!$D$81*Control!$E$81,0)</f>
        <v>0.2</v>
      </c>
      <c r="AP29" s="533"/>
      <c r="AQ29" s="533">
        <f>Control!$D$83/AB29</f>
        <v>0.14457831325301204</v>
      </c>
      <c r="AR29" s="533"/>
      <c r="AS29" s="529">
        <f t="shared" si="34"/>
        <v>1.9105605043736589</v>
      </c>
      <c r="AT29" s="529">
        <f t="shared" si="23"/>
        <v>4.561162914012213</v>
      </c>
      <c r="AU29" s="529">
        <f t="shared" si="24"/>
        <v>0.58000000000000007</v>
      </c>
      <c r="AV29" s="529">
        <f>-HLOOKUP(EOMONTH(BD29,0),$AZ$3:$BE$6,3,FALSE)</f>
        <v>0</v>
      </c>
      <c r="AW29" s="534">
        <f t="shared" si="25"/>
        <v>3.4911629140122131</v>
      </c>
      <c r="AZ29" s="531">
        <f t="shared" ref="AZ29" si="35">AZ44</f>
        <v>44</v>
      </c>
      <c r="BA29" s="530">
        <f t="shared" si="26"/>
        <v>45722</v>
      </c>
      <c r="BB29" s="530">
        <f t="shared" si="32"/>
        <v>45724</v>
      </c>
      <c r="BC29" s="650" t="s">
        <v>157</v>
      </c>
      <c r="BD29" s="675">
        <f t="shared" ref="BD29" si="36">EOMONTH(BB29,0)</f>
        <v>45747</v>
      </c>
      <c r="BE29" s="676">
        <f t="shared" ref="BE29" si="37">BD29</f>
        <v>45747</v>
      </c>
      <c r="BF29" s="735">
        <f t="shared" ref="BF29:BF64" si="38">(AT29-AI29)*AB29</f>
        <v>9104647.4999999981</v>
      </c>
    </row>
    <row r="30" spans="1:68" ht="18" customHeight="1" thickBot="1" x14ac:dyDescent="0.4">
      <c r="A30" s="671">
        <f t="shared" si="29"/>
        <v>45675</v>
      </c>
      <c r="B30" s="551">
        <f t="shared" si="30"/>
        <v>45677</v>
      </c>
      <c r="C30" s="552"/>
      <c r="D30" s="553">
        <f>IF(AJ30=0,0,VLOOKUP(Y30,Control!$G$41:$J$44,4,FALSE))</f>
        <v>3</v>
      </c>
      <c r="E30" s="554">
        <f t="shared" si="19"/>
        <v>45679</v>
      </c>
      <c r="F30"/>
      <c r="G30"/>
      <c r="H30"/>
      <c r="I30"/>
      <c r="J30"/>
      <c r="K30"/>
      <c r="L30"/>
      <c r="M30"/>
      <c r="N30"/>
      <c r="O30"/>
      <c r="P30"/>
      <c r="Q30"/>
      <c r="T30" s="556">
        <v>0</v>
      </c>
      <c r="U30" s="556" t="e">
        <f>INDEX(Control!$E$17:$J$21,MATCH(Y30,Control!$E$17:$E$21,0),MATCH(V30,Control!$E$17:$J$17,0))</f>
        <v>#N/A</v>
      </c>
      <c r="V30" s="556" t="s">
        <v>38</v>
      </c>
      <c r="W30" s="557">
        <v>270000</v>
      </c>
      <c r="X30" s="558">
        <f>AB30/Control!$D$84</f>
        <v>267073.15503432491</v>
      </c>
      <c r="Y30" s="559" t="s">
        <v>26</v>
      </c>
      <c r="Z30" s="573" t="s">
        <v>86</v>
      </c>
      <c r="AA30" s="556" t="str">
        <f>AA46</f>
        <v>USGC/INDIA</v>
      </c>
      <c r="AB30" s="557">
        <f>AB27</f>
        <v>2075000</v>
      </c>
      <c r="AC30" s="557">
        <v>1001</v>
      </c>
      <c r="AD30" s="560">
        <f>AD29</f>
        <v>5500000</v>
      </c>
      <c r="AE30" s="561">
        <f t="shared" si="21"/>
        <v>2.6506024096385543</v>
      </c>
      <c r="AF30" s="763">
        <v>2</v>
      </c>
      <c r="AG30" s="557">
        <f>VLOOKUP(Z30,Control!$AS$36:$AV$53,4,FALSE)-(BA46-BA30)</f>
        <v>10.3</v>
      </c>
      <c r="AH30" s="558">
        <f>AF30*VLOOKUP($Y30,Control!$F$75:$H$87,3,FALSE)/$AB30</f>
        <v>0.43373493975903615</v>
      </c>
      <c r="AI30" s="737">
        <f>$AG30*Control!$D$77</f>
        <v>0.13427249315068496</v>
      </c>
      <c r="AJ30" s="562">
        <f>IF(((AB30-VLOOKUP(Y30,Control!$J$76:$K$82,2,FALSE))/AL30)&lt;=0,0,ROUNDUP(((AB30-VLOOKUP(Y30,Control!$J$76:$K$82,2,FALSE))/Control!$D$86),0)*IF(AL30=Control!$D$86,Control!$H$91,Control!$H$90)/AB30)</f>
        <v>0.89156626506024095</v>
      </c>
      <c r="AK30" s="562">
        <f>IF(I30="Corpus Christi",Control!$D$76,0)</f>
        <v>0</v>
      </c>
      <c r="AL30" s="584">
        <f>IF(AND(Control!$D$85-ROUNDUP(((AB30-VLOOKUP(Y30,Control!$J$76:$K$82,2,FALSE))),0)&gt;0,Control!$D$85-ROUNDUP(((AB30-VLOOKUP(Y30,Control!$J$76:$K$82,2,FALSE))),0)&lt;Control!$D$86-ROUNDUP(((AB30-VLOOKUP(Y30,Control!$J$76:$K$82,2,FALSE))),0)),Control!$D$85,Control!$D$86)</f>
        <v>750000</v>
      </c>
      <c r="AM30" s="562">
        <f>Control!$D$78</f>
        <v>0</v>
      </c>
      <c r="AN30" s="562">
        <f>Control!$D$79</f>
        <v>6.7299999999999999E-2</v>
      </c>
      <c r="AO30" s="562">
        <f>IF(INDEX(Control!$Q$3:$S$62,MATCH($Z30,Control!$Q$3:$Q$62,0),MATCH(AO$8,Control!$Q$3:$S$3,0))=1,Control!$D$81*Control!$E$81,0)</f>
        <v>0.2</v>
      </c>
      <c r="AP30" s="562"/>
      <c r="AQ30" s="562">
        <f>Control!$D$83/AB30</f>
        <v>0.14457831325301204</v>
      </c>
      <c r="AR30" s="562"/>
      <c r="AS30" s="561">
        <f t="shared" si="34"/>
        <v>1.871452011222974</v>
      </c>
      <c r="AT30" s="561">
        <f t="shared" si="23"/>
        <v>4.5220544208615285</v>
      </c>
      <c r="AU30" s="561">
        <f t="shared" si="24"/>
        <v>0.32</v>
      </c>
      <c r="AV30" s="588">
        <f>-HLOOKUP(EOMONTH(BD30,0),$AZ$3:$BE$6,3,FALSE)</f>
        <v>-0.13</v>
      </c>
      <c r="AW30" s="565">
        <f t="shared" si="25"/>
        <v>3.0620544208615286</v>
      </c>
      <c r="AX30" s="555"/>
      <c r="AY30" s="556"/>
      <c r="AZ30" s="553">
        <f>AZ46</f>
        <v>41</v>
      </c>
      <c r="BA30" s="551">
        <f t="shared" si="26"/>
        <v>45719</v>
      </c>
      <c r="BB30" s="551">
        <f t="shared" si="32"/>
        <v>45721</v>
      </c>
      <c r="BC30" s="651" t="s">
        <v>157</v>
      </c>
      <c r="BD30" s="564">
        <f t="shared" si="27"/>
        <v>45716</v>
      </c>
      <c r="BE30" s="672">
        <f t="shared" si="28"/>
        <v>45716</v>
      </c>
      <c r="BF30" s="735">
        <f t="shared" si="38"/>
        <v>9104647.5</v>
      </c>
    </row>
    <row r="31" spans="1:68" ht="18" customHeight="1" thickBot="1" x14ac:dyDescent="0.4">
      <c r="A31" s="677">
        <f t="shared" si="29"/>
        <v>45675</v>
      </c>
      <c r="B31" s="678">
        <f t="shared" si="30"/>
        <v>45677</v>
      </c>
      <c r="C31" s="275"/>
      <c r="D31" s="679">
        <f>IF(AJ31=0,0,VLOOKUP(Y31,Control!$G$41:$J$44,4,FALSE))</f>
        <v>3</v>
      </c>
      <c r="E31" s="680">
        <f t="shared" si="19"/>
        <v>45679</v>
      </c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351">
        <v>0</v>
      </c>
      <c r="U31" s="351" t="e">
        <f>INDEX(Control!$E$17:$J$21,MATCH(Y31,Control!$E$17:$E$21,0),MATCH(V31,Control!$E$17:$J$17,0))</f>
        <v>#N/A</v>
      </c>
      <c r="V31" s="351" t="s">
        <v>38</v>
      </c>
      <c r="W31" s="344">
        <v>270000</v>
      </c>
      <c r="X31" s="352">
        <f>AB31/Control!$D$84</f>
        <v>267073.15503432491</v>
      </c>
      <c r="Y31" s="48" t="s">
        <v>26</v>
      </c>
      <c r="Z31" s="751" t="s">
        <v>43</v>
      </c>
      <c r="AA31" s="138" t="str">
        <f>AA42</f>
        <v>USGC/KOREA</v>
      </c>
      <c r="AB31" s="526">
        <f>AB28</f>
        <v>2075000</v>
      </c>
      <c r="AC31" s="526">
        <v>1001</v>
      </c>
      <c r="AD31" s="481">
        <f>AD28-300000</f>
        <v>6200000</v>
      </c>
      <c r="AE31" s="529">
        <f t="shared" si="21"/>
        <v>2.9879518072289155</v>
      </c>
      <c r="AF31" s="762">
        <v>2</v>
      </c>
      <c r="AG31" s="526">
        <f>VLOOKUP(Z31,Control!$AS$36:$AV$53,4,FALSE)-(BA47-BA31)-5</f>
        <v>10.3</v>
      </c>
      <c r="AH31" s="527">
        <f>AF31*VLOOKUP($Y31,Control!$F$75:$H$87,3,FALSE)/$AB31</f>
        <v>0.43373493975903615</v>
      </c>
      <c r="AI31" s="738">
        <f>$AG31*Control!$D$77</f>
        <v>0.13427249315068496</v>
      </c>
      <c r="AJ31" s="533">
        <f>IF(((AB31-VLOOKUP(Y31,Control!$J$76:$K$82,2,FALSE))/AL31)&lt;=0,0,ROUNDUP(((AB31-VLOOKUP(Y31,Control!$J$76:$K$82,2,FALSE))/Control!$D$86),0)*IF(AL31=Control!$D$86,Control!$H$91,Control!$H$90)/AB31)</f>
        <v>0.89156626506024095</v>
      </c>
      <c r="AK31" s="533">
        <f>IF(I31="Corpus Christi",Control!$D$76,0)</f>
        <v>0</v>
      </c>
      <c r="AL31" s="585">
        <f>IF(AND(Control!$D$85-ROUNDUP(((AB31-VLOOKUP(Y31,Control!$J$76:$K$82,2,FALSE))),0)&gt;0,Control!$D$85-ROUNDUP(((AB31-VLOOKUP(Y31,Control!$J$76:$K$82,2,FALSE))),0)&lt;Control!$D$86-ROUNDUP(((AB31-VLOOKUP(Y31,Control!$J$76:$K$82,2,FALSE))),0)),Control!$D$85,Control!$D$86)</f>
        <v>750000</v>
      </c>
      <c r="AM31" s="533">
        <f>Control!$D$78</f>
        <v>0</v>
      </c>
      <c r="AN31" s="533">
        <f>Control!$D$79</f>
        <v>6.7299999999999999E-2</v>
      </c>
      <c r="AO31" s="533"/>
      <c r="AP31" s="533"/>
      <c r="AQ31" s="533">
        <f>Control!$D$83/AB31</f>
        <v>0.14457831325301204</v>
      </c>
      <c r="AR31" s="533"/>
      <c r="AS31" s="529">
        <f t="shared" si="34"/>
        <v>1.671452011222974</v>
      </c>
      <c r="AT31" s="529">
        <f t="shared" si="23"/>
        <v>4.6594038184518896</v>
      </c>
      <c r="AU31" s="529">
        <f t="shared" si="24"/>
        <v>0.32</v>
      </c>
      <c r="AV31" s="754">
        <f>-HLOOKUP(EOMONTH(BD31,0),$AZ$3:$BE$6,3,FALSE)</f>
        <v>-0.13</v>
      </c>
      <c r="AW31" s="752">
        <f t="shared" si="25"/>
        <v>3.1994038184518896</v>
      </c>
      <c r="AX31" s="350"/>
      <c r="AY31" s="350"/>
      <c r="AZ31" s="679">
        <f>AZ47</f>
        <v>49</v>
      </c>
      <c r="BA31" s="678">
        <f t="shared" si="26"/>
        <v>45727</v>
      </c>
      <c r="BB31" s="678">
        <f t="shared" si="32"/>
        <v>45729</v>
      </c>
      <c r="BC31" s="756" t="s">
        <v>157</v>
      </c>
      <c r="BD31" s="757">
        <f t="shared" si="27"/>
        <v>45716</v>
      </c>
      <c r="BE31" s="690">
        <f t="shared" si="28"/>
        <v>45716</v>
      </c>
      <c r="BF31" s="735">
        <f t="shared" si="38"/>
        <v>9389647.5</v>
      </c>
    </row>
    <row r="32" spans="1:68" ht="18" customHeight="1" thickBot="1" x14ac:dyDescent="0.5">
      <c r="A32" s="535"/>
      <c r="B32" s="530"/>
      <c r="D32" s="531"/>
      <c r="E32" s="532"/>
      <c r="F32"/>
      <c r="G32"/>
      <c r="H32"/>
      <c r="I32"/>
      <c r="J32"/>
      <c r="K32"/>
      <c r="L32"/>
      <c r="M32"/>
      <c r="N32"/>
      <c r="O32"/>
      <c r="P32"/>
      <c r="Q32"/>
      <c r="T32" s="138"/>
      <c r="U32" s="138"/>
      <c r="V32" s="138"/>
      <c r="W32" s="526"/>
      <c r="X32" s="527"/>
      <c r="Y32" s="1022" t="s">
        <v>256</v>
      </c>
      <c r="Z32" s="1023"/>
      <c r="AA32" s="1023"/>
      <c r="AB32" s="1023"/>
      <c r="AC32" s="1023"/>
      <c r="AD32" s="1023"/>
      <c r="AE32" s="1023"/>
      <c r="AF32" s="1023"/>
      <c r="AG32" s="1023"/>
      <c r="AH32" s="1023"/>
      <c r="AI32" s="1023"/>
      <c r="AJ32" s="1023"/>
      <c r="AK32" s="1023"/>
      <c r="AL32" s="1023"/>
      <c r="AM32" s="1023"/>
      <c r="AN32" s="1023"/>
      <c r="AO32" s="1023"/>
      <c r="AP32" s="1023"/>
      <c r="AQ32" s="1023"/>
      <c r="AR32" s="1023"/>
      <c r="AS32" s="1023"/>
      <c r="AT32" s="1023"/>
      <c r="AU32" s="1023"/>
      <c r="AV32" s="1023"/>
      <c r="AW32" s="1025"/>
      <c r="AX32" s="529"/>
      <c r="AY32" s="529"/>
      <c r="AZ32" s="531"/>
      <c r="BA32" s="530"/>
      <c r="BB32" s="530"/>
      <c r="BC32" s="530"/>
      <c r="BD32" s="658"/>
      <c r="BE32" s="536"/>
    </row>
    <row r="33" spans="1:58" ht="18" customHeight="1" x14ac:dyDescent="0.35">
      <c r="A33" s="661">
        <f t="shared" si="29"/>
        <v>45675</v>
      </c>
      <c r="B33" s="662">
        <f t="shared" ref="B33:B38" si="39">IF(ISBLANK(A33),"",A33+2)</f>
        <v>45677</v>
      </c>
      <c r="C33" s="270"/>
      <c r="D33" s="663">
        <f>D27</f>
        <v>3</v>
      </c>
      <c r="E33" s="664">
        <f t="shared" ref="E33:E38" si="40">AVERAGE(A33:B33)+D33</f>
        <v>45679</v>
      </c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665">
        <v>0</v>
      </c>
      <c r="U33" s="665" t="e">
        <f>INDEX(Control!$E$17:$J$21,MATCH(Y33,Control!$E$17:$E$21,0),MATCH(V33,Control!$E$17:$J$17,0))</f>
        <v>#N/A</v>
      </c>
      <c r="V33" s="665" t="s">
        <v>41</v>
      </c>
      <c r="W33" s="666">
        <v>270000</v>
      </c>
      <c r="X33" s="667">
        <f>AB33/Control!$D$84</f>
        <v>267073.15503432491</v>
      </c>
      <c r="Y33" s="566" t="s">
        <v>27</v>
      </c>
      <c r="Z33" s="138" t="s">
        <v>51</v>
      </c>
      <c r="AA33" s="566" t="str">
        <f>AA44</f>
        <v>USGC/Singapore</v>
      </c>
      <c r="AB33" s="526">
        <f>AB34</f>
        <v>2075000</v>
      </c>
      <c r="AC33" s="744">
        <v>1001</v>
      </c>
      <c r="AD33" s="745">
        <f>AD27</f>
        <v>6500000</v>
      </c>
      <c r="AE33" s="529">
        <f t="shared" ref="AE33:AE38" si="41">IF(AC33&gt;1000,IF(AD33=0,AC33,AD33)/AB33,((W33*T33*(IF(AD33=0,AC33,AD33)/100))+IF(X33&lt;W33,0,(X33-W33)*T33*IF(AD33=0,AC33,AD33)/100*U33))/AB33)</f>
        <v>3.1325301204819276</v>
      </c>
      <c r="AF33" s="762">
        <v>2</v>
      </c>
      <c r="AG33" s="744">
        <f>AG27</f>
        <v>21.3</v>
      </c>
      <c r="AH33" s="746">
        <f>AF33*VLOOKUP($Y33,Control!$F$75:$H$87,3,FALSE)/$AB33</f>
        <v>0.43373493975903615</v>
      </c>
      <c r="AI33" s="747">
        <f>$AG33*Control!$D$77</f>
        <v>0.27767030136986304</v>
      </c>
      <c r="AJ33" s="748">
        <f>IF(((AB33-VLOOKUP(Y33,Control!$J$76:$K$82,2,FALSE))/AL33)&lt;=0,0,ROUNDUP(((AB33-VLOOKUP(Y33,Control!$J$76:$K$82,2,FALSE))/Control!$D$86),0)*IF(AL33=Control!$D$86,Control!$H$91,Control!$H$90)/AB33)</f>
        <v>0.89156626506024095</v>
      </c>
      <c r="AK33" s="748">
        <f>IF(I33="Corpus Christi",Control!$D$76,0)</f>
        <v>0</v>
      </c>
      <c r="AL33" s="749">
        <f>IF(AND(Control!$D$85-ROUNDUP(((AB33-VLOOKUP(Y33,Control!$J$76:$K$82,2,FALSE))),0)&gt;0,Control!$D$85-ROUNDUP(((AB33-VLOOKUP(Y33,Control!$J$76:$K$82,2,FALSE))),0)&lt;Control!$D$86-ROUNDUP(((AB33-VLOOKUP(Y33,Control!$J$76:$K$82,2,FALSE))),0)),Control!$D$85,Control!$D$86)</f>
        <v>750000</v>
      </c>
      <c r="AM33" s="748">
        <f>Control!$D$78</f>
        <v>0</v>
      </c>
      <c r="AN33" s="748">
        <f>Control!$D$79</f>
        <v>6.7299999999999999E-2</v>
      </c>
      <c r="AO33" s="748">
        <f>IF(INDEX(Control!$Q$3:$S$62,MATCH($Z33,Control!$Q$3:$Q$62,0),MATCH(AO$8,Control!$Q$3:$S$3,0))=1,Control!$D$81*Control!$E$81,0)</f>
        <v>0.2</v>
      </c>
      <c r="AP33" s="748"/>
      <c r="AQ33" s="748">
        <f>Control!$D$83/AB33</f>
        <v>0.14457831325301204</v>
      </c>
      <c r="AR33" s="748"/>
      <c r="AS33" s="529">
        <f>SUM(AH33:AK33,AM33:AR33)</f>
        <v>2.0148498194421518</v>
      </c>
      <c r="AT33" s="529">
        <f t="shared" ref="AT33:AT38" si="42">+R33+AE33+AS33</f>
        <v>5.1473799399240789</v>
      </c>
      <c r="AU33" s="529">
        <f t="shared" ref="AU33:AU38" si="43">IF((MONTH(A33)=MONTH(BE33)),0,IF(((MONTH(BE33))-MONTH(A33))+12*YEAR(BD33)-YEAR(A33)&gt;1,SUMIFS($BA$4:$BD$4,$BA$3:$BD$3,"&lt;="&amp;EOMONTH(BD33,-1),$BA$3:$BD$3,"&gt;="&amp;EOMONTH(A33,0)),VLOOKUP("Spreads",$AZ$3:$BD$4,MATCH(EOMONTH(A33,0),$AZ$3:$BD$3,0))))</f>
        <v>0.32</v>
      </c>
      <c r="AV33" s="529">
        <f t="shared" si="31"/>
        <v>0.5</v>
      </c>
      <c r="AW33" s="750">
        <f t="shared" ref="AW33:AW38" si="44">$Y$3+AT33+AU33+AV33</f>
        <v>4.3173799399240789</v>
      </c>
      <c r="AX33" s="329"/>
      <c r="AY33" s="329"/>
      <c r="AZ33" s="663">
        <f>AZ27</f>
        <v>52</v>
      </c>
      <c r="BA33" s="662">
        <f t="shared" ref="BA33:BA38" si="45">IF(ISBLANK(A33),"",A33+$AZ33+D33)</f>
        <v>45730</v>
      </c>
      <c r="BB33" s="662">
        <f t="shared" ref="BB33:BB38" si="46">BA33+2</f>
        <v>45732</v>
      </c>
      <c r="BC33" s="662" t="str">
        <f t="shared" si="33"/>
        <v>Dubai</v>
      </c>
      <c r="BD33" s="669">
        <f t="shared" ref="BD33:BD38" si="47">IF($AZ$7=0,IF(BC33="ICE Brent",EOMONTH(BB33,2),EOMONTH(BB33,0)),IF(BC33="ICE Brent",EOMONTH(BB33,1),EOMONTH(BB33,-1)))</f>
        <v>45716</v>
      </c>
      <c r="BE33" s="670">
        <f t="shared" ref="BE33:BE38" si="48">IF($AZ$7=1,EOMONTH(BB33,-1),EOMONTH(BB33,0))</f>
        <v>45716</v>
      </c>
      <c r="BF33" s="735">
        <f t="shared" si="38"/>
        <v>10104647.499999998</v>
      </c>
    </row>
    <row r="34" spans="1:58" ht="18" customHeight="1" x14ac:dyDescent="0.35">
      <c r="A34" s="671">
        <f t="shared" si="29"/>
        <v>45675</v>
      </c>
      <c r="B34" s="551">
        <f t="shared" si="39"/>
        <v>45677</v>
      </c>
      <c r="C34" s="552"/>
      <c r="D34" s="553">
        <f>D28</f>
        <v>3</v>
      </c>
      <c r="E34" s="554">
        <f t="shared" si="40"/>
        <v>45679</v>
      </c>
      <c r="F34"/>
      <c r="G34"/>
      <c r="H34"/>
      <c r="I34"/>
      <c r="J34"/>
      <c r="K34"/>
      <c r="L34"/>
      <c r="M34"/>
      <c r="N34"/>
      <c r="O34"/>
      <c r="P34"/>
      <c r="Q34"/>
      <c r="T34" s="556">
        <v>0</v>
      </c>
      <c r="U34" s="556" t="e">
        <f>INDEX(Control!$E$17:$J$21,MATCH(Y34,Control!$E$17:$E$21,0),MATCH(V34,Control!$E$17:$J$17,0))</f>
        <v>#N/A</v>
      </c>
      <c r="V34" s="556" t="s">
        <v>41</v>
      </c>
      <c r="W34" s="557">
        <v>270000</v>
      </c>
      <c r="X34" s="558">
        <f>AB34/Control!$D$84</f>
        <v>267073.15503432491</v>
      </c>
      <c r="Y34" s="559" t="s">
        <v>27</v>
      </c>
      <c r="Z34" s="572" t="s">
        <v>106</v>
      </c>
      <c r="AA34" s="556" t="str">
        <f>AA47</f>
        <v>USGC/KOREA</v>
      </c>
      <c r="AB34" s="304">
        <v>2075000</v>
      </c>
      <c r="AC34" s="557">
        <v>1001</v>
      </c>
      <c r="AD34" s="734">
        <f>AD28</f>
        <v>6500000</v>
      </c>
      <c r="AE34" s="561">
        <f t="shared" si="41"/>
        <v>3.1325301204819276</v>
      </c>
      <c r="AF34" s="763">
        <v>2</v>
      </c>
      <c r="AG34" s="557">
        <f>AG28</f>
        <v>18.3</v>
      </c>
      <c r="AH34" s="558">
        <f>AF34*VLOOKUP($Y34,Control!$F$75:$H$87,3,FALSE)/$AB34</f>
        <v>0.43373493975903615</v>
      </c>
      <c r="AI34" s="737">
        <f>$AG34*Control!$D$77</f>
        <v>0.23856180821917811</v>
      </c>
      <c r="AJ34" s="562">
        <f>IF(((AB34-VLOOKUP(Y34,Control!$J$76:$K$82,2,FALSE))/AL34)&lt;=0,0,ROUNDUP(((AB34-VLOOKUP(Y34,Control!$J$76:$K$82,2,FALSE))/Control!$D$86),0)*IF(AL34=Control!$D$86,Control!$H$91,Control!$H$90)/AB34)</f>
        <v>0.89156626506024095</v>
      </c>
      <c r="AK34" s="562">
        <f>IF(I34="Corpus Christi",Control!$D$76,0)</f>
        <v>0</v>
      </c>
      <c r="AL34" s="584">
        <f>IF(AND(Control!$D$85-ROUNDUP(((AB34-VLOOKUP(Y34,Control!$J$76:$K$82,2,FALSE))),0)&gt;0,Control!$D$85-ROUNDUP(((AB34-VLOOKUP(Y34,Control!$J$76:$K$82,2,FALSE))),0)&lt;Control!$D$86-ROUNDUP(((AB34-VLOOKUP(Y34,Control!$J$76:$K$82,2,FALSE))),0)),Control!$D$85,Control!$D$86)</f>
        <v>750000</v>
      </c>
      <c r="AM34" s="562">
        <f>Control!$D$78</f>
        <v>0</v>
      </c>
      <c r="AN34" s="562">
        <f>Control!$D$79</f>
        <v>6.7299999999999999E-2</v>
      </c>
      <c r="AO34" s="562">
        <f>IF(INDEX(Control!$Q$3:$S$62,MATCH($Z34,Control!$Q$3:$Q$62,0),MATCH(AO$8,Control!$Q$3:$S$3,0))=1,Control!$D$81*Control!$E$81,0)</f>
        <v>0.2</v>
      </c>
      <c r="AP34" s="562"/>
      <c r="AQ34" s="562">
        <f>Control!$D$83/AB34</f>
        <v>0.14457831325301204</v>
      </c>
      <c r="AR34" s="562"/>
      <c r="AS34" s="561">
        <f t="shared" ref="AS34:AS38" si="49">SUM(AH34:AK34,AM34:AR34)</f>
        <v>1.9757413262914671</v>
      </c>
      <c r="AT34" s="561">
        <f t="shared" si="42"/>
        <v>5.1082714467733945</v>
      </c>
      <c r="AU34" s="561">
        <f t="shared" si="43"/>
        <v>0.32</v>
      </c>
      <c r="AV34" s="588">
        <f t="shared" si="31"/>
        <v>0.5</v>
      </c>
      <c r="AW34" s="563">
        <f t="shared" si="44"/>
        <v>4.2782714467733944</v>
      </c>
      <c r="AX34" s="555"/>
      <c r="AY34" s="556"/>
      <c r="AZ34" s="553">
        <f>AZ28</f>
        <v>54</v>
      </c>
      <c r="BA34" s="551">
        <f t="shared" si="45"/>
        <v>45732</v>
      </c>
      <c r="BB34" s="551">
        <f t="shared" si="46"/>
        <v>45734</v>
      </c>
      <c r="BC34" s="649" t="str">
        <f t="shared" si="33"/>
        <v>Dubai</v>
      </c>
      <c r="BD34" s="564">
        <f t="shared" si="47"/>
        <v>45716</v>
      </c>
      <c r="BE34" s="672">
        <f t="shared" si="48"/>
        <v>45716</v>
      </c>
      <c r="BF34" s="735">
        <f t="shared" si="38"/>
        <v>10104647.499999998</v>
      </c>
    </row>
    <row r="35" spans="1:58" ht="18" customHeight="1" x14ac:dyDescent="0.35">
      <c r="A35" s="673">
        <f t="shared" si="29"/>
        <v>45675</v>
      </c>
      <c r="B35" s="530">
        <f t="shared" si="39"/>
        <v>45677</v>
      </c>
      <c r="D35" s="531">
        <f>D29</f>
        <v>3</v>
      </c>
      <c r="E35" s="532">
        <f t="shared" si="40"/>
        <v>45679</v>
      </c>
      <c r="F35"/>
      <c r="G35"/>
      <c r="H35"/>
      <c r="I35"/>
      <c r="J35"/>
      <c r="K35"/>
      <c r="L35"/>
      <c r="M35"/>
      <c r="N35"/>
      <c r="O35"/>
      <c r="P35"/>
      <c r="Q35"/>
      <c r="T35" s="138">
        <v>0</v>
      </c>
      <c r="U35" s="138" t="e">
        <f>INDEX(Control!$E$17:$J$21,MATCH(Y35,Control!$E$17:$E$21,0),MATCH(V35,Control!$E$17:$J$17,0))</f>
        <v>#N/A</v>
      </c>
      <c r="V35" s="138" t="s">
        <v>41</v>
      </c>
      <c r="W35" s="526">
        <v>270000</v>
      </c>
      <c r="X35" s="527">
        <f>AB35/Control!$D$84</f>
        <v>267073.15503432491</v>
      </c>
      <c r="Y35" s="48" t="s">
        <v>27</v>
      </c>
      <c r="Z35" s="674" t="s">
        <v>114</v>
      </c>
      <c r="AA35" s="138" t="str">
        <f>AA43</f>
        <v>USGC/INDIA</v>
      </c>
      <c r="AB35" s="526">
        <f>AB34</f>
        <v>2075000</v>
      </c>
      <c r="AC35" s="526">
        <v>1001</v>
      </c>
      <c r="AD35" s="481">
        <f>AD29</f>
        <v>5500000</v>
      </c>
      <c r="AE35" s="529">
        <f t="shared" si="41"/>
        <v>2.6506024096385543</v>
      </c>
      <c r="AF35" s="762">
        <v>2</v>
      </c>
      <c r="AG35" s="526">
        <f>AG29</f>
        <v>13.3</v>
      </c>
      <c r="AH35" s="527">
        <f>AF35*VLOOKUP($Y35,Control!$F$75:$H$87,3,FALSE)/$AB35</f>
        <v>0.43373493975903615</v>
      </c>
      <c r="AI35" s="739">
        <f>$AG35*Control!$D$77</f>
        <v>0.17338098630136989</v>
      </c>
      <c r="AJ35" s="533">
        <f>IF(((AB35-VLOOKUP(Y35,Control!$J$76:$K$82,2,FALSE))/AL35)&lt;=0,0,ROUNDUP(((AB35-VLOOKUP(Y35,Control!$J$76:$K$82,2,FALSE))/Control!$D$86),0)*IF(AL35=Control!$D$86,Control!$H$91,Control!$H$90)/AB35)</f>
        <v>0.89156626506024095</v>
      </c>
      <c r="AK35" s="533">
        <f>IF(I35="Corpus Christi",Control!$D$76,0)</f>
        <v>0</v>
      </c>
      <c r="AL35" s="585">
        <f>IF(AND(Control!$D$85-ROUNDUP(((AB35-VLOOKUP(Y35,Control!$J$76:$K$82,2,FALSE))),0)&gt;0,Control!$D$85-ROUNDUP(((AB35-VLOOKUP(Y35,Control!$J$76:$K$82,2,FALSE))),0)&lt;Control!$D$86-ROUNDUP(((AB35-VLOOKUP(Y35,Control!$J$76:$K$82,2,FALSE))),0)),Control!$D$85,Control!$D$86)</f>
        <v>750000</v>
      </c>
      <c r="AM35" s="533">
        <f>Control!$D$78</f>
        <v>0</v>
      </c>
      <c r="AN35" s="533">
        <f>Control!$D$79</f>
        <v>6.7299999999999999E-2</v>
      </c>
      <c r="AO35" s="533">
        <f>IF(INDEX(Control!$Q$3:$S$62,MATCH($Z35,Control!$Q$3:$Q$62,0),MATCH(AO$8,Control!$Q$3:$S$3,0))=1,Control!$D$81*Control!$E$81,0)</f>
        <v>0.2</v>
      </c>
      <c r="AP35" s="533"/>
      <c r="AQ35" s="533">
        <f>Control!$D$83/AB35</f>
        <v>0.14457831325301204</v>
      </c>
      <c r="AR35" s="533"/>
      <c r="AS35" s="529">
        <f t="shared" si="49"/>
        <v>1.9105605043736589</v>
      </c>
      <c r="AT35" s="529">
        <f t="shared" si="42"/>
        <v>4.561162914012213</v>
      </c>
      <c r="AU35" s="529">
        <f t="shared" si="43"/>
        <v>0.58000000000000007</v>
      </c>
      <c r="AV35" s="647">
        <f t="shared" ref="AV35:AV36" si="50">-HLOOKUP(EOMONTH(BD35,0),$AZ$3:$BE$6,3,FALSE)</f>
        <v>0</v>
      </c>
      <c r="AW35" s="534">
        <f t="shared" si="44"/>
        <v>3.4911629140122131</v>
      </c>
      <c r="AZ35" s="531">
        <f>AZ29</f>
        <v>44</v>
      </c>
      <c r="BA35" s="530">
        <f t="shared" si="45"/>
        <v>45722</v>
      </c>
      <c r="BB35" s="530">
        <f t="shared" si="46"/>
        <v>45724</v>
      </c>
      <c r="BC35" s="650" t="s">
        <v>157</v>
      </c>
      <c r="BD35" s="675">
        <f>EOMONTH(BB35,0)</f>
        <v>45747</v>
      </c>
      <c r="BE35" s="676">
        <f t="shared" ref="BE35" si="51">BD35</f>
        <v>45747</v>
      </c>
      <c r="BF35" s="735">
        <f t="shared" si="38"/>
        <v>9104647.4999999981</v>
      </c>
    </row>
    <row r="36" spans="1:58" ht="18" customHeight="1" x14ac:dyDescent="0.35">
      <c r="A36" s="671">
        <f t="shared" si="29"/>
        <v>45675</v>
      </c>
      <c r="B36" s="551">
        <f t="shared" si="39"/>
        <v>45677</v>
      </c>
      <c r="C36" s="552"/>
      <c r="D36" s="553">
        <f>D30</f>
        <v>3</v>
      </c>
      <c r="E36" s="554">
        <f t="shared" si="40"/>
        <v>45679</v>
      </c>
      <c r="F36"/>
      <c r="G36"/>
      <c r="H36"/>
      <c r="I36"/>
      <c r="J36"/>
      <c r="K36"/>
      <c r="L36"/>
      <c r="M36"/>
      <c r="N36"/>
      <c r="O36"/>
      <c r="P36"/>
      <c r="Q36"/>
      <c r="T36" s="556">
        <v>0</v>
      </c>
      <c r="U36" s="556" t="e">
        <f>INDEX(Control!$E$17:$J$21,MATCH(Y36,Control!$E$17:$E$21,0),MATCH(V36,Control!$E$17:$J$17,0))</f>
        <v>#N/A</v>
      </c>
      <c r="V36" s="556" t="s">
        <v>41</v>
      </c>
      <c r="W36" s="557">
        <v>270000</v>
      </c>
      <c r="X36" s="558">
        <f>AB36/Control!$D$84</f>
        <v>267073.15503432491</v>
      </c>
      <c r="Y36" s="559" t="s">
        <v>27</v>
      </c>
      <c r="Z36" s="573" t="s">
        <v>86</v>
      </c>
      <c r="AA36" s="556" t="str">
        <f>AA46</f>
        <v>USGC/INDIA</v>
      </c>
      <c r="AB36" s="557">
        <f>AB33</f>
        <v>2075000</v>
      </c>
      <c r="AC36" s="557">
        <v>1001</v>
      </c>
      <c r="AD36" s="560">
        <f>AD35</f>
        <v>5500000</v>
      </c>
      <c r="AE36" s="561">
        <f t="shared" si="41"/>
        <v>2.6506024096385543</v>
      </c>
      <c r="AF36" s="763">
        <v>2</v>
      </c>
      <c r="AG36" s="557">
        <f>AG30</f>
        <v>10.3</v>
      </c>
      <c r="AH36" s="558">
        <f>AF36*VLOOKUP($Y36,Control!$F$75:$H$87,3,FALSE)/$AB36</f>
        <v>0.43373493975903615</v>
      </c>
      <c r="AI36" s="737">
        <f>$AG36*Control!$D$77</f>
        <v>0.13427249315068496</v>
      </c>
      <c r="AJ36" s="562">
        <f>IF(((AB36-VLOOKUP(Y36,Control!$J$76:$K$82,2,FALSE))/AL36)&lt;=0,0,ROUNDUP(((AB36-VLOOKUP(Y36,Control!$J$76:$K$82,2,FALSE))/Control!$D$86),0)*IF(AL36=Control!$D$86,Control!$H$91,Control!$H$90)/AB36)</f>
        <v>0.89156626506024095</v>
      </c>
      <c r="AK36" s="562">
        <f>IF(I36="Corpus Christi",Control!$D$76,0)</f>
        <v>0</v>
      </c>
      <c r="AL36" s="584">
        <f>IF(AND(Control!$D$85-ROUNDUP(((AB36-VLOOKUP(Y36,Control!$J$76:$K$82,2,FALSE))),0)&gt;0,Control!$D$85-ROUNDUP(((AB36-VLOOKUP(Y36,Control!$J$76:$K$82,2,FALSE))),0)&lt;Control!$D$86-ROUNDUP(((AB36-VLOOKUP(Y36,Control!$J$76:$K$82,2,FALSE))),0)),Control!$D$85,Control!$D$86)</f>
        <v>750000</v>
      </c>
      <c r="AM36" s="562">
        <f>Control!$D$78</f>
        <v>0</v>
      </c>
      <c r="AN36" s="562">
        <f>Control!$D$79</f>
        <v>6.7299999999999999E-2</v>
      </c>
      <c r="AO36" s="562">
        <f>IF(INDEX(Control!$Q$3:$S$62,MATCH($Z36,Control!$Q$3:$Q$62,0),MATCH(AO$8,Control!$Q$3:$S$3,0))=1,Control!$D$81*Control!$E$81,0)</f>
        <v>0.2</v>
      </c>
      <c r="AP36" s="562"/>
      <c r="AQ36" s="562">
        <f>Control!$D$83/AB36</f>
        <v>0.14457831325301204</v>
      </c>
      <c r="AR36" s="562"/>
      <c r="AS36" s="561">
        <f t="shared" si="49"/>
        <v>1.871452011222974</v>
      </c>
      <c r="AT36" s="561">
        <f t="shared" si="42"/>
        <v>4.5220544208615285</v>
      </c>
      <c r="AU36" s="561">
        <f t="shared" si="43"/>
        <v>0.32</v>
      </c>
      <c r="AV36" s="652">
        <f t="shared" si="50"/>
        <v>-0.13</v>
      </c>
      <c r="AW36" s="565">
        <f t="shared" si="44"/>
        <v>3.0620544208615286</v>
      </c>
      <c r="AX36" s="555"/>
      <c r="AY36" s="556"/>
      <c r="AZ36" s="553">
        <f>AZ30</f>
        <v>41</v>
      </c>
      <c r="BA36" s="551">
        <f t="shared" si="45"/>
        <v>45719</v>
      </c>
      <c r="BB36" s="551">
        <f t="shared" si="46"/>
        <v>45721</v>
      </c>
      <c r="BC36" s="505" t="s">
        <v>157</v>
      </c>
      <c r="BD36" s="564">
        <f t="shared" si="47"/>
        <v>45716</v>
      </c>
      <c r="BE36" s="672">
        <f t="shared" si="48"/>
        <v>45716</v>
      </c>
      <c r="BF36" s="735">
        <f t="shared" si="38"/>
        <v>9104647.5</v>
      </c>
    </row>
    <row r="37" spans="1:58" ht="18" customHeight="1" thickBot="1" x14ac:dyDescent="0.4">
      <c r="A37" s="691">
        <f t="shared" si="29"/>
        <v>45675</v>
      </c>
      <c r="B37" s="537">
        <f t="shared" si="39"/>
        <v>45677</v>
      </c>
      <c r="C37" s="538"/>
      <c r="D37" s="539">
        <f>D31</f>
        <v>3</v>
      </c>
      <c r="E37" s="540">
        <f t="shared" si="40"/>
        <v>45679</v>
      </c>
      <c r="F37"/>
      <c r="G37"/>
      <c r="H37"/>
      <c r="I37"/>
      <c r="J37"/>
      <c r="K37"/>
      <c r="L37"/>
      <c r="M37"/>
      <c r="N37"/>
      <c r="O37"/>
      <c r="P37"/>
      <c r="Q37"/>
      <c r="T37" s="542">
        <v>0</v>
      </c>
      <c r="U37" s="542" t="e">
        <f>INDEX(Control!$E$17:$J$21,MATCH(Y37,Control!$E$17:$E$21,0),MATCH(V37,Control!$E$17:$J$17,0))</f>
        <v>#N/A</v>
      </c>
      <c r="V37" s="542" t="s">
        <v>41</v>
      </c>
      <c r="W37" s="543">
        <v>270000</v>
      </c>
      <c r="X37" s="544">
        <f>AB37/Control!$D$84</f>
        <v>267073.15503432491</v>
      </c>
      <c r="Y37" s="545" t="s">
        <v>27</v>
      </c>
      <c r="Z37" s="574" t="s">
        <v>43</v>
      </c>
      <c r="AA37" s="542" t="str">
        <f>AA47</f>
        <v>USGC/KOREA</v>
      </c>
      <c r="AB37" s="543">
        <f>AB34</f>
        <v>2075000</v>
      </c>
      <c r="AC37" s="543">
        <v>1001</v>
      </c>
      <c r="AD37" s="550">
        <f>AD31</f>
        <v>6200000</v>
      </c>
      <c r="AE37" s="546">
        <f t="shared" si="41"/>
        <v>2.9879518072289155</v>
      </c>
      <c r="AF37" s="764">
        <v>2</v>
      </c>
      <c r="AG37" s="543">
        <f>AG31</f>
        <v>10.3</v>
      </c>
      <c r="AH37" s="544">
        <f>AF37*VLOOKUP($Y37,Control!$F$75:$H$87,3,FALSE)/$AB37</f>
        <v>0.43373493975903615</v>
      </c>
      <c r="AI37" s="740">
        <f>$AG37*Control!$D$77</f>
        <v>0.13427249315068496</v>
      </c>
      <c r="AJ37" s="547">
        <f>IF(((AB37-VLOOKUP(Y37,Control!$J$76:$K$82,2,FALSE))/AL37)&lt;=0,0,ROUNDUP(((AB37-VLOOKUP(Y37,Control!$J$76:$K$82,2,FALSE))/Control!$D$86),0)*IF(AL37=Control!$D$86,Control!$H$91,Control!$H$90)/AB37)</f>
        <v>0.89156626506024095</v>
      </c>
      <c r="AK37" s="547">
        <f>IF(I37="Corpus Christi",Control!$D$76,0)</f>
        <v>0</v>
      </c>
      <c r="AL37" s="586">
        <f>IF(AND(Control!$D$85-ROUNDUP(((AB37-VLOOKUP(Y37,Control!$J$76:$K$82,2,FALSE))),0)&gt;0,Control!$D$85-ROUNDUP(((AB37-VLOOKUP(Y37,Control!$J$76:$K$82,2,FALSE))),0)&lt;Control!$D$86-ROUNDUP(((AB37-VLOOKUP(Y37,Control!$J$76:$K$82,2,FALSE))),0)),Control!$D$85,Control!$D$86)</f>
        <v>750000</v>
      </c>
      <c r="AM37" s="547">
        <f>Control!$D$78</f>
        <v>0</v>
      </c>
      <c r="AN37" s="547">
        <f>Control!$D$79</f>
        <v>6.7299999999999999E-2</v>
      </c>
      <c r="AO37" s="547"/>
      <c r="AP37" s="547"/>
      <c r="AQ37" s="547">
        <f>Control!$D$83/AB37</f>
        <v>0.14457831325301204</v>
      </c>
      <c r="AR37" s="547"/>
      <c r="AS37" s="546">
        <f t="shared" si="49"/>
        <v>1.671452011222974</v>
      </c>
      <c r="AT37" s="546">
        <f t="shared" si="42"/>
        <v>4.6594038184518896</v>
      </c>
      <c r="AU37" s="546">
        <f t="shared" si="43"/>
        <v>0.32</v>
      </c>
      <c r="AV37" s="546">
        <f>-HLOOKUP(EOMONTH(BD37,0),$AZ$3:$BE$6,3,FALSE)</f>
        <v>-0.13</v>
      </c>
      <c r="AW37" s="528">
        <f t="shared" si="44"/>
        <v>3.1994038184518896</v>
      </c>
      <c r="AX37" s="541"/>
      <c r="AY37" s="541"/>
      <c r="AZ37" s="539">
        <f>AZ31</f>
        <v>49</v>
      </c>
      <c r="BA37" s="537">
        <f t="shared" si="45"/>
        <v>45727</v>
      </c>
      <c r="BB37" s="537">
        <f t="shared" si="46"/>
        <v>45729</v>
      </c>
      <c r="BC37" s="755" t="s">
        <v>157</v>
      </c>
      <c r="BD37" s="548">
        <f t="shared" si="47"/>
        <v>45716</v>
      </c>
      <c r="BE37" s="692">
        <f t="shared" si="48"/>
        <v>45716</v>
      </c>
      <c r="BF37" s="735">
        <f t="shared" si="38"/>
        <v>9389647.5</v>
      </c>
    </row>
    <row r="38" spans="1:58" ht="18" hidden="1" customHeight="1" thickBot="1" x14ac:dyDescent="0.4">
      <c r="A38" s="677">
        <f t="shared" si="29"/>
        <v>45675</v>
      </c>
      <c r="B38" s="678">
        <f t="shared" si="39"/>
        <v>45677</v>
      </c>
      <c r="C38" s="275"/>
      <c r="D38" s="679">
        <f t="shared" ref="D38" si="52">D33</f>
        <v>3</v>
      </c>
      <c r="E38" s="680">
        <f t="shared" si="40"/>
        <v>45679</v>
      </c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351">
        <v>0</v>
      </c>
      <c r="U38" s="351" t="e">
        <f>INDEX(Control!$E$17:$J$21,MATCH(Y38,Control!$E$17:$E$21,0),MATCH(V38,Control!$E$17:$J$17,0))</f>
        <v>#N/A</v>
      </c>
      <c r="V38" s="351" t="s">
        <v>41</v>
      </c>
      <c r="W38" s="344">
        <v>270000</v>
      </c>
      <c r="X38" s="352">
        <f>AB38/Control!$D$84</f>
        <v>267073.15503432491</v>
      </c>
      <c r="Y38" s="681" t="s">
        <v>27</v>
      </c>
      <c r="Z38" s="682" t="s">
        <v>43</v>
      </c>
      <c r="AA38" s="351">
        <f>AA48</f>
        <v>0</v>
      </c>
      <c r="AB38" s="344">
        <f>AB35</f>
        <v>2075000</v>
      </c>
      <c r="AC38" s="344">
        <v>1001</v>
      </c>
      <c r="AD38" s="683">
        <f t="shared" ref="AD38" si="53">AD33</f>
        <v>6500000</v>
      </c>
      <c r="AE38" s="684">
        <f t="shared" si="41"/>
        <v>3.1325301204819276</v>
      </c>
      <c r="AF38" s="685">
        <v>2</v>
      </c>
      <c r="AG38" s="344">
        <f t="shared" ref="AG38" si="54">AG33</f>
        <v>21.3</v>
      </c>
      <c r="AH38" s="352">
        <f>AF38*VLOOKUP($Y38,Control!$F$75:$H$87,3,FALSE)/$AB38</f>
        <v>0.43373493975903615</v>
      </c>
      <c r="AI38" s="686">
        <f>$AG38*Control!$D$77</f>
        <v>0.27767030136986304</v>
      </c>
      <c r="AJ38" s="686">
        <f>IF(((AB38-VLOOKUP(Y38,Control!$J$76:$K$82,2,FALSE))/AL38)&lt;=0,0,ROUNDUP(((AB38-VLOOKUP(Y38,Control!$J$76:$K$82,2,FALSE))/Control!$D$86),0)*IF(AL38=Control!$D$86,Control!$H$91,Control!$H$90)/AB38)</f>
        <v>0.89156626506024095</v>
      </c>
      <c r="AK38" s="686">
        <f>IF(I38="Corpus Christi",Control!$D$76,0)</f>
        <v>0</v>
      </c>
      <c r="AL38" s="687">
        <f>IF(AND(Control!$D$85-ROUNDUP(((AB38-VLOOKUP(Y38,Control!$J$76:$K$82,2,FALSE))),0)&gt;0,Control!$D$85-ROUNDUP(((AB38-VLOOKUP(Y38,Control!$J$76:$K$82,2,FALSE))),0)&lt;Control!$D$86-ROUNDUP(((AB38-VLOOKUP(Y38,Control!$J$76:$K$82,2,FALSE))),0)),Control!$D$85,Control!$D$86)</f>
        <v>750000</v>
      </c>
      <c r="AM38" s="686">
        <f>Control!$D$78</f>
        <v>0</v>
      </c>
      <c r="AN38" s="686">
        <f>Control!$D$79</f>
        <v>6.7299999999999999E-2</v>
      </c>
      <c r="AO38" s="686">
        <f>AO35</f>
        <v>0.2</v>
      </c>
      <c r="AP38" s="686"/>
      <c r="AQ38" s="686">
        <f>Control!$D$83/AB38</f>
        <v>0.14457831325301204</v>
      </c>
      <c r="AR38" s="686"/>
      <c r="AS38" s="684">
        <f t="shared" si="49"/>
        <v>2.0148498194421518</v>
      </c>
      <c r="AT38" s="684">
        <f t="shared" si="42"/>
        <v>5.1473799399240789</v>
      </c>
      <c r="AU38" s="684">
        <f t="shared" si="43"/>
        <v>0.32</v>
      </c>
      <c r="AV38" s="684">
        <f t="shared" si="31"/>
        <v>0.5</v>
      </c>
      <c r="AW38" s="688">
        <f t="shared" si="44"/>
        <v>4.3173799399240789</v>
      </c>
      <c r="AX38" s="350"/>
      <c r="AY38" s="350"/>
      <c r="AZ38" s="679">
        <f t="shared" ref="AZ38" si="55">AZ33</f>
        <v>52</v>
      </c>
      <c r="BA38" s="678">
        <f t="shared" si="45"/>
        <v>45730</v>
      </c>
      <c r="BB38" s="678">
        <f t="shared" si="46"/>
        <v>45732</v>
      </c>
      <c r="BC38" s="678" t="str">
        <f t="shared" si="33"/>
        <v>Dubai</v>
      </c>
      <c r="BD38" s="689">
        <f t="shared" si="47"/>
        <v>45716</v>
      </c>
      <c r="BE38" s="690">
        <f t="shared" si="48"/>
        <v>45716</v>
      </c>
      <c r="BF38" s="735">
        <f t="shared" si="38"/>
        <v>10104647.499999998</v>
      </c>
    </row>
    <row r="39" spans="1:58" ht="18" customHeight="1" thickBot="1" x14ac:dyDescent="0.5">
      <c r="A39" s="530"/>
      <c r="B39" s="530"/>
      <c r="D39" s="531"/>
      <c r="E39" s="532"/>
      <c r="F39"/>
      <c r="G39"/>
      <c r="H39"/>
      <c r="I39"/>
      <c r="J39"/>
      <c r="K39"/>
      <c r="L39"/>
      <c r="M39"/>
      <c r="N39"/>
      <c r="O39"/>
      <c r="P39"/>
      <c r="Q39"/>
      <c r="T39" s="138"/>
      <c r="U39" s="138"/>
      <c r="V39" s="138"/>
      <c r="W39" s="526"/>
      <c r="X39" s="527"/>
      <c r="Y39" s="1022" t="s">
        <v>218</v>
      </c>
      <c r="Z39" s="1023"/>
      <c r="AA39" s="1023"/>
      <c r="AB39" s="1023"/>
      <c r="AC39" s="1023"/>
      <c r="AD39" s="1023"/>
      <c r="AE39" s="1023"/>
      <c r="AF39" s="1023"/>
      <c r="AG39" s="1023"/>
      <c r="AH39" s="1023"/>
      <c r="AI39" s="1023"/>
      <c r="AJ39" s="1023"/>
      <c r="AK39" s="1023"/>
      <c r="AL39" s="1023"/>
      <c r="AM39" s="1023"/>
      <c r="AN39" s="1023"/>
      <c r="AO39" s="1023"/>
      <c r="AP39" s="1023"/>
      <c r="AQ39" s="1023"/>
      <c r="AR39" s="1023"/>
      <c r="AS39" s="1023"/>
      <c r="AT39" s="1023"/>
      <c r="AU39" s="1023"/>
      <c r="AV39" s="1023"/>
      <c r="AW39" s="1025"/>
      <c r="AX39" s="529"/>
      <c r="AY39" s="529"/>
      <c r="AZ39" s="529"/>
      <c r="BA39" s="530"/>
      <c r="BB39" s="530"/>
      <c r="BC39" s="530"/>
      <c r="BD39" s="658"/>
      <c r="BE39" s="658"/>
    </row>
    <row r="40" spans="1:58" ht="18" customHeight="1" x14ac:dyDescent="0.35">
      <c r="A40" s="319">
        <f t="shared" si="29"/>
        <v>45675</v>
      </c>
      <c r="B40" s="320">
        <f t="shared" ref="B40:B44" si="56">IF(ISBLANK(A40),"",A40+2)</f>
        <v>45677</v>
      </c>
      <c r="C40" s="270"/>
      <c r="D40" s="338">
        <f>IF(AJ40=0,0,VLOOKUP(Y40,Control!$G$41:$J$44,4,FALSE))</f>
        <v>9</v>
      </c>
      <c r="E40" s="515">
        <f t="shared" ref="E40:E42" si="57">AVERAGE(A40:B40)+D40</f>
        <v>45685</v>
      </c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330">
        <f>INDEX('[2]Flat Rates 2024'!$A:$DZ,MATCH(V40,'[2]Flat Rates 2024'!$A:$A,0),MATCH(Z40,'[2]Flat Rates 2024'!$A$1:$DZ$1,0))</f>
        <v>0</v>
      </c>
      <c r="U40" s="330">
        <f>INDEX(Control!$E$17:$J$21,MATCH(Y40,Control!$E$17:$E$21,0),MATCH(V40,Control!$E$17:$J$17,0))</f>
        <v>0.5</v>
      </c>
      <c r="V40" s="330" t="s">
        <v>45</v>
      </c>
      <c r="W40" s="323">
        <f>INDEX(Vessel_Minimum_MT,MATCH(Y40,Control!$E$11:$E$15,0),MATCH(V40,Control!$E$11:$J$11,0))</f>
        <v>270000</v>
      </c>
      <c r="X40" s="331">
        <f>AB40/Control!$D$84</f>
        <v>135145.45194508007</v>
      </c>
      <c r="Y40" s="258" t="s">
        <v>25</v>
      </c>
      <c r="Z40" s="311" t="s">
        <v>51</v>
      </c>
      <c r="AA40" s="311" t="str">
        <f t="shared" ref="AA40:AA42" si="58">IF(Z40=V40,"",CONCATENATE(CONCATENATE(VLOOKUP(V40,Zones,2,FALSE),"/",VLOOKUP(Z40,Zones,2,FALSE))))</f>
        <v>USGC/JAPAN</v>
      </c>
      <c r="AB40" s="312">
        <v>1050000</v>
      </c>
      <c r="AC40" s="312">
        <v>1001</v>
      </c>
      <c r="AD40" s="524">
        <f>AD42</f>
        <v>6500000</v>
      </c>
      <c r="AE40" s="314">
        <f t="shared" ref="AE40:AE42" si="59">IF(AC40&gt;1000,IF(AD40=0,AC40,AD40)/AB40,((W40*T40*(IF(AD40=0,AC40,AD40)/100))+IF(X40&lt;W40,0,(X40-W40)*T40*IF(AD40=0,AC40,AD40)/100*U40))/AB40)</f>
        <v>6.1904761904761907</v>
      </c>
      <c r="AF40" s="765">
        <v>5</v>
      </c>
      <c r="AG40" s="312">
        <f>VLOOKUP(Z40,Control!$AS$36:$AV$53,4,FALSE)</f>
        <v>27.3</v>
      </c>
      <c r="AH40" s="316">
        <f>AF40*VLOOKUP($Y40,Control!$F$75:$H$87,3,FALSE)/$AB40</f>
        <v>2.1428571428571428</v>
      </c>
      <c r="AI40" s="753">
        <f>$AG40*Control!$D$77</f>
        <v>0.35588728767123295</v>
      </c>
      <c r="AJ40" s="316">
        <f>IF(((AB40-VLOOKUP(Y40,Control!$J$76:$K$80,2,FALSE))/Control!$D$85)&lt;=0,0,ROUNDUP(((AB40-VLOOKUP(Y40,Control!$J$76:$K$80,2,FALSE))/Control!$D$85),0)*Control!$H$90/AB40)</f>
        <v>3.5238095238095237</v>
      </c>
      <c r="AK40" s="316">
        <f>IF(I40="Corpus Christi",Control!$D$76,0)</f>
        <v>0</v>
      </c>
      <c r="AL40" s="316">
        <v>0</v>
      </c>
      <c r="AM40" s="316">
        <f>Control!$D$78</f>
        <v>0</v>
      </c>
      <c r="AN40" s="316">
        <f>Control!$D$79</f>
        <v>6.7299999999999999E-2</v>
      </c>
      <c r="AO40" s="316">
        <f>IF(INDEX(Control!$Q$3:$S$62,MATCH($Z40,Control!$Q$3:$Q$62,0),MATCH(AO$8,Control!$Q$3:$S$3,0))=1,Control!$D$81*Control!$E$81,0)</f>
        <v>0.2</v>
      </c>
      <c r="AP40" s="316"/>
      <c r="AQ40" s="316">
        <f>IF(AND(Y40="VLCC",Control!$K$79=1200000),Control!$D$83/AB40,0)</f>
        <v>0</v>
      </c>
      <c r="AR40" s="316"/>
      <c r="AS40" s="314">
        <f t="shared" ref="AS40:AS47" si="60">SUM(AH40:AR40)</f>
        <v>6.2898539543379002</v>
      </c>
      <c r="AT40" s="314">
        <f t="shared" si="23"/>
        <v>12.48033014481409</v>
      </c>
      <c r="AU40" s="314">
        <f t="shared" si="24"/>
        <v>0.32</v>
      </c>
      <c r="AV40" s="314">
        <f t="shared" si="31"/>
        <v>0.5</v>
      </c>
      <c r="AW40" s="500">
        <f t="shared" si="25"/>
        <v>11.65033014481409</v>
      </c>
      <c r="AX40" s="329"/>
      <c r="AY40" s="330"/>
      <c r="AZ40" s="338">
        <f>+INDEX('[1]Transit Time'!$A:$DZ,MATCH(V40,'[1]Transit Time'!$A:$A,0),MATCH(Z40,'[1]Transit Time'!$A$1:$DZ$1,0))</f>
        <v>52</v>
      </c>
      <c r="BA40" s="320">
        <f t="shared" si="26"/>
        <v>45736</v>
      </c>
      <c r="BB40" s="320">
        <f t="shared" ref="BB40:BB42" si="61">BA40+2</f>
        <v>45738</v>
      </c>
      <c r="BC40" s="320" t="str">
        <f t="shared" si="33"/>
        <v>Dubai</v>
      </c>
      <c r="BD40" s="694">
        <f t="shared" si="27"/>
        <v>45716</v>
      </c>
      <c r="BE40" s="491">
        <f t="shared" si="28"/>
        <v>45716</v>
      </c>
      <c r="BF40" s="735">
        <f t="shared" si="38"/>
        <v>12730665</v>
      </c>
    </row>
    <row r="41" spans="1:58" ht="18" customHeight="1" thickBot="1" x14ac:dyDescent="0.4">
      <c r="A41" s="695">
        <f t="shared" si="29"/>
        <v>45675</v>
      </c>
      <c r="B41" s="163">
        <f t="shared" si="56"/>
        <v>45677</v>
      </c>
      <c r="D41" s="153">
        <f>IF(AJ41=0,0,VLOOKUP(Y41,Control!$G$41:$J$44,4,FALSE))</f>
        <v>3</v>
      </c>
      <c r="E41" s="518">
        <f t="shared" si="57"/>
        <v>45679</v>
      </c>
      <c r="F41"/>
      <c r="G41"/>
      <c r="H41"/>
      <c r="I41"/>
      <c r="J41"/>
      <c r="K41"/>
      <c r="L41"/>
      <c r="M41"/>
      <c r="N41"/>
      <c r="O41"/>
      <c r="P41"/>
      <c r="Q41"/>
      <c r="T41" s="138">
        <f>INDEX('[2]Flat Rates 2024'!$A:$DZ,MATCH(V41,'[2]Flat Rates 2024'!$A:$A,0),MATCH(Z41,'[2]Flat Rates 2024'!$A$1:$DZ$1,0))</f>
        <v>0</v>
      </c>
      <c r="U41" s="138">
        <f>INDEX(Control!$E$17:$J$21,MATCH(Y41,Control!$E$17:$E$21,0),MATCH(V41,Control!$E$17:$J$17,0))</f>
        <v>0.5</v>
      </c>
      <c r="V41" s="138" t="s">
        <v>45</v>
      </c>
      <c r="W41" s="526">
        <f>INDEX(Vessel_Minimum_MT,MATCH(Y41,Control!$E$11:$E$15,0),MATCH(V41,Control!$E$11:$J$11,0))</f>
        <v>145000</v>
      </c>
      <c r="X41" s="527">
        <f>AB41/Control!$D$84</f>
        <v>128709.9542334096</v>
      </c>
      <c r="Y41" s="147" t="s">
        <v>24</v>
      </c>
      <c r="Z41" s="142" t="s">
        <v>114</v>
      </c>
      <c r="AA41" s="142" t="str">
        <f t="shared" si="58"/>
        <v>USGC/Singapore</v>
      </c>
      <c r="AB41" s="15">
        <v>1000000</v>
      </c>
      <c r="AC41" s="141">
        <v>1001</v>
      </c>
      <c r="AD41" s="481">
        <v>6100000</v>
      </c>
      <c r="AE41" s="149">
        <f t="shared" si="59"/>
        <v>6.1</v>
      </c>
      <c r="AF41" s="17">
        <f>$AF$38</f>
        <v>2</v>
      </c>
      <c r="AG41" s="141">
        <f>VLOOKUP(Z41,Control!$AS$36:$AV$53,4,FALSE)</f>
        <v>19.3</v>
      </c>
      <c r="AH41" s="143">
        <f>AF41*VLOOKUP($Y41,Control!$F$75:$H$87,3,FALSE)/$AB41</f>
        <v>0.19</v>
      </c>
      <c r="AI41" s="742">
        <f>$AG41*Control!$D$77</f>
        <v>0.25159797260273975</v>
      </c>
      <c r="AJ41" s="143">
        <f>IF(((AB41-VLOOKUP(Y41,Control!$J$76:$K$82,2,FALSE))/Control!$D$85)&lt;=0,0,ROUNDUP(((AB41-VLOOKUP(Y41,Control!$J$76:$K$82,2,FALSE))/Control!$D$85),0)*Control!$H$90/AB41)</f>
        <v>1.85</v>
      </c>
      <c r="AK41" s="143">
        <f>IF(I41="Corpus Christi",Control!$D$76,0)</f>
        <v>0</v>
      </c>
      <c r="AL41" s="143">
        <v>0</v>
      </c>
      <c r="AM41" s="143">
        <f>Control!$D$78</f>
        <v>0</v>
      </c>
      <c r="AN41" s="143">
        <f>Control!$D$79</f>
        <v>6.7299999999999999E-2</v>
      </c>
      <c r="AO41" s="143">
        <f>IF(INDEX(Control!$Q$3:$S$62,MATCH($Z41,Control!$Q$3:$Q$62,0),MATCH(AO$8,Control!$Q$3:$S$3,0))=1,Control!$D$81*Control!$E$81,0)</f>
        <v>0.2</v>
      </c>
      <c r="AP41" s="143"/>
      <c r="AQ41" s="143">
        <f>IF(AND(Y41="VLCC",Control!$K$79=1200000),Control!$D$83/AB41,0)</f>
        <v>0</v>
      </c>
      <c r="AR41" s="143"/>
      <c r="AS41" s="149">
        <f t="shared" si="60"/>
        <v>2.5588979726027401</v>
      </c>
      <c r="AT41" s="199">
        <f t="shared" si="23"/>
        <v>8.6588979726027393</v>
      </c>
      <c r="AU41" s="199">
        <f t="shared" si="24"/>
        <v>0.32</v>
      </c>
      <c r="AV41" s="149">
        <f t="shared" si="31"/>
        <v>0.5</v>
      </c>
      <c r="AW41" s="499">
        <f t="shared" si="25"/>
        <v>7.8288979726027392</v>
      </c>
      <c r="AZ41" s="153">
        <f>+INDEX('[1]Transit Time'!$A:$DZ,MATCH(V41,'[1]Transit Time'!$A:$A,0),MATCH(Z41,'[1]Transit Time'!$A$1:$DZ$1,0))</f>
        <v>44</v>
      </c>
      <c r="BA41" s="163">
        <f t="shared" si="26"/>
        <v>45722</v>
      </c>
      <c r="BB41" s="163">
        <f t="shared" si="61"/>
        <v>45724</v>
      </c>
      <c r="BC41" s="163" t="str">
        <f t="shared" si="33"/>
        <v>Dubai</v>
      </c>
      <c r="BD41" s="490">
        <f t="shared" si="27"/>
        <v>45716</v>
      </c>
      <c r="BE41" s="696">
        <f t="shared" si="28"/>
        <v>45716</v>
      </c>
      <c r="BF41" s="735">
        <f t="shared" si="38"/>
        <v>8407300</v>
      </c>
    </row>
    <row r="42" spans="1:58" ht="18" customHeight="1" thickBot="1" x14ac:dyDescent="0.4">
      <c r="A42" s="697">
        <f t="shared" si="29"/>
        <v>45675</v>
      </c>
      <c r="B42" s="230">
        <f t="shared" si="56"/>
        <v>45677</v>
      </c>
      <c r="D42" s="229">
        <f>IF(AJ42=0,0,VLOOKUP(Y42,Control!$G$41:$J$44,4,FALSE))</f>
        <v>9</v>
      </c>
      <c r="E42" s="519">
        <f t="shared" si="57"/>
        <v>45685</v>
      </c>
      <c r="F42"/>
      <c r="G42"/>
      <c r="H42"/>
      <c r="I42"/>
      <c r="J42"/>
      <c r="K42"/>
      <c r="L42"/>
      <c r="M42"/>
      <c r="N42"/>
      <c r="O42"/>
      <c r="P42"/>
      <c r="Q42"/>
      <c r="T42" s="220">
        <f>INDEX('[2]Flat Rates 2024'!$A:$DZ,MATCH(V42,'[2]Flat Rates 2024'!$A:$A,0),MATCH(Z42,'[2]Flat Rates 2024'!$A$1:$DZ$1,0))</f>
        <v>0</v>
      </c>
      <c r="U42" s="220">
        <f>INDEX(Control!$E$17:$J$21,MATCH(Y42,Control!$E$17:$E$21,0),MATCH(V42,Control!$E$17:$J$17,0))</f>
        <v>0.5</v>
      </c>
      <c r="V42" s="220" t="s">
        <v>45</v>
      </c>
      <c r="W42" s="524">
        <f>INDEX(Vessel_Minimum_MT,MATCH(Y42,Control!$E$11:$E$15,0),MATCH(V42,Control!$E$11:$J$11,0))</f>
        <v>270000</v>
      </c>
      <c r="X42" s="525">
        <f>AB42/Control!$D$84</f>
        <v>267073.15503432491</v>
      </c>
      <c r="Y42" s="215" t="s">
        <v>25</v>
      </c>
      <c r="Z42" s="575" t="s">
        <v>106</v>
      </c>
      <c r="AA42" s="212" t="str">
        <f t="shared" si="58"/>
        <v>USGC/KOREA</v>
      </c>
      <c r="AB42" s="304">
        <v>2075000</v>
      </c>
      <c r="AC42" s="214">
        <v>1001</v>
      </c>
      <c r="AD42" s="653">
        <v>6500000</v>
      </c>
      <c r="AE42" s="225">
        <f t="shared" si="59"/>
        <v>3.1325301204819276</v>
      </c>
      <c r="AF42" s="766">
        <v>5</v>
      </c>
      <c r="AG42" s="214">
        <f>VLOOKUP(Z42,Control!$AS$36:$AV$53,4,FALSE)</f>
        <v>29.3</v>
      </c>
      <c r="AH42" s="227">
        <f>AF42*VLOOKUP($Y42,Control!$F$75:$H$87,3,FALSE)/$AB42</f>
        <v>1.0843373493975903</v>
      </c>
      <c r="AI42" s="741">
        <f>$AG42*Control!$D$77</f>
        <v>0.38195961643835624</v>
      </c>
      <c r="AJ42" s="465">
        <f>IF(((AB42-VLOOKUP(Y42,Control!$J$76:$K$80,2,FALSE))/Control!$D$85)&lt;=0,0,ROUNDUP(((AB42-VLOOKUP(Y42,Control!$J$76:$K$80,2,FALSE))/Control!$D$85),0)*Control!$H$90/AB42)</f>
        <v>2.6746987951807228</v>
      </c>
      <c r="AK42" s="227">
        <f>IF(I42="Corpus Christi",Control!$D$76,0)</f>
        <v>0</v>
      </c>
      <c r="AL42" s="227">
        <v>0</v>
      </c>
      <c r="AM42" s="227">
        <f>Control!$D$78</f>
        <v>0</v>
      </c>
      <c r="AN42" s="227"/>
      <c r="AO42" s="227"/>
      <c r="AP42" s="227"/>
      <c r="AQ42" s="227">
        <f>IF(AND(Y42="VLCC",Control!$K$79=1200000),Control!$D$83/AB42,0)</f>
        <v>0</v>
      </c>
      <c r="AR42" s="227"/>
      <c r="AS42" s="225">
        <f t="shared" si="60"/>
        <v>4.1409957610166694</v>
      </c>
      <c r="AT42" s="225">
        <f t="shared" si="23"/>
        <v>7.273525881498597</v>
      </c>
      <c r="AU42" s="225">
        <f t="shared" si="24"/>
        <v>0.32</v>
      </c>
      <c r="AV42" s="479">
        <f t="shared" si="31"/>
        <v>0.5</v>
      </c>
      <c r="AW42" s="502">
        <f t="shared" si="25"/>
        <v>6.4435258814985978</v>
      </c>
      <c r="AY42" s="220"/>
      <c r="AZ42" s="229">
        <f>+INDEX('[1]Transit Time'!$A:$DZ,MATCH(V42,'[1]Transit Time'!$A:$A,0),MATCH(Z42,'[1]Transit Time'!$A$1:$DZ$1,0))</f>
        <v>54</v>
      </c>
      <c r="BA42" s="230">
        <f t="shared" si="26"/>
        <v>45738</v>
      </c>
      <c r="BB42" s="230">
        <f t="shared" si="61"/>
        <v>45740</v>
      </c>
      <c r="BC42" s="380" t="str">
        <f t="shared" si="33"/>
        <v>Dubai</v>
      </c>
      <c r="BD42" s="592">
        <f t="shared" si="27"/>
        <v>45716</v>
      </c>
      <c r="BE42" s="698">
        <f t="shared" si="28"/>
        <v>45716</v>
      </c>
      <c r="BF42" s="735">
        <f t="shared" si="38"/>
        <v>14299999.999999998</v>
      </c>
    </row>
    <row r="43" spans="1:58" ht="18" customHeight="1" x14ac:dyDescent="0.35">
      <c r="A43" s="695">
        <f t="shared" si="29"/>
        <v>45675</v>
      </c>
      <c r="B43" s="163">
        <f t="shared" si="56"/>
        <v>45677</v>
      </c>
      <c r="D43" s="153">
        <f>IF(AJ43=0,0,VLOOKUP(Y43,Control!$G$41:$J$44,4,FALSE))</f>
        <v>3</v>
      </c>
      <c r="E43" s="518">
        <f t="shared" si="19"/>
        <v>45679</v>
      </c>
      <c r="F43"/>
      <c r="G43"/>
      <c r="H43"/>
      <c r="I43"/>
      <c r="J43"/>
      <c r="K43"/>
      <c r="L43"/>
      <c r="M43"/>
      <c r="N43"/>
      <c r="O43"/>
      <c r="P43"/>
      <c r="Q43"/>
      <c r="T43" s="138">
        <f>INDEX('[2]Flat Rates 2024'!$A:$DZ,MATCH(V43,'[2]Flat Rates 2024'!$A:$A,0),MATCH(Z43,'[2]Flat Rates 2024'!$A$1:$DZ$1,0))</f>
        <v>0</v>
      </c>
      <c r="U43" s="138">
        <f>INDEX(Control!$E$17:$J$21,MATCH(Y43,Control!$E$17:$E$21,0),MATCH(V43,Control!$E$17:$J$17,0))</f>
        <v>0.5</v>
      </c>
      <c r="V43" s="138" t="s">
        <v>45</v>
      </c>
      <c r="W43" s="526">
        <f>INDEX(Vessel_Minimum_MT,MATCH(Y43,Control!$E$11:$E$15,0),MATCH(V43,Control!$E$11:$J$11,0))</f>
        <v>145000</v>
      </c>
      <c r="X43" s="527">
        <f>AB43/Control!$D$84</f>
        <v>128709.9542334096</v>
      </c>
      <c r="Y43" s="147" t="s">
        <v>24</v>
      </c>
      <c r="Z43" s="53" t="s">
        <v>86</v>
      </c>
      <c r="AA43" s="142" t="str">
        <f t="shared" si="20"/>
        <v>USGC/INDIA</v>
      </c>
      <c r="AB43" s="54">
        <v>1000000</v>
      </c>
      <c r="AC43" s="141">
        <v>1001</v>
      </c>
      <c r="AD43" s="202">
        <f>AD41-700000</f>
        <v>5400000</v>
      </c>
      <c r="AE43" s="149">
        <f t="shared" si="21"/>
        <v>5.4</v>
      </c>
      <c r="AF43" s="767">
        <f>$AF$38</f>
        <v>2</v>
      </c>
      <c r="AG43" s="141">
        <f>VLOOKUP(Z43,Control!$AS$36:$AV$53,4,FALSE)</f>
        <v>16.3</v>
      </c>
      <c r="AH43" s="143">
        <f>AF43*VLOOKUP($Y43,Control!$F$75:$H$87,3,FALSE)/$AB43</f>
        <v>0.19</v>
      </c>
      <c r="AI43" s="742">
        <f>$AG43*Control!$D$77</f>
        <v>0.21248947945205482</v>
      </c>
      <c r="AJ43" s="143">
        <f>IF(((AB43-VLOOKUP(Y43,Control!$J$76:$K$80,2,FALSE))/Control!$D$85)&lt;=0,0,ROUNDUP(((AB43-VLOOKUP(Y43,Control!$J$76:$K$80,2,FALSE))/Control!$D$85),0)*Control!$H$90/AB43)</f>
        <v>1.85</v>
      </c>
      <c r="AK43" s="143">
        <f>IF(I43="Corpus Christi",Control!$D$76,0)</f>
        <v>0</v>
      </c>
      <c r="AL43" s="143">
        <v>0</v>
      </c>
      <c r="AM43" s="143">
        <f>Control!$D$78</f>
        <v>0</v>
      </c>
      <c r="AN43" s="143">
        <f>Control!$D$79</f>
        <v>6.7299999999999999E-2</v>
      </c>
      <c r="AO43" s="143">
        <f>IF(INDEX(Control!$Q$3:$S$62,MATCH($Z43,Control!$Q$3:$Q$62,0),MATCH(AO$8,Control!$Q$3:$S$3,0))=1,Control!$D$81*Control!$E$81,0)</f>
        <v>0.2</v>
      </c>
      <c r="AP43" s="143"/>
      <c r="AQ43" s="143">
        <f>IF(AND(Y43="VLCC",Control!$K$79=1200000),Control!$D$83/AB43,0)</f>
        <v>0</v>
      </c>
      <c r="AR43" s="143"/>
      <c r="AS43" s="149">
        <f t="shared" si="60"/>
        <v>2.5197894794520548</v>
      </c>
      <c r="AT43" s="199">
        <f t="shared" si="23"/>
        <v>7.9197894794520547</v>
      </c>
      <c r="AU43" s="199">
        <f>IF((MONTH(A43)=MONTH(BE43)),0,IF(((MONTH(BE43))-MONTH(A43))+12*YEAR(BD43)-YEAR(A43)&gt;1,SUMIFS($BA$4:$BD$4,$BA$3:$BD$3,"&lt;="&amp;EOMONTH(BD43,-1),$BA$3:$BD$3,"&gt;="&amp;EOMONTH(A43,0)),VLOOKUP("Spreads",$AZ$3:$BD$4,MATCH(EOMONTH(A43,0),$AZ$3:$BD$3,0))))</f>
        <v>0.32</v>
      </c>
      <c r="AV43" s="647">
        <f t="shared" si="31"/>
        <v>0.5</v>
      </c>
      <c r="AW43" s="499">
        <f t="shared" si="25"/>
        <v>7.0897894794520546</v>
      </c>
      <c r="AZ43" s="153">
        <f>+INDEX('[1]Transit Time'!$A:$DZ,MATCH(V43,'[1]Transit Time'!$A:$A,0),MATCH(Z43,'[1]Transit Time'!$A$1:$DZ$1,0))</f>
        <v>41</v>
      </c>
      <c r="BA43" s="163">
        <f t="shared" si="26"/>
        <v>45719</v>
      </c>
      <c r="BB43" s="163">
        <f t="shared" si="32"/>
        <v>45721</v>
      </c>
      <c r="BC43" s="504" t="s">
        <v>156</v>
      </c>
      <c r="BD43" s="490">
        <f t="shared" si="27"/>
        <v>45716</v>
      </c>
      <c r="BE43" s="696">
        <f t="shared" si="28"/>
        <v>45716</v>
      </c>
      <c r="BF43" s="735">
        <f t="shared" si="38"/>
        <v>7707300</v>
      </c>
    </row>
    <row r="44" spans="1:58" ht="18" customHeight="1" x14ac:dyDescent="0.35">
      <c r="A44" s="697">
        <f t="shared" si="29"/>
        <v>45675</v>
      </c>
      <c r="B44" s="230">
        <f t="shared" si="56"/>
        <v>45677</v>
      </c>
      <c r="D44" s="229">
        <f>IF(AJ44=0,0,VLOOKUP(Y44,Control!$G$41:$J$44,4,FALSE))</f>
        <v>9</v>
      </c>
      <c r="E44" s="519">
        <f t="shared" si="19"/>
        <v>45685</v>
      </c>
      <c r="F44"/>
      <c r="G44"/>
      <c r="H44"/>
      <c r="I44"/>
      <c r="J44"/>
      <c r="K44"/>
      <c r="L44"/>
      <c r="M44"/>
      <c r="N44"/>
      <c r="O44"/>
      <c r="P44"/>
      <c r="Q44"/>
      <c r="T44" s="220">
        <f>INDEX('[2]Flat Rates 2024'!$A:$DZ,MATCH(V44,'[2]Flat Rates 2024'!$A:$A,0),MATCH(Z44,'[2]Flat Rates 2024'!$A$1:$DZ$1,0))</f>
        <v>0</v>
      </c>
      <c r="U44" s="220">
        <f>INDEX(Control!$E$17:$J$21,MATCH(Y44,Control!$E$17:$E$21,0),MATCH(V44,Control!$E$17:$J$17,0))</f>
        <v>0.5</v>
      </c>
      <c r="V44" s="220" t="s">
        <v>45</v>
      </c>
      <c r="W44" s="524">
        <f>INDEX(Vessel_Minimum_MT,MATCH(Y44,Control!$E$11:$E$15,0),MATCH(V44,Control!$E$11:$J$11,0))</f>
        <v>270000</v>
      </c>
      <c r="X44" s="525">
        <f>AB44/Control!$D$84</f>
        <v>267073.15503432491</v>
      </c>
      <c r="Y44" s="215" t="s">
        <v>25</v>
      </c>
      <c r="Z44" s="576" t="s">
        <v>114</v>
      </c>
      <c r="AA44" s="212" t="str">
        <f t="shared" si="20"/>
        <v>USGC/Singapore</v>
      </c>
      <c r="AB44" s="214">
        <f>$AB$42</f>
        <v>2075000</v>
      </c>
      <c r="AC44" s="214">
        <v>1001</v>
      </c>
      <c r="AD44" s="224">
        <f>AD42-1000000</f>
        <v>5500000</v>
      </c>
      <c r="AE44" s="225">
        <f t="shared" si="21"/>
        <v>2.6506024096385543</v>
      </c>
      <c r="AF44" s="217">
        <f>$AF$42</f>
        <v>5</v>
      </c>
      <c r="AG44" s="214">
        <f>VLOOKUP(Z44,Control!$AS$36:$AV$53,4,FALSE)</f>
        <v>19.3</v>
      </c>
      <c r="AH44" s="227">
        <f>AF44*VLOOKUP($Y44,Control!$F$75:$H$87,3,FALSE)/$AB44</f>
        <v>1.0843373493975903</v>
      </c>
      <c r="AI44" s="743">
        <f>$AG44*Control!$D$77</f>
        <v>0.25159797260273975</v>
      </c>
      <c r="AJ44" s="227">
        <f>IF(((AB44-VLOOKUP(Y44,Control!$J$76:$K$80,2,FALSE))/Control!$D$85)&lt;=0,0,ROUNDUP(((AB44-VLOOKUP(Y44,Control!$J$76:$K$80,2,FALSE))/Control!$D$85),0)*Control!$H$90/AB44)</f>
        <v>2.6746987951807228</v>
      </c>
      <c r="AK44" s="227">
        <f>IF(I44="Corpus Christi",Control!$D$76,0)</f>
        <v>0</v>
      </c>
      <c r="AL44" s="227">
        <v>0</v>
      </c>
      <c r="AM44" s="227">
        <f>Control!$D$78</f>
        <v>0</v>
      </c>
      <c r="AN44" s="227">
        <f>Control!$D$79</f>
        <v>6.7299999999999999E-2</v>
      </c>
      <c r="AO44" s="227">
        <f>IF(INDEX(Control!$Q$3:$S$62,MATCH($Z44,Control!$Q$3:$Q$62,0),MATCH(AO$8,Control!$Q$3:$S$3,0))=1,Control!$D$81*Control!$E$81,0)</f>
        <v>0.2</v>
      </c>
      <c r="AP44" s="227"/>
      <c r="AQ44" s="227">
        <f>IF(AND(Y44="VLCC",Control!$K$79=1200000),Control!$D$83/AB44,0)</f>
        <v>0</v>
      </c>
      <c r="AR44" s="227"/>
      <c r="AS44" s="225">
        <f t="shared" si="60"/>
        <v>4.2779341171810534</v>
      </c>
      <c r="AT44" s="225">
        <f t="shared" si="23"/>
        <v>6.9285365268196077</v>
      </c>
      <c r="AU44" s="225">
        <f t="shared" si="24"/>
        <v>0.58000000000000007</v>
      </c>
      <c r="AV44" s="657">
        <f t="shared" ref="AV44:AV46" si="62">-HLOOKUP(EOMONTH(BD44,0),$AZ$3:$BE$6,3,FALSE)</f>
        <v>0</v>
      </c>
      <c r="AW44" s="507">
        <f t="shared" si="25"/>
        <v>5.8585365268196075</v>
      </c>
      <c r="AY44" s="220"/>
      <c r="AZ44" s="229">
        <f>+INDEX('[1]Transit Time'!$A:$DZ,MATCH(V44,'[1]Transit Time'!$A:$A,0),MATCH(Z44,'[1]Transit Time'!$A$1:$DZ$1,0))</f>
        <v>44</v>
      </c>
      <c r="BA44" s="230">
        <f t="shared" si="26"/>
        <v>45728</v>
      </c>
      <c r="BB44" s="230">
        <f t="shared" si="32"/>
        <v>45730</v>
      </c>
      <c r="BC44" s="505" t="s">
        <v>157</v>
      </c>
      <c r="BD44" s="592">
        <f t="shared" ref="BD44" si="63">EOMONTH(BB44,0)</f>
        <v>45747</v>
      </c>
      <c r="BE44" s="699">
        <f t="shared" ref="BE44" si="64">BD44</f>
        <v>45747</v>
      </c>
      <c r="BF44" s="735">
        <f t="shared" si="38"/>
        <v>13854647.5</v>
      </c>
    </row>
    <row r="45" spans="1:58" ht="18" customHeight="1" x14ac:dyDescent="0.35">
      <c r="A45" s="695">
        <f t="shared" si="29"/>
        <v>45675</v>
      </c>
      <c r="B45" s="163">
        <f>IF(ISBLANK(A45),"",A45+2)</f>
        <v>45677</v>
      </c>
      <c r="D45" s="153">
        <f>IF(AJ45=0,0,VLOOKUP(Y45,Control!$G$41:$J$44,4,FALSE))</f>
        <v>9</v>
      </c>
      <c r="E45" s="518">
        <f t="shared" si="19"/>
        <v>45685</v>
      </c>
      <c r="F45"/>
      <c r="G45"/>
      <c r="H45"/>
      <c r="I45"/>
      <c r="J45"/>
      <c r="K45"/>
      <c r="L45"/>
      <c r="M45"/>
      <c r="N45"/>
      <c r="O45"/>
      <c r="P45"/>
      <c r="Q45"/>
      <c r="T45" s="138">
        <f>INDEX('[2]Flat Rates 2024'!$A:$DZ,MATCH(V45,'[2]Flat Rates 2024'!$A:$A,0),MATCH(Z45,'[2]Flat Rates 2024'!$A$1:$DZ$1,0))</f>
        <v>0</v>
      </c>
      <c r="U45" s="138">
        <f>INDEX(Control!$E$17:$J$21,MATCH(Y45,Control!$E$17:$E$21,0),MATCH(V45,Control!$E$17:$J$17,0))</f>
        <v>0.5</v>
      </c>
      <c r="V45" s="138" t="s">
        <v>45</v>
      </c>
      <c r="W45" s="526">
        <f>INDEX(Vessel_Minimum_MT,MATCH(Y45,Control!$E$11:$E$15,0),MATCH(V45,Control!$E$11:$J$11,0))</f>
        <v>270000</v>
      </c>
      <c r="X45" s="527">
        <f>AB45/Control!$D$84</f>
        <v>267073.15503432491</v>
      </c>
      <c r="Y45" s="147" t="s">
        <v>25</v>
      </c>
      <c r="Z45" s="53" t="s">
        <v>114</v>
      </c>
      <c r="AA45" s="142" t="str">
        <f>IF(Z45=V45,"",CONCATENATE(CONCATENATE(VLOOKUP(V45,Zones,2,FALSE),"/",VLOOKUP(Z45,Zones,2,FALSE))))</f>
        <v>USGC/Singapore</v>
      </c>
      <c r="AB45" s="54">
        <f>AB44</f>
        <v>2075000</v>
      </c>
      <c r="AC45" s="141">
        <v>1001</v>
      </c>
      <c r="AD45" s="202">
        <f>AD44</f>
        <v>5500000</v>
      </c>
      <c r="AE45" s="149">
        <f t="shared" si="21"/>
        <v>2.6506024096385543</v>
      </c>
      <c r="AF45" s="767">
        <v>5</v>
      </c>
      <c r="AG45" s="141">
        <f>VLOOKUP(Z45,Control!$AS$36:$AV$53,4,FALSE)</f>
        <v>19.3</v>
      </c>
      <c r="AH45" s="143">
        <f>AF45*VLOOKUP($Y45,Control!$F$75:$H$87,3,FALSE)/$AB45</f>
        <v>1.0843373493975903</v>
      </c>
      <c r="AI45" s="742">
        <f>$AG45*Control!$D$77</f>
        <v>0.25159797260273975</v>
      </c>
      <c r="AJ45" s="143">
        <f>IF(((AB45-VLOOKUP(Y45,Control!$J$76:$K$82,2,FALSE))/Control!$D$85)&lt;=0,0,ROUNDUP(((AB45-VLOOKUP(Y45,Control!$J$76:$K$82,2,FALSE))/Control!$D$85),0)*Control!$H$90/AB45)</f>
        <v>2.6746987951807228</v>
      </c>
      <c r="AK45" s="143">
        <f>IF(I45="Corpus Christi",Control!$D$76,0)</f>
        <v>0</v>
      </c>
      <c r="AL45" s="143">
        <v>0</v>
      </c>
      <c r="AM45" s="143">
        <f>Control!$D$78</f>
        <v>0</v>
      </c>
      <c r="AN45" s="143">
        <f>Control!$D$79</f>
        <v>6.7299999999999999E-2</v>
      </c>
      <c r="AO45" s="143">
        <f>IF(INDEX(Control!$Q$3:$S$62,MATCH($Z45,Control!$Q$3:$Q$62,0),MATCH(AO$8,Control!$Q$3:$S$3,0))=1,Control!$D$81*Control!$E$81,0)</f>
        <v>0.2</v>
      </c>
      <c r="AP45" s="143"/>
      <c r="AQ45" s="143">
        <f>IF(AND(Y45="VLCC",Control!$K$79=1200000),Control!$D$83/AB45,0)</f>
        <v>0</v>
      </c>
      <c r="AR45" s="143"/>
      <c r="AS45" s="149">
        <f>SUM(AH45:AR45)</f>
        <v>4.2779341171810534</v>
      </c>
      <c r="AT45" s="199">
        <f t="shared" si="23"/>
        <v>6.9285365268196077</v>
      </c>
      <c r="AU45" s="199">
        <f t="shared" si="24"/>
        <v>0.32</v>
      </c>
      <c r="AV45" s="648">
        <f t="shared" si="31"/>
        <v>0.5</v>
      </c>
      <c r="AW45" s="499">
        <f t="shared" si="25"/>
        <v>6.0985365268196077</v>
      </c>
      <c r="AZ45" s="153">
        <f>+INDEX('[1]Transit Time'!$A:$DZ,MATCH(V45,'[1]Transit Time'!$A:$A,0),MATCH(Z45,'[1]Transit Time'!$A$1:$DZ$1,0))</f>
        <v>44</v>
      </c>
      <c r="BA45" s="163">
        <f t="shared" si="26"/>
        <v>45728</v>
      </c>
      <c r="BB45" s="163">
        <f t="shared" si="32"/>
        <v>45730</v>
      </c>
      <c r="BC45" s="506" t="str">
        <f t="shared" si="33"/>
        <v>Dubai</v>
      </c>
      <c r="BD45" s="490">
        <f t="shared" ref="BD45" si="65">IF($AZ$7=0,IF(BC45="ICE Brent",EOMONTH(BB45,2),EOMONTH(BB45,0)),IF(BC45="ICE Brent",EOMONTH(BB45,1),EOMONTH(BB45,-1)))</f>
        <v>45716</v>
      </c>
      <c r="BE45" s="696">
        <f t="shared" ref="BE45" si="66">IF($AZ$7=1,EOMONTH(BB45,-1),EOMONTH(BB45,0))</f>
        <v>45716</v>
      </c>
      <c r="BF45" s="735">
        <f t="shared" si="38"/>
        <v>13854647.5</v>
      </c>
    </row>
    <row r="46" spans="1:58" ht="18" customHeight="1" x14ac:dyDescent="0.35">
      <c r="A46" s="697">
        <f t="shared" si="29"/>
        <v>45675</v>
      </c>
      <c r="B46" s="230">
        <f>IF(ISBLANK(A46),"",A46+2)</f>
        <v>45677</v>
      </c>
      <c r="D46" s="229">
        <f>IF(AJ46=0,0,VLOOKUP(Y46,Control!$G$41:$J$44,4,FALSE))</f>
        <v>9</v>
      </c>
      <c r="E46" s="519">
        <f t="shared" si="19"/>
        <v>45685</v>
      </c>
      <c r="F46"/>
      <c r="G46"/>
      <c r="H46"/>
      <c r="I46"/>
      <c r="J46"/>
      <c r="K46"/>
      <c r="L46"/>
      <c r="M46"/>
      <c r="N46"/>
      <c r="O46"/>
      <c r="P46"/>
      <c r="Q46"/>
      <c r="T46" s="220">
        <f>INDEX('[2]Flat Rates 2024'!$A:$DZ,MATCH(V46,'[2]Flat Rates 2024'!$A:$A,0),MATCH(Z46,'[2]Flat Rates 2024'!$A$1:$DZ$1,0))</f>
        <v>0</v>
      </c>
      <c r="U46" s="220">
        <f>INDEX(Control!$E$17:$J$21,MATCH(Y46,Control!$E$17:$E$21,0),MATCH(V46,Control!$E$17:$J$17,0))</f>
        <v>0.5</v>
      </c>
      <c r="V46" s="220" t="s">
        <v>45</v>
      </c>
      <c r="W46" s="524">
        <f>INDEX(Vessel_Minimum_MT,MATCH(Y46,Control!$E$11:$E$15,0),MATCH(V46,Control!$E$11:$J$11,0))</f>
        <v>270000</v>
      </c>
      <c r="X46" s="525">
        <f>AB46/Control!$D$84</f>
        <v>267073.15503432491</v>
      </c>
      <c r="Y46" s="215" t="s">
        <v>25</v>
      </c>
      <c r="Z46" s="573" t="s">
        <v>86</v>
      </c>
      <c r="AA46" s="212" t="str">
        <f>IF(Z46=V46,"",CONCATENATE(CONCATENATE(VLOOKUP(V46,Zones,2,FALSE),"/",VLOOKUP(Z46,Zones,2,FALSE))))</f>
        <v>USGC/INDIA</v>
      </c>
      <c r="AB46" s="214">
        <f>$AB$42</f>
        <v>2075000</v>
      </c>
      <c r="AC46" s="214">
        <v>1001</v>
      </c>
      <c r="AD46" s="224">
        <f>AD44</f>
        <v>5500000</v>
      </c>
      <c r="AE46" s="225">
        <f t="shared" si="21"/>
        <v>2.6506024096385543</v>
      </c>
      <c r="AF46" s="217">
        <f>$AF$42</f>
        <v>5</v>
      </c>
      <c r="AG46" s="214">
        <f>VLOOKUP(Z46,Control!$AS$36:$AV$53,4,FALSE)-5</f>
        <v>11.3</v>
      </c>
      <c r="AH46" s="227">
        <f>AF46*VLOOKUP($Y46,Control!$F$75:$H$87,3,FALSE)/$AB46</f>
        <v>1.0843373493975903</v>
      </c>
      <c r="AI46" s="741">
        <f>$AG46*Control!$D$77</f>
        <v>0.1473086575342466</v>
      </c>
      <c r="AJ46" s="227">
        <f>IF(((AB46-VLOOKUP(Y46,Control!$J$76:$K$80,2,FALSE))/Control!$D$85)&lt;=0,0,ROUNDUP(((AB46-VLOOKUP(Y46,Control!$J$76:$K$80,2,FALSE))/Control!$D$85),0)*Control!$H$90/AB46)</f>
        <v>2.6746987951807228</v>
      </c>
      <c r="AK46" s="227">
        <f>IF(I46="Corpus Christi",Control!$D$76,0)</f>
        <v>0</v>
      </c>
      <c r="AL46" s="227">
        <v>0</v>
      </c>
      <c r="AM46" s="227">
        <f>Control!$D$78</f>
        <v>0</v>
      </c>
      <c r="AN46" s="227">
        <f>Control!$D$79</f>
        <v>6.7299999999999999E-2</v>
      </c>
      <c r="AO46" s="227">
        <f>IF(INDEX(Control!$Q$3:$S$62,MATCH($Z46,Control!$Q$3:$Q$62,0),MATCH(AO$8,Control!$Q$3:$S$3,0))=1,Control!$D$81*Control!$E$81,0)</f>
        <v>0.2</v>
      </c>
      <c r="AP46" s="227"/>
      <c r="AQ46" s="227">
        <f>IF(AND(Y46="VLCC",Control!$K$79=1200000),Control!$D$83/AB46,0)</f>
        <v>0</v>
      </c>
      <c r="AR46" s="227"/>
      <c r="AS46" s="225">
        <f>SUM(AH46:AR46)</f>
        <v>4.1736448021125598</v>
      </c>
      <c r="AT46" s="225">
        <f t="shared" si="23"/>
        <v>6.8242472117511142</v>
      </c>
      <c r="AU46" s="225">
        <f t="shared" si="24"/>
        <v>0.32</v>
      </c>
      <c r="AV46" s="589">
        <f t="shared" si="62"/>
        <v>-0.13</v>
      </c>
      <c r="AW46" s="508">
        <f t="shared" si="25"/>
        <v>5.3642472117511142</v>
      </c>
      <c r="AY46" s="220"/>
      <c r="AZ46" s="229">
        <f>+INDEX('[1]Transit Time'!$A:$DZ,MATCH(V46,'[1]Transit Time'!$A:$A,0),MATCH(Z46,'[1]Transit Time'!$A$1:$DZ$1,0))</f>
        <v>41</v>
      </c>
      <c r="BA46" s="230">
        <f t="shared" si="26"/>
        <v>45725</v>
      </c>
      <c r="BB46" s="230">
        <f t="shared" si="32"/>
        <v>45727</v>
      </c>
      <c r="BC46" s="505" t="s">
        <v>157</v>
      </c>
      <c r="BD46" s="489">
        <f t="shared" si="27"/>
        <v>45716</v>
      </c>
      <c r="BE46" s="698">
        <f t="shared" si="28"/>
        <v>45716</v>
      </c>
      <c r="BF46" s="735">
        <f t="shared" si="38"/>
        <v>13854647.5</v>
      </c>
    </row>
    <row r="47" spans="1:58" ht="18" customHeight="1" x14ac:dyDescent="0.35">
      <c r="A47" s="340">
        <f t="shared" si="29"/>
        <v>45675</v>
      </c>
      <c r="B47" s="341">
        <f t="shared" ref="B47" si="67">IF(ISBLANK(A47),"",A47+2)</f>
        <v>45677</v>
      </c>
      <c r="C47" s="275"/>
      <c r="D47" s="359">
        <f>IF(AJ47=0,0,VLOOKUP(Y47,Control!$G$41:$J$44,4,FALSE))</f>
        <v>9</v>
      </c>
      <c r="E47" s="516">
        <f t="shared" si="19"/>
        <v>45685</v>
      </c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351" t="e">
        <f>INDEX('[2]Flat Rates 2024'!$A:$DZ,MATCH(V47,'[2]Flat Rates 2024'!$A:$A,0),MATCH(Z47,'[2]Flat Rates 2024'!$A$1:$DZ$1,0))</f>
        <v>#N/A</v>
      </c>
      <c r="U47" s="351">
        <f>INDEX(Control!$E$17:$J$21,MATCH(Y47,Control!$E$17:$E$21,0),MATCH(V47,Control!$E$17:$J$17,0))</f>
        <v>0.5</v>
      </c>
      <c r="V47" s="351" t="s">
        <v>45</v>
      </c>
      <c r="W47" s="344">
        <f>INDEX(Vessel_Minimum_MT,MATCH(Y47,Control!$E$11:$E$15,0),MATCH(V47,Control!$E$11:$J$11,0))</f>
        <v>270000</v>
      </c>
      <c r="X47" s="352">
        <f>AB47/Control!$D$84</f>
        <v>267073.15503432491</v>
      </c>
      <c r="Y47" s="346" t="s">
        <v>25</v>
      </c>
      <c r="Z47" s="682" t="s">
        <v>43</v>
      </c>
      <c r="AA47" s="343" t="str">
        <f>AA42</f>
        <v>USGC/KOREA</v>
      </c>
      <c r="AB47" s="344">
        <f>$AB$42</f>
        <v>2075000</v>
      </c>
      <c r="AC47" s="345">
        <v>1001</v>
      </c>
      <c r="AD47" s="683">
        <f>AD42-300000</f>
        <v>6200000</v>
      </c>
      <c r="AE47" s="355">
        <f t="shared" si="21"/>
        <v>2.9879518072289155</v>
      </c>
      <c r="AF47" s="768">
        <f>$AF$42</f>
        <v>5</v>
      </c>
      <c r="AG47" s="345">
        <f>VLOOKUP(Z47,Control!$AS$36:$AV$53,4,FALSE)-5</f>
        <v>16.3</v>
      </c>
      <c r="AH47" s="357">
        <f>AF47*VLOOKUP($Y47,Control!$F$75:$H$87,3,FALSE)/$AB47</f>
        <v>1.0843373493975903</v>
      </c>
      <c r="AI47" s="742">
        <f>$AG47*Control!$D$77</f>
        <v>0.21248947945205482</v>
      </c>
      <c r="AJ47" s="357">
        <f>IF(((AB47-VLOOKUP(Y47,Control!$J$76:$K$80,2,FALSE))/Control!$D$85)&lt;=0,0,ROUNDUP(((AB47-VLOOKUP(Y47,Control!$J$76:$K$80,2,FALSE))/Control!$D$85),0)*Control!$H$90/AB47)</f>
        <v>2.6746987951807228</v>
      </c>
      <c r="AK47" s="357">
        <f>IF(I47="Corpus Christi",Control!$D$76,0)</f>
        <v>0</v>
      </c>
      <c r="AL47" s="357">
        <v>0</v>
      </c>
      <c r="AM47" s="357">
        <f>Control!$D$78</f>
        <v>0</v>
      </c>
      <c r="AN47" s="357">
        <f>Control!$D$79</f>
        <v>6.7299999999999999E-2</v>
      </c>
      <c r="AO47" s="357"/>
      <c r="AP47" s="357"/>
      <c r="AQ47" s="357">
        <f>IF(AND(Y47="VLCC",Control!$K$79=1200000),Control!$D$83/AB47,0)</f>
        <v>0</v>
      </c>
      <c r="AR47" s="357"/>
      <c r="AS47" s="355">
        <f t="shared" si="60"/>
        <v>4.0388256240303679</v>
      </c>
      <c r="AT47" s="684">
        <f t="shared" si="23"/>
        <v>7.0267774312592834</v>
      </c>
      <c r="AU47" s="684">
        <f t="shared" si="24"/>
        <v>0.32</v>
      </c>
      <c r="AV47" s="684">
        <f>-HLOOKUP(EOMONTH(BD47,0),$AZ$3:$BE$6,3,FALSE)</f>
        <v>-0.13</v>
      </c>
      <c r="AW47" s="688">
        <f t="shared" si="25"/>
        <v>5.5667774312592835</v>
      </c>
      <c r="AX47" s="350"/>
      <c r="AY47" s="350"/>
      <c r="AZ47" s="359">
        <v>49</v>
      </c>
      <c r="BA47" s="341">
        <f t="shared" si="26"/>
        <v>45733</v>
      </c>
      <c r="BB47" s="341">
        <f t="shared" si="32"/>
        <v>45735</v>
      </c>
      <c r="BC47" s="758" t="s">
        <v>157</v>
      </c>
      <c r="BD47" s="700">
        <f t="shared" si="27"/>
        <v>45716</v>
      </c>
      <c r="BE47" s="492">
        <f t="shared" si="28"/>
        <v>45716</v>
      </c>
      <c r="BF47" s="735">
        <f t="shared" si="38"/>
        <v>14139647.5</v>
      </c>
    </row>
    <row r="48" spans="1:58" ht="19" thickBot="1" x14ac:dyDescent="0.5">
      <c r="A48" s="439"/>
      <c r="B48" s="439"/>
      <c r="D48"/>
      <c r="E48" s="520"/>
      <c r="F48"/>
      <c r="G48"/>
      <c r="H48"/>
      <c r="I48"/>
      <c r="J48"/>
      <c r="K48"/>
      <c r="L48"/>
      <c r="M48"/>
      <c r="N48"/>
      <c r="O48"/>
      <c r="P48"/>
      <c r="Q48"/>
      <c r="T48" s="410"/>
      <c r="U48" s="410"/>
      <c r="V48" s="410"/>
      <c r="W48" s="410"/>
      <c r="X48" s="410"/>
      <c r="Y48" s="1002" t="s">
        <v>219</v>
      </c>
      <c r="Z48" s="1003"/>
      <c r="AA48" s="1003"/>
      <c r="AB48" s="1003"/>
      <c r="AC48" s="1003"/>
      <c r="AD48" s="1003"/>
      <c r="AE48" s="1003"/>
      <c r="AF48" s="1003"/>
      <c r="AG48" s="1003"/>
      <c r="AH48" s="1003"/>
      <c r="AI48" s="1003"/>
      <c r="AJ48" s="1003"/>
      <c r="AK48" s="1003"/>
      <c r="AL48" s="1003"/>
      <c r="AM48" s="1003"/>
      <c r="AN48" s="1003"/>
      <c r="AO48" s="1003"/>
      <c r="AP48" s="1003"/>
      <c r="AQ48" s="1003"/>
      <c r="AR48" s="1003"/>
      <c r="AS48" s="1003"/>
      <c r="AT48" s="1003"/>
      <c r="AU48" s="1003"/>
      <c r="AV48" s="1003"/>
      <c r="AW48" s="1004"/>
      <c r="AZ48" s="693">
        <v>1</v>
      </c>
      <c r="BA48" s="583" t="s">
        <v>341</v>
      </c>
      <c r="BB48" s="76"/>
      <c r="BC48" s="76">
        <v>1</v>
      </c>
      <c r="BD48"/>
      <c r="BE48"/>
    </row>
    <row r="49" spans="1:68" ht="36" customHeight="1" thickBot="1" x14ac:dyDescent="0.4">
      <c r="A49" s="1015" t="s">
        <v>167</v>
      </c>
      <c r="B49" s="1016"/>
      <c r="D49" s="137" t="str">
        <f>D23</f>
        <v>STS Time</v>
      </c>
      <c r="E49" s="521" t="str">
        <f>E23</f>
        <v>Depart</v>
      </c>
      <c r="F49"/>
      <c r="G49"/>
      <c r="H49"/>
      <c r="I49"/>
      <c r="J49"/>
      <c r="K49"/>
      <c r="L49"/>
      <c r="M49"/>
      <c r="N49"/>
      <c r="O49"/>
      <c r="P49"/>
      <c r="Q49"/>
      <c r="T49" s="120" t="s">
        <v>172</v>
      </c>
      <c r="U49" s="120" t="s">
        <v>2</v>
      </c>
      <c r="V49" s="120" t="s">
        <v>173</v>
      </c>
      <c r="W49" s="152" t="str">
        <f>$W$8</f>
        <v>Vessel MT</v>
      </c>
      <c r="X49" s="120" t="s">
        <v>175</v>
      </c>
      <c r="Y49" s="571" t="s">
        <v>176</v>
      </c>
      <c r="Z49" s="571" t="s">
        <v>177</v>
      </c>
      <c r="AA49" s="571" t="s">
        <v>178</v>
      </c>
      <c r="AB49" s="571" t="s">
        <v>200</v>
      </c>
      <c r="AC49" s="578" t="str">
        <f>$AC$8</f>
        <v xml:space="preserve">Current WS Rate </v>
      </c>
      <c r="AD49" s="128" t="s">
        <v>202</v>
      </c>
      <c r="AE49" s="579" t="s">
        <v>182</v>
      </c>
      <c r="AF49" s="580" t="s">
        <v>183</v>
      </c>
      <c r="AG49" s="578" t="s">
        <v>279</v>
      </c>
      <c r="AH49" s="580" t="s">
        <v>184</v>
      </c>
      <c r="AI49" s="580" t="s">
        <v>140</v>
      </c>
      <c r="AJ49" s="580" t="str">
        <f>AJ8</f>
        <v>STS</v>
      </c>
      <c r="AK49" s="580" t="s">
        <v>186</v>
      </c>
      <c r="AL49" s="580" t="s">
        <v>187</v>
      </c>
      <c r="AM49" s="580" t="s">
        <v>141</v>
      </c>
      <c r="AN49" s="580" t="s">
        <v>188</v>
      </c>
      <c r="AO49" s="580" t="s">
        <v>17</v>
      </c>
      <c r="AP49" s="580" t="s">
        <v>18</v>
      </c>
      <c r="AQ49" s="580" t="s">
        <v>189</v>
      </c>
      <c r="AR49" s="580" t="s">
        <v>152</v>
      </c>
      <c r="AS49" s="579" t="s">
        <v>208</v>
      </c>
      <c r="AT49" s="579" t="s">
        <v>209</v>
      </c>
      <c r="AU49" s="579" t="s">
        <v>210</v>
      </c>
      <c r="AV49" s="579" t="str">
        <f>AV8</f>
        <v>Basis</v>
      </c>
      <c r="AW49" s="137" t="s">
        <v>211</v>
      </c>
      <c r="AZ49" s="137" t="s">
        <v>195</v>
      </c>
      <c r="BA49" s="522" t="s">
        <v>196</v>
      </c>
      <c r="BB49" s="522"/>
      <c r="BC49" s="487" t="str">
        <f>BC23</f>
        <v>Basis</v>
      </c>
      <c r="BD49" s="581" t="str">
        <f>BD8</f>
        <v>Pricing Month</v>
      </c>
      <c r="BE49" s="581" t="str">
        <f>BE8</f>
        <v>Delivery Month</v>
      </c>
      <c r="BG49"/>
      <c r="BO49"/>
      <c r="BP49"/>
    </row>
    <row r="50" spans="1:68" ht="18" customHeight="1" thickBot="1" x14ac:dyDescent="0.4">
      <c r="A50" s="82">
        <f>A8</f>
        <v>45675</v>
      </c>
      <c r="B50" s="82">
        <f>B8</f>
        <v>45677</v>
      </c>
      <c r="D50" s="153">
        <f>IF(AJ50=0,0,VLOOKUP(Y50,Control!$G$41:$J$44,4,FALSE))</f>
        <v>0</v>
      </c>
      <c r="E50" s="518">
        <f t="shared" ref="E50:E64" si="68">AVERAGE(A50:B50)+D50</f>
        <v>45676</v>
      </c>
      <c r="F50"/>
      <c r="G50"/>
      <c r="H50"/>
      <c r="I50"/>
      <c r="J50"/>
      <c r="K50"/>
      <c r="L50"/>
      <c r="M50"/>
      <c r="N50"/>
      <c r="O50"/>
      <c r="P50"/>
      <c r="Q50"/>
      <c r="T50" s="140">
        <f>INDEX('[2]Flat Rates 2024'!$A:$DZ,MATCH(V50,'[2]Flat Rates 2024'!$A:$A,0),MATCH(Z50,'[2]Flat Rates 2024'!$A$1:$DZ$1,0))</f>
        <v>21.02</v>
      </c>
      <c r="U50" s="138">
        <f>INDEX(Control!$E$17:$J$21,MATCH(Y50,Control!$E$17:$E$21,0),MATCH(V50,Control!$E$17:$J$17,0))</f>
        <v>0</v>
      </c>
      <c r="V50" s="138" t="s">
        <v>45</v>
      </c>
      <c r="W50" s="116">
        <f>INDEX(Vessel_Minimum_MT,MATCH(Y50,Control!$E$11:$E$15,0),MATCH(V50,Control!$E$11:$J$11,0))</f>
        <v>70000</v>
      </c>
      <c r="X50" s="140">
        <f>AB50/Control!$D$84</f>
        <v>90096.96796338672</v>
      </c>
      <c r="Y50" s="48" t="s">
        <v>23</v>
      </c>
      <c r="Z50" s="639" t="s">
        <v>42</v>
      </c>
      <c r="AA50" s="142" t="str">
        <f t="shared" ref="AA50:AA55" si="69">IF(Z50=V50,"",CONCATENATE(CONCATENATE(VLOOKUP(V50,Zones,2,FALSE),"/",VLOOKUP(Z50,Zones,2,FALSE))))</f>
        <v>USGC/Nsea</v>
      </c>
      <c r="AB50" s="379">
        <v>700000</v>
      </c>
      <c r="AC50" s="141">
        <v>70</v>
      </c>
      <c r="AD50" s="654">
        <v>150</v>
      </c>
      <c r="AE50" s="149">
        <f>IF(AC50&gt;1000,IF(AD50=0,AC50,AD50)/AB50,((W50*T50*(IF(AD50=0,AC50,AD50)/100))+IF(X50&lt;W50,0,(X50-W50)*T50*IF(AD50=0,AC50,AD50)/100*U50))/AB50)</f>
        <v>3.153</v>
      </c>
      <c r="AF50" s="141"/>
      <c r="AG50" s="155">
        <f>IF(AND($AZ$48=1,VLOOKUP(Z50,Control!$AS$37:$AV$68,4,FALSE)&lt;0),0,VLOOKUP(Z50,Control!$AS$37:$AV$68,4,FALSE))</f>
        <v>0</v>
      </c>
      <c r="AH50" s="143">
        <f>AF50*VLOOKUP($Y50,Control!$F$75:$H$87,3,FALSE)/$AB50</f>
        <v>0</v>
      </c>
      <c r="AI50" s="144">
        <f>$AG50*Control!$D$77</f>
        <v>0</v>
      </c>
      <c r="AJ50" s="143">
        <f>IF(((AB50-VLOOKUP(Y50,Control!$J$76:$K$80,2,FALSE))/Control!$D$85)&lt;=0,0,ROUNDUP(((AB50-VLOOKUP(Y50,Control!$J$76:$K$80,2,FALSE))/Control!$D$85),0)*Control!$H$90/AB50)</f>
        <v>0</v>
      </c>
      <c r="AK50" s="143">
        <f>IF(I50="Corpus Christi",Control!$D$76,0)</f>
        <v>0</v>
      </c>
      <c r="AL50" s="143">
        <v>0</v>
      </c>
      <c r="AM50" s="143">
        <f>Control!$D$78</f>
        <v>0</v>
      </c>
      <c r="AN50" s="143"/>
      <c r="AO50" s="143">
        <f>IF(INDEX(Control!$Q$3:$S$62,MATCH($Z50,Control!$Q$3:$Q$62,0),MATCH(AO$8,Control!$Q$3:$S$3,0))=1,Control!$D$81*Control!$E$81,0)</f>
        <v>0</v>
      </c>
      <c r="AP50" s="143">
        <f>IF(INDEX(Control!$Q$3:$S$62,MATCH($Z50,Control!$Q$3:$Q$62,0),MATCH(AP$8,Control!$Q$3:$S$3,0))=1,INDEX(Control!$AK$3:$AO$69,MATCH(FORTIES!Z50,Control!$AK$3:$AK$29,0),MATCH(FORTIES!Y50,Control!$AK$3:$AO$3,0))/AB50*1000,0)</f>
        <v>0</v>
      </c>
      <c r="AQ50" s="143">
        <f>93980/AB50</f>
        <v>0.13425714285714285</v>
      </c>
      <c r="AR50" s="143"/>
      <c r="AS50" s="149">
        <f t="shared" ref="AS50:AS51" si="70">SUM(AH50:AR50)</f>
        <v>0.13425714285714285</v>
      </c>
      <c r="AT50" s="149">
        <f t="shared" ref="AT50:AT64" si="71">+R50+AE50+AS50</f>
        <v>3.2872571428571429</v>
      </c>
      <c r="AU50" s="98">
        <f t="shared" ref="AU50:AU64" si="72">IF((MONTH(A50)=MONTH(BE50)),0,IF(((MONTH(BE50))-MONTH(A50))+12*YEAR(BD50)-YEAR(A50)&gt;1,SUMIFS($BA$4:$BD$4,$BA$3:$BD$3,"&lt;="&amp;EOMONTH(BD50,-1),$BA$3:$BD$3,"&gt;="&amp;EOMONTH(A50,0)),VLOOKUP("Spreads",$AZ$3:$BD$4,MATCH(EOMONTH(A50,0),$AZ$3:$BD$3,0))))</f>
        <v>0.32</v>
      </c>
      <c r="AV50" s="149">
        <f t="shared" ref="AV50:AV64" si="73">-HLOOKUP(EOMONTH(BD50,0),$BA$3:$BD$6,3,FALSE)</f>
        <v>-0.13</v>
      </c>
      <c r="AW50" s="638">
        <f t="shared" ref="AW50:AW64" si="74">$Y$3+AT50+AU50+AV50</f>
        <v>1.8272571428571429</v>
      </c>
      <c r="AZ50" s="153">
        <f>+INDEX('[1]Transit Time'!$A:$DZ,MATCH(V50,'[1]Transit Time'!$A:$A,0),MATCH(Z50,'[1]Transit Time'!$A$1:$DZ$1,0))</f>
        <v>17</v>
      </c>
      <c r="BA50" s="163">
        <f>IF(ISBLANK(E50),"",E50+$AZ50+D50)</f>
        <v>45693</v>
      </c>
      <c r="BB50" s="163">
        <f t="shared" ref="BB50:BB65" si="75">BA50+2</f>
        <v>45695</v>
      </c>
      <c r="BC50" s="163" t="s">
        <v>157</v>
      </c>
      <c r="BD50" s="490">
        <f t="shared" ref="BD50:BD65" si="76">EOMONTH(BB50,0)</f>
        <v>45716</v>
      </c>
      <c r="BE50" s="490">
        <f t="shared" ref="BE50:BE65" si="77">BD50</f>
        <v>45716</v>
      </c>
      <c r="BF50" s="735">
        <f t="shared" si="38"/>
        <v>2301080</v>
      </c>
      <c r="BG50"/>
      <c r="BO50"/>
      <c r="BP50"/>
    </row>
    <row r="51" spans="1:68" ht="18" customHeight="1" x14ac:dyDescent="0.35">
      <c r="A51" s="230">
        <f t="shared" ref="A51:A64" si="78">+$A$9</f>
        <v>45675</v>
      </c>
      <c r="B51" s="230">
        <f t="shared" ref="B51:B64" si="79">IF(ISBLANK(A51),"",A51+2)</f>
        <v>45677</v>
      </c>
      <c r="D51" s="229">
        <f>IF(AJ51=0,0,VLOOKUP(Y51,Control!$G$41:$J$44,4,FALSE))</f>
        <v>0</v>
      </c>
      <c r="E51" s="519">
        <f t="shared" si="68"/>
        <v>45676</v>
      </c>
      <c r="F51"/>
      <c r="G51"/>
      <c r="H51"/>
      <c r="I51"/>
      <c r="J51"/>
      <c r="K51"/>
      <c r="L51"/>
      <c r="M51"/>
      <c r="N51"/>
      <c r="O51"/>
      <c r="P51"/>
      <c r="Q51"/>
      <c r="T51" s="478">
        <f>INDEX('[2]Flat Rates 2024'!$A:$DZ,MATCH(V51,'[2]Flat Rates 2024'!$A:$A,0),MATCH(Z51,'[2]Flat Rates 2024'!$A$1:$DZ$1,0))</f>
        <v>21.753000000000004</v>
      </c>
      <c r="U51" s="220">
        <f>INDEX(Control!$E$17:$J$21,MATCH(Y51,Control!$E$17:$E$21,0),MATCH(V51,Control!$E$17:$J$17,0))</f>
        <v>0</v>
      </c>
      <c r="V51" s="220" t="s">
        <v>45</v>
      </c>
      <c r="W51" s="213">
        <f>INDEX(Vessel_Minimum_MT,MATCH(Y51,Control!$E$11:$E$15,0),MATCH(V51,Control!$E$11:$J$11,0))</f>
        <v>70000</v>
      </c>
      <c r="X51" s="222">
        <f>AB51/Control!$D$84</f>
        <v>90096.96796338672</v>
      </c>
      <c r="Y51" s="215" t="s">
        <v>23</v>
      </c>
      <c r="Z51" s="212" t="s">
        <v>47</v>
      </c>
      <c r="AA51" s="212" t="str">
        <f t="shared" si="69"/>
        <v>USGC/Nsea</v>
      </c>
      <c r="AB51" s="312">
        <f>AB50</f>
        <v>700000</v>
      </c>
      <c r="AC51" s="214">
        <v>70</v>
      </c>
      <c r="AD51" s="262">
        <f>AD50+5</f>
        <v>155</v>
      </c>
      <c r="AE51" s="225">
        <f t="shared" ref="AE51:AE59" si="80">IF(AC51&gt;1000,IF(AD51=0,AC51,AD51)/AB51,((W51*T51*(IF(AD51=0,AC51,AD51)/100))+IF(X51&lt;W51,0,(X51-W51)*T51*IF(AD51=0,AC51,AD51)/100*U51))/AB51)</f>
        <v>3.3717150000000005</v>
      </c>
      <c r="AF51" s="214">
        <f t="shared" ref="AF51:AF59" si="81">$AF$50</f>
        <v>0</v>
      </c>
      <c r="AG51" s="214">
        <f>IF(AND($AZ$48=1,VLOOKUP(Z51,Control!$AS$37:$AV$68,4,FALSE)&lt;0),0,VLOOKUP(Z51,Control!$AS$37:$AV$68,4,FALSE))</f>
        <v>0</v>
      </c>
      <c r="AH51" s="227">
        <f>AF51*VLOOKUP($Y51,Control!$F$75:$H$87,3,FALSE)/$AB51</f>
        <v>0</v>
      </c>
      <c r="AI51" s="226">
        <f>$AG51*Control!$D$77</f>
        <v>0</v>
      </c>
      <c r="AJ51" s="227">
        <f>IF(((AB51-VLOOKUP(Y51,Control!$J$76:$K$80,2,FALSE))/Control!$D$85)&lt;=0,0,ROUNDUP(((AB51-VLOOKUP(Y51,Control!$J$76:$K$80,2,FALSE))/Control!$D$85),0)*Control!$H$90/AB51)</f>
        <v>0</v>
      </c>
      <c r="AK51" s="227">
        <f>IF(I51="Corpus Christi",Control!$D$76,0)</f>
        <v>0</v>
      </c>
      <c r="AL51" s="227">
        <v>0</v>
      </c>
      <c r="AM51" s="227">
        <f>Control!$D$78</f>
        <v>0</v>
      </c>
      <c r="AN51" s="227">
        <f>Control!$D$79</f>
        <v>6.7299999999999999E-2</v>
      </c>
      <c r="AO51" s="227">
        <f>IF(INDEX(Control!$Q$3:$S$62,MATCH($Z51,Control!$Q$3:$Q$62,0),MATCH(AO$8,Control!$Q$3:$S$3,0))=1,Control!$D$81*Control!$E$81,0)</f>
        <v>0</v>
      </c>
      <c r="AP51" s="227">
        <f>IF(INDEX(Control!$Q$3:$S$62,MATCH($Z51,Control!$Q$3:$Q$62,0),MATCH(AP$8,Control!$Q$3:$S$3,0))=1,INDEX(Control!$AK$3:$AO$69,MATCH(FORTIES!Z51,Control!$AK$3:$AK$29,0),MATCH(FORTIES!Y51,Control!$AK$3:$AO$3,0))/AB51*1000,0)</f>
        <v>0</v>
      </c>
      <c r="AQ51" s="227" t="str">
        <f t="shared" ref="AQ51:AQ57" si="82">IF(Z51="Rotterdam",0.114,"")</f>
        <v/>
      </c>
      <c r="AR51" s="227"/>
      <c r="AS51" s="225">
        <f t="shared" si="70"/>
        <v>6.7299999999999999E-2</v>
      </c>
      <c r="AT51" s="225">
        <f t="shared" si="71"/>
        <v>3.4390150000000004</v>
      </c>
      <c r="AU51" s="225">
        <f t="shared" si="72"/>
        <v>0.32</v>
      </c>
      <c r="AV51" s="225">
        <f t="shared" si="73"/>
        <v>-0.13</v>
      </c>
      <c r="AW51" s="498">
        <f t="shared" si="74"/>
        <v>1.9790150000000004</v>
      </c>
      <c r="AY51" s="220"/>
      <c r="AZ51" s="229">
        <f>+INDEX('[1]Transit Time'!$A:$DZ,MATCH(V51,'[1]Transit Time'!$A:$A,0),MATCH(Z51,'[1]Transit Time'!$A$1:$DZ$1,0))</f>
        <v>17</v>
      </c>
      <c r="BA51" s="230">
        <f t="shared" ref="BA51:BA57" si="83">IF(ISBLANK(E51),"",E51+$AZ51+D51)</f>
        <v>45693</v>
      </c>
      <c r="BB51" s="230">
        <f t="shared" si="75"/>
        <v>45695</v>
      </c>
      <c r="BC51" s="230" t="s">
        <v>157</v>
      </c>
      <c r="BD51" s="489">
        <f t="shared" si="76"/>
        <v>45716</v>
      </c>
      <c r="BE51" s="489">
        <f t="shared" si="77"/>
        <v>45716</v>
      </c>
      <c r="BF51" s="735">
        <f t="shared" si="38"/>
        <v>2407310.5000000005</v>
      </c>
      <c r="BG51"/>
      <c r="BO51"/>
      <c r="BP51"/>
    </row>
    <row r="52" spans="1:68" ht="18" customHeight="1" x14ac:dyDescent="0.35">
      <c r="A52" s="163">
        <f t="shared" si="78"/>
        <v>45675</v>
      </c>
      <c r="B52" s="163">
        <f t="shared" si="79"/>
        <v>45677</v>
      </c>
      <c r="D52" s="153">
        <f>IF(AJ52=0,0,VLOOKUP(Y52,Control!$G$41:$J$44,4,FALSE))</f>
        <v>0</v>
      </c>
      <c r="E52" s="518">
        <f t="shared" si="68"/>
        <v>45676</v>
      </c>
      <c r="F52"/>
      <c r="G52"/>
      <c r="H52"/>
      <c r="I52"/>
      <c r="J52"/>
      <c r="K52"/>
      <c r="L52"/>
      <c r="M52"/>
      <c r="N52"/>
      <c r="O52"/>
      <c r="P52"/>
      <c r="Q52"/>
      <c r="T52" s="191">
        <f>INDEX('[2]Flat Rates 2024'!$A:$DZ,MATCH(V52,'[2]Flat Rates 2024'!$A:$A,0),MATCH(Z52,'[2]Flat Rates 2024'!$A$1:$DZ$1,0))</f>
        <v>21.2</v>
      </c>
      <c r="U52" s="138">
        <f>INDEX(Control!$E$17:$J$21,MATCH(Y52,Control!$E$17:$E$21,0),MATCH(V52,Control!$E$17:$J$17,0))</f>
        <v>0</v>
      </c>
      <c r="V52" s="138" t="s">
        <v>45</v>
      </c>
      <c r="W52" s="116">
        <f>INDEX(Vessel_Minimum_MT,MATCH(Y52,Control!$E$11:$E$15,0),MATCH(V52,Control!$E$11:$J$11,0))</f>
        <v>70000</v>
      </c>
      <c r="X52" s="140">
        <f>AB52/Control!$D$84</f>
        <v>90096.96796338672</v>
      </c>
      <c r="Y52" s="566" t="s">
        <v>23</v>
      </c>
      <c r="Z52" s="142" t="s">
        <v>39</v>
      </c>
      <c r="AA52" s="142" t="str">
        <f t="shared" si="69"/>
        <v>USGC/Nsea</v>
      </c>
      <c r="AB52" s="141">
        <f t="shared" ref="AB52:AB56" si="84">AB51</f>
        <v>700000</v>
      </c>
      <c r="AC52" s="567">
        <v>70</v>
      </c>
      <c r="AD52" s="568">
        <f t="shared" ref="AD52:AD56" si="85">$AD$50</f>
        <v>150</v>
      </c>
      <c r="AE52" s="149">
        <f>IF(AC52&gt;1000,IF(AD52=0,AC52,AD52)/AB52,((W52*T52*(IF(AD52=0,AC52,AD52)/100))+IF(X52&lt;W52,0,(X52-W52)*T52*IF(AD52=0,AC52,AD52)/100*U52))/AB52)</f>
        <v>3.18</v>
      </c>
      <c r="AF52" s="141">
        <f t="shared" si="81"/>
        <v>0</v>
      </c>
      <c r="AG52" s="155">
        <f>IF(AND($AZ$48=1,VLOOKUP(Z52,Control!$AS$37:$AV$68,4,FALSE)&lt;0),0,VLOOKUP(Z52,Control!$AS$37:$AV$68,4,FALSE))</f>
        <v>0</v>
      </c>
      <c r="AH52" s="143">
        <f>AF52*VLOOKUP($Y52,Control!$F$75:$H$87,3,FALSE)/$AB52</f>
        <v>0</v>
      </c>
      <c r="AI52" s="144">
        <f>$AG52*Control!$D$77</f>
        <v>0</v>
      </c>
      <c r="AJ52" s="143">
        <f>IF(((AB52-VLOOKUP(Y52,Control!$J$76:$K$80,2,FALSE))/Control!$D$85)&lt;=0,0,ROUNDUP(((AB52-VLOOKUP(Y52,Control!$J$76:$K$80,2,FALSE))/Control!$D$85),0)*Control!$H$90/AB52)</f>
        <v>0</v>
      </c>
      <c r="AK52" s="143">
        <f>IF(I52="Corpus Christi",Control!$D$76,0)</f>
        <v>0</v>
      </c>
      <c r="AL52" s="143">
        <v>0</v>
      </c>
      <c r="AM52" s="143">
        <f>Control!$D$78</f>
        <v>0</v>
      </c>
      <c r="AN52" s="143">
        <f>Control!$D$79</f>
        <v>6.7299999999999999E-2</v>
      </c>
      <c r="AO52" s="143">
        <f>IF(INDEX(Control!$Q$3:$S$62,MATCH($Z52,Control!$Q$3:$Q$62,0),MATCH(AO$8,Control!$Q$3:$S$3,0))=1,Control!$D$81*Control!$E$81,0)</f>
        <v>0</v>
      </c>
      <c r="AP52" s="143">
        <f>IF(INDEX(Control!$Q$3:$S$62,MATCH($Z52,Control!$Q$3:$Q$62,0),MATCH(AP$8,Control!$Q$3:$S$3,0))=1,INDEX(Control!$AK$3:$AO$69,MATCH(FORTIES!Z52,Control!$AK$3:$AK$29,0),MATCH(FORTIES!Y52,Control!$AK$3:$AO$3,0))/AB52*1000,0)</f>
        <v>0</v>
      </c>
      <c r="AQ52" s="143" t="str">
        <f t="shared" si="82"/>
        <v/>
      </c>
      <c r="AR52" s="143"/>
      <c r="AS52" s="149">
        <f t="shared" ref="AS52" si="86">SUM(AH52:AR52)</f>
        <v>6.7299999999999999E-2</v>
      </c>
      <c r="AT52" s="149">
        <f t="shared" si="71"/>
        <v>3.2473000000000001</v>
      </c>
      <c r="AU52" s="149">
        <f t="shared" si="72"/>
        <v>0.32</v>
      </c>
      <c r="AV52" s="149">
        <f t="shared" si="73"/>
        <v>-0.13</v>
      </c>
      <c r="AW52" s="501">
        <f t="shared" si="74"/>
        <v>1.7873000000000001</v>
      </c>
      <c r="AZ52" s="153">
        <f>+INDEX('[1]Transit Time'!$A:$DZ,MATCH(V52,'[1]Transit Time'!$A:$A,0),MATCH(Z52,'[1]Transit Time'!$A$1:$DZ$1,0))</f>
        <v>17</v>
      </c>
      <c r="BA52" s="163">
        <f t="shared" si="83"/>
        <v>45693</v>
      </c>
      <c r="BB52" s="163">
        <f t="shared" si="75"/>
        <v>45695</v>
      </c>
      <c r="BC52" s="163" t="s">
        <v>157</v>
      </c>
      <c r="BD52" s="490">
        <f t="shared" si="76"/>
        <v>45716</v>
      </c>
      <c r="BE52" s="490">
        <f t="shared" si="77"/>
        <v>45716</v>
      </c>
      <c r="BF52" s="735">
        <f t="shared" si="38"/>
        <v>2273110</v>
      </c>
      <c r="BG52"/>
      <c r="BO52"/>
      <c r="BP52"/>
    </row>
    <row r="53" spans="1:68" ht="18" customHeight="1" x14ac:dyDescent="0.35">
      <c r="A53" s="230">
        <f t="shared" si="78"/>
        <v>45675</v>
      </c>
      <c r="B53" s="230">
        <f t="shared" si="79"/>
        <v>45677</v>
      </c>
      <c r="D53" s="229">
        <f>IF(AJ53=0,0,VLOOKUP(Y53,Control!$G$41:$J$44,4,FALSE))</f>
        <v>0</v>
      </c>
      <c r="E53" s="519">
        <f t="shared" si="68"/>
        <v>45676</v>
      </c>
      <c r="F53"/>
      <c r="G53"/>
      <c r="H53"/>
      <c r="I53"/>
      <c r="J53"/>
      <c r="K53"/>
      <c r="L53"/>
      <c r="M53"/>
      <c r="N53"/>
      <c r="O53"/>
      <c r="P53"/>
      <c r="Q53"/>
      <c r="T53" s="220">
        <f>INDEX('[2]Flat Rates 2024'!$A:$DZ,MATCH(V53,'[2]Flat Rates 2024'!$A:$A,0),MATCH(Z53,'[2]Flat Rates 2024'!$A$1:$DZ$1,0))</f>
        <v>25.4</v>
      </c>
      <c r="U53" s="220">
        <f>INDEX(Control!$E$17:$J$21,MATCH(Y53,Control!$E$17:$E$21,0),MATCH(V53,Control!$E$17:$J$17,0))</f>
        <v>0</v>
      </c>
      <c r="V53" s="220" t="s">
        <v>45</v>
      </c>
      <c r="W53" s="213">
        <f>INDEX(Vessel_Minimum_MT,MATCH(Y53,Control!$E$11:$E$15,0),MATCH(V53,Control!$E$11:$J$11,0))</f>
        <v>70000</v>
      </c>
      <c r="X53" s="222">
        <f>AB53/Control!$D$84</f>
        <v>90096.96796338672</v>
      </c>
      <c r="Y53" s="258" t="s">
        <v>23</v>
      </c>
      <c r="Z53" s="212" t="s">
        <v>82</v>
      </c>
      <c r="AA53" s="212" t="str">
        <f t="shared" si="69"/>
        <v>USGC/Nsea</v>
      </c>
      <c r="AB53" s="214">
        <f t="shared" si="84"/>
        <v>700000</v>
      </c>
      <c r="AC53" s="214">
        <v>70</v>
      </c>
      <c r="AD53" s="224">
        <f>$AD$50+10</f>
        <v>160</v>
      </c>
      <c r="AE53" s="225">
        <f t="shared" si="80"/>
        <v>4.0640000000000001</v>
      </c>
      <c r="AF53" s="214">
        <f t="shared" si="81"/>
        <v>0</v>
      </c>
      <c r="AG53" s="214">
        <f>IF(AND($AZ$48=1,VLOOKUP(Z53,Control!$AS$37:$AV$68,4,FALSE)&lt;0),0,VLOOKUP(Z53,Control!$AS$37:$AV$68,4,FALSE))</f>
        <v>0</v>
      </c>
      <c r="AH53" s="227">
        <f>AF53*VLOOKUP($Y53,Control!$F$75:$H$87,3,FALSE)/$AB53</f>
        <v>0</v>
      </c>
      <c r="AI53" s="226">
        <f>$AG53*Control!$D$77</f>
        <v>0</v>
      </c>
      <c r="AJ53" s="227">
        <f>IF(((AB53-VLOOKUP(Y53,Control!$J$76:$K$80,2,FALSE))/Control!$D$85)&lt;=0,0,ROUNDUP(((AB53-VLOOKUP(Y53,Control!$J$76:$K$80,2,FALSE))/Control!$D$85),0)*Control!$H$90/AB53)</f>
        <v>0</v>
      </c>
      <c r="AK53" s="227">
        <f>IF(I53="Corpus Christi",Control!$D$76,0)</f>
        <v>0</v>
      </c>
      <c r="AL53" s="227">
        <v>0</v>
      </c>
      <c r="AM53" s="227">
        <f>Control!$D$78</f>
        <v>0</v>
      </c>
      <c r="AN53" s="227">
        <f>Control!$D$79</f>
        <v>6.7299999999999999E-2</v>
      </c>
      <c r="AO53" s="227">
        <f>IF(INDEX(Control!$Q$3:$S$62,MATCH($Z53,Control!$Q$3:$Q$62,0),MATCH(AO$8,Control!$Q$3:$S$3,0))=1,Control!$D$81*Control!$E$81,0)</f>
        <v>0.2</v>
      </c>
      <c r="AP53" s="227">
        <f>IF(INDEX(Control!$Q$3:$S$62,MATCH($Z53,Control!$Q$3:$Q$62,0),MATCH(AP$8,Control!$Q$3:$S$3,0))=1,INDEX(Control!$AK$3:$AO$69,MATCH(FORTIES!Z53,Control!$AK$3:$AK$29,0),MATCH(FORTIES!Y53,Control!$AK$3:$AO$3,0))/AB53*1000,0)</f>
        <v>0</v>
      </c>
      <c r="AQ53" s="227" t="str">
        <f t="shared" si="82"/>
        <v/>
      </c>
      <c r="AR53" s="227"/>
      <c r="AS53" s="225">
        <f t="shared" ref="AS53" si="87">SUM(AH53:AR53)</f>
        <v>0.26729999999999998</v>
      </c>
      <c r="AT53" s="225">
        <f t="shared" si="71"/>
        <v>4.3312999999999997</v>
      </c>
      <c r="AU53" s="225">
        <f t="shared" si="72"/>
        <v>0.32</v>
      </c>
      <c r="AV53" s="225">
        <f t="shared" si="73"/>
        <v>-0.13</v>
      </c>
      <c r="AW53" s="498">
        <f t="shared" si="74"/>
        <v>2.8712999999999997</v>
      </c>
      <c r="AY53" s="220"/>
      <c r="AZ53" s="229">
        <f>+INDEX('[1]Transit Time'!$A:$DZ,MATCH(V53,'[1]Transit Time'!$A:$A,0),MATCH(Z53,'[1]Transit Time'!$A$1:$DZ$1,0))</f>
        <v>19</v>
      </c>
      <c r="BA53" s="230">
        <f t="shared" si="83"/>
        <v>45695</v>
      </c>
      <c r="BB53" s="230">
        <f t="shared" si="75"/>
        <v>45697</v>
      </c>
      <c r="BC53" s="230" t="s">
        <v>157</v>
      </c>
      <c r="BD53" s="489">
        <f t="shared" si="76"/>
        <v>45716</v>
      </c>
      <c r="BE53" s="489">
        <f t="shared" si="77"/>
        <v>45716</v>
      </c>
      <c r="BF53" s="735">
        <f t="shared" si="38"/>
        <v>3031910</v>
      </c>
      <c r="BG53"/>
      <c r="BO53"/>
      <c r="BP53"/>
    </row>
    <row r="54" spans="1:68" ht="18" customHeight="1" x14ac:dyDescent="0.35">
      <c r="A54" s="163">
        <f t="shared" si="78"/>
        <v>45675</v>
      </c>
      <c r="B54" s="163">
        <f t="shared" si="79"/>
        <v>45677</v>
      </c>
      <c r="D54" s="153">
        <f>IF(AJ54=0,0,VLOOKUP(Y54,Control!$G$41:$J$44,4,FALSE))</f>
        <v>0</v>
      </c>
      <c r="E54" s="518">
        <f t="shared" si="68"/>
        <v>45676</v>
      </c>
      <c r="F54"/>
      <c r="G54"/>
      <c r="H54"/>
      <c r="I54"/>
      <c r="J54"/>
      <c r="K54"/>
      <c r="L54"/>
      <c r="M54"/>
      <c r="N54"/>
      <c r="O54"/>
      <c r="P54"/>
      <c r="Q54"/>
      <c r="T54" s="191">
        <f>INDEX('[2]Flat Rates 2024'!$A:$DZ,MATCH(V54,'[2]Flat Rates 2024'!$A:$A,0),MATCH(Z54,'[2]Flat Rates 2024'!$A$1:$DZ$1,0))</f>
        <v>23.79</v>
      </c>
      <c r="U54" s="138">
        <f>INDEX(Control!$E$17:$J$21,MATCH(Y54,Control!$E$17:$E$21,0),MATCH(V54,Control!$E$17:$J$17,0))</f>
        <v>0</v>
      </c>
      <c r="V54" s="138" t="s">
        <v>45</v>
      </c>
      <c r="W54" s="116">
        <f>INDEX(Vessel_Minimum_MT,MATCH(Y54,Control!$E$11:$E$15,0),MATCH(V54,Control!$E$11:$J$11,0))</f>
        <v>70000</v>
      </c>
      <c r="X54" s="140">
        <f>AB54/Control!$D$84</f>
        <v>90096.96796338672</v>
      </c>
      <c r="Y54" s="147" t="s">
        <v>23</v>
      </c>
      <c r="Z54" s="142" t="s">
        <v>78</v>
      </c>
      <c r="AA54" s="142" t="str">
        <f t="shared" si="69"/>
        <v>USGC/Nsea</v>
      </c>
      <c r="AB54" s="141">
        <f t="shared" si="84"/>
        <v>700000</v>
      </c>
      <c r="AC54" s="141">
        <v>70</v>
      </c>
      <c r="AD54" s="49">
        <f t="shared" si="85"/>
        <v>150</v>
      </c>
      <c r="AE54" s="149">
        <f t="shared" si="80"/>
        <v>3.5684999999999998</v>
      </c>
      <c r="AF54" s="15">
        <f t="shared" si="81"/>
        <v>0</v>
      </c>
      <c r="AG54" s="155">
        <f>IF(AND($AZ$48=1,VLOOKUP(Z54,Control!$AS$37:$AV$68,4,FALSE)&lt;0),0,VLOOKUP(Z54,Control!$AS$37:$AV$68,4,FALSE))</f>
        <v>0</v>
      </c>
      <c r="AH54" s="143">
        <f>AF54*VLOOKUP($Y54,Control!$F$75:$H$87,3,FALSE)/$AB54</f>
        <v>0</v>
      </c>
      <c r="AI54" s="144">
        <f>$AG54*Control!$D$77</f>
        <v>0</v>
      </c>
      <c r="AJ54" s="143">
        <f>IF(((AB54-VLOOKUP(Y54,Control!$J$76:$K$80,2,FALSE))/Control!$D$85)&lt;=0,0,ROUNDUP(((AB54-VLOOKUP(Y54,Control!$J$76:$K$80,2,FALSE))/Control!$D$85),0)*Control!$H$90/AB54)</f>
        <v>0</v>
      </c>
      <c r="AK54" s="143">
        <f>IF(I54="Corpus Christi",Control!$D$76,0)</f>
        <v>0</v>
      </c>
      <c r="AL54" s="143">
        <v>0</v>
      </c>
      <c r="AM54" s="143">
        <f>Control!$D$78</f>
        <v>0</v>
      </c>
      <c r="AN54" s="143">
        <f>Control!$D$79</f>
        <v>6.7299999999999999E-2</v>
      </c>
      <c r="AO54" s="143">
        <f>IF(INDEX(Control!$Q$3:$S$62,MATCH($Z54,Control!$Q$3:$Q$62,0),MATCH(AO$8,Control!$Q$3:$S$3,0))=1,Control!$D$81*Control!$E$81,0)</f>
        <v>0</v>
      </c>
      <c r="AP54" s="143">
        <f>IF(INDEX(Control!$Q$3:$S$62,MATCH($Z54,Control!$Q$3:$Q$62,0),MATCH(AP$8,Control!$Q$3:$S$3,0))=1,INDEX(Control!$AK$3:$AO$69,MATCH(FORTIES!Z54,Control!$AK$3:$AK$29,0),MATCH(FORTIES!Y54,Control!$AK$3:$AO$3,0))/AB54*1000,0)</f>
        <v>0</v>
      </c>
      <c r="AQ54" s="143" t="str">
        <f t="shared" si="82"/>
        <v/>
      </c>
      <c r="AR54" s="143"/>
      <c r="AS54" s="149">
        <f t="shared" ref="AS54:AS55" si="88">SUM(AH54:AR54)</f>
        <v>6.7299999999999999E-2</v>
      </c>
      <c r="AT54" s="149">
        <f t="shared" si="71"/>
        <v>3.6357999999999997</v>
      </c>
      <c r="AU54" s="149">
        <f t="shared" si="72"/>
        <v>0.32</v>
      </c>
      <c r="AV54" s="149">
        <f t="shared" si="73"/>
        <v>-0.13</v>
      </c>
      <c r="AW54" s="501">
        <f t="shared" si="74"/>
        <v>2.1757999999999997</v>
      </c>
      <c r="AZ54" s="153">
        <f>+INDEX('[1]Transit Time'!$A:$DZ,MATCH(V54,'[1]Transit Time'!$A:$A,0),MATCH(Z54,'[1]Transit Time'!$A$1:$DZ$1,0))</f>
        <v>20</v>
      </c>
      <c r="BA54" s="163">
        <f t="shared" si="83"/>
        <v>45696</v>
      </c>
      <c r="BB54" s="163">
        <f t="shared" si="75"/>
        <v>45698</v>
      </c>
      <c r="BC54" s="163" t="s">
        <v>157</v>
      </c>
      <c r="BD54" s="490">
        <f t="shared" si="76"/>
        <v>45716</v>
      </c>
      <c r="BE54" s="490">
        <f t="shared" si="77"/>
        <v>45716</v>
      </c>
      <c r="BF54" s="735">
        <f t="shared" si="38"/>
        <v>2545060</v>
      </c>
      <c r="BG54"/>
      <c r="BO54"/>
      <c r="BP54"/>
    </row>
    <row r="55" spans="1:68" ht="18" customHeight="1" x14ac:dyDescent="0.35">
      <c r="A55" s="230">
        <f t="shared" si="78"/>
        <v>45675</v>
      </c>
      <c r="B55" s="230">
        <f t="shared" si="79"/>
        <v>45677</v>
      </c>
      <c r="D55" s="229">
        <f>IF(AJ55=0,0,VLOOKUP(Y55,Control!$G$41:$J$44,4,FALSE))</f>
        <v>0</v>
      </c>
      <c r="E55" s="519">
        <f t="shared" si="68"/>
        <v>45676</v>
      </c>
      <c r="F55"/>
      <c r="G55"/>
      <c r="H55"/>
      <c r="I55"/>
      <c r="J55"/>
      <c r="K55"/>
      <c r="L55"/>
      <c r="M55"/>
      <c r="N55"/>
      <c r="O55"/>
      <c r="P55"/>
      <c r="Q55"/>
      <c r="T55" s="220">
        <f>INDEX('[2]Flat Rates 2024'!$A:$DZ,MATCH(V55,'[2]Flat Rates 2024'!$A:$A,0),MATCH(Z55,'[2]Flat Rates 2024'!$A$1:$DZ$1,0))</f>
        <v>25.605</v>
      </c>
      <c r="U55" s="220">
        <f>INDEX(Control!$E$17:$J$21,MATCH(Y55,Control!$E$17:$E$21,0),MATCH(V55,Control!$E$17:$J$17,0))</f>
        <v>0</v>
      </c>
      <c r="V55" s="220" t="s">
        <v>45</v>
      </c>
      <c r="W55" s="213">
        <f>INDEX(Vessel_Minimum_MT,MATCH(Y55,Control!$E$11:$E$15,0),MATCH(V55,Control!$E$11:$J$11,0))</f>
        <v>70000</v>
      </c>
      <c r="X55" s="222">
        <f>AB55/Control!$D$84</f>
        <v>90096.96796338672</v>
      </c>
      <c r="Y55" s="215" t="s">
        <v>23</v>
      </c>
      <c r="Z55" s="212" t="s">
        <v>83</v>
      </c>
      <c r="AA55" s="212" t="str">
        <f t="shared" si="69"/>
        <v>USGC/Med</v>
      </c>
      <c r="AB55" s="214">
        <f t="shared" si="84"/>
        <v>700000</v>
      </c>
      <c r="AC55" s="214"/>
      <c r="AD55" s="224">
        <f t="shared" si="85"/>
        <v>150</v>
      </c>
      <c r="AE55" s="225">
        <f t="shared" si="80"/>
        <v>3.8407499999999999</v>
      </c>
      <c r="AF55" s="304">
        <f t="shared" si="81"/>
        <v>0</v>
      </c>
      <c r="AG55" s="214">
        <f>IF(AND($AZ$48=1,VLOOKUP(Z55,Control!$AS$37:$AV$108,4,FALSE)&lt;0),0,VLOOKUP(Z55,Control!$AS$37:$AV$108,4,FALSE))</f>
        <v>0</v>
      </c>
      <c r="AH55" s="227">
        <f>AF55*VLOOKUP($Y55,Control!$F$75:$H$87,3,FALSE)/$AB55</f>
        <v>0</v>
      </c>
      <c r="AI55" s="226">
        <f>$AG55*Control!$D$77</f>
        <v>0</v>
      </c>
      <c r="AJ55" s="227">
        <f>IF(((AB55-VLOOKUP(Y55,Control!$J$76:$K$80,2,FALSE))/Control!$D$85)&lt;=0,0,ROUNDUP(((AB55-VLOOKUP(Y55,Control!$J$76:$K$80,2,FALSE))/Control!$D$85),0)*Control!$H$90/AB55)</f>
        <v>0</v>
      </c>
      <c r="AK55" s="227">
        <f>IF(I55="Corpus Christi",Control!$D$76,0)</f>
        <v>0</v>
      </c>
      <c r="AL55" s="227">
        <v>0</v>
      </c>
      <c r="AM55" s="227">
        <f>Control!$D$78</f>
        <v>0</v>
      </c>
      <c r="AN55" s="227">
        <f>Control!$D$79</f>
        <v>6.7299999999999999E-2</v>
      </c>
      <c r="AO55" s="227">
        <f>IF(INDEX(Control!$Q$3:$S$62,MATCH($Z55,Control!$Q$3:$Q$62,0),MATCH(AO$8,Control!$Q$3:$S$3,0))=1,Control!$D$81*Control!$E$81,0)</f>
        <v>0</v>
      </c>
      <c r="AP55" s="227">
        <f>IF(INDEX(Control!$Q$3:$S$62,MATCH($Z55,Control!$Q$3:$Q$62,0),MATCH(AP$8,Control!$Q$3:$S$3,0))=1,INDEX(Control!$AK$3:$AO$69,MATCH(FORTIES!Z55,Control!$AK$3:$AK$29,0),MATCH(FORTIES!Y55,Control!$AK$3:$AO$3,0))/AB55*1000,0)</f>
        <v>0</v>
      </c>
      <c r="AQ55" s="227" t="str">
        <f t="shared" si="82"/>
        <v/>
      </c>
      <c r="AR55" s="227"/>
      <c r="AS55" s="225">
        <f t="shared" si="88"/>
        <v>6.7299999999999999E-2</v>
      </c>
      <c r="AT55" s="225">
        <f t="shared" si="71"/>
        <v>3.9080499999999998</v>
      </c>
      <c r="AU55" s="225">
        <f t="shared" si="72"/>
        <v>0.32</v>
      </c>
      <c r="AV55" s="225">
        <f t="shared" si="73"/>
        <v>-0.13</v>
      </c>
      <c r="AW55" s="498">
        <f t="shared" si="74"/>
        <v>2.4480499999999998</v>
      </c>
      <c r="AY55" s="220"/>
      <c r="AZ55" s="229">
        <f>+INDEX('[1]Transit Time'!$A:$DZ,MATCH(V55,'[1]Transit Time'!$A:$A,0),MATCH(Z55,'[1]Transit Time'!$A$1:$DZ$1,0))</f>
        <v>22</v>
      </c>
      <c r="BA55" s="230">
        <f t="shared" si="83"/>
        <v>45698</v>
      </c>
      <c r="BB55" s="230">
        <f t="shared" si="75"/>
        <v>45700</v>
      </c>
      <c r="BC55" s="230" t="s">
        <v>157</v>
      </c>
      <c r="BD55" s="489">
        <f t="shared" si="76"/>
        <v>45716</v>
      </c>
      <c r="BE55" s="489">
        <f t="shared" si="77"/>
        <v>45716</v>
      </c>
      <c r="BF55" s="735">
        <f t="shared" si="38"/>
        <v>2735635</v>
      </c>
      <c r="BG55"/>
      <c r="BO55"/>
      <c r="BP55"/>
    </row>
    <row r="56" spans="1:68" ht="18" customHeight="1" x14ac:dyDescent="0.35">
      <c r="A56" s="163">
        <f t="shared" si="78"/>
        <v>45675</v>
      </c>
      <c r="B56" s="163">
        <f t="shared" si="79"/>
        <v>45677</v>
      </c>
      <c r="D56" s="153">
        <f>IF(AJ56=0,0,VLOOKUP(Y56,Control!$G$41:$J$44,4,FALSE))</f>
        <v>0</v>
      </c>
      <c r="E56" s="518">
        <f t="shared" si="68"/>
        <v>45676</v>
      </c>
      <c r="F56"/>
      <c r="G56"/>
      <c r="H56"/>
      <c r="I56"/>
      <c r="J56"/>
      <c r="K56"/>
      <c r="L56"/>
      <c r="M56"/>
      <c r="N56"/>
      <c r="O56"/>
      <c r="P56"/>
      <c r="Q56"/>
      <c r="T56" s="191">
        <f>INDEX('[2]Flat Rates 2024'!$A:$DZ,MATCH(V56,'[2]Flat Rates 2024'!$A:$A,0),MATCH(Z56,'[2]Flat Rates 2024'!$A$1:$DZ$1,0))</f>
        <v>19.809000000000001</v>
      </c>
      <c r="U56" s="138">
        <f>INDEX(Control!$E$17:$J$21,MATCH(Y56,Control!$E$17:$E$21,0),MATCH(V56,Control!$E$17:$J$17,0))</f>
        <v>0</v>
      </c>
      <c r="V56" s="138" t="s">
        <v>45</v>
      </c>
      <c r="W56" s="116">
        <f>INDEX(Vessel_Minimum_MT,MATCH(Y56,Control!$E$11:$E$15,0),MATCH(V56,Control!$E$11:$J$11,0))</f>
        <v>70000</v>
      </c>
      <c r="X56" s="140">
        <f>AB56/Control!$D$84</f>
        <v>90096.96796338672</v>
      </c>
      <c r="Y56" s="147" t="s">
        <v>23</v>
      </c>
      <c r="Z56" s="142" t="s">
        <v>88</v>
      </c>
      <c r="AA56" s="142" t="str">
        <f>$AA$55</f>
        <v>USGC/Med</v>
      </c>
      <c r="AB56" s="141">
        <f t="shared" si="84"/>
        <v>700000</v>
      </c>
      <c r="AC56" s="141">
        <v>70</v>
      </c>
      <c r="AD56" s="49">
        <f t="shared" si="85"/>
        <v>150</v>
      </c>
      <c r="AE56" s="149">
        <f t="shared" si="80"/>
        <v>2.9713500000000002</v>
      </c>
      <c r="AF56" s="15">
        <f t="shared" si="81"/>
        <v>0</v>
      </c>
      <c r="AG56" s="155">
        <f>IF(AND($AZ$48=1,VLOOKUP(Z56,Control!$AS$37:$AV$68,4,FALSE)&lt;0),0,VLOOKUP(Z56,Control!$AS$37:$AV$68,4,FALSE))</f>
        <v>0</v>
      </c>
      <c r="AH56" s="143">
        <f>AF56*VLOOKUP($Y56,Control!$F$75:$H$87,3,FALSE)/$AB56</f>
        <v>0</v>
      </c>
      <c r="AI56" s="144">
        <f>$AG56*Control!$D$77</f>
        <v>0</v>
      </c>
      <c r="AJ56" s="143">
        <f>IF(((AB56-VLOOKUP(Y56,Control!$J$76:$K$80,2,FALSE))/Control!$D$85)&lt;=0,0,ROUNDUP(((AB56-VLOOKUP(Y56,Control!$J$76:$K$80,2,FALSE))/Control!$D$85),0)*Control!$H$90/AB56)</f>
        <v>0</v>
      </c>
      <c r="AK56" s="143">
        <f>IF(I56="Corpus Christi",Control!$D$76,0)</f>
        <v>0</v>
      </c>
      <c r="AL56" s="143">
        <v>0</v>
      </c>
      <c r="AM56" s="143">
        <f>Control!$D$78</f>
        <v>0</v>
      </c>
      <c r="AN56" s="143">
        <f>Control!$D$79</f>
        <v>6.7299999999999999E-2</v>
      </c>
      <c r="AO56" s="143">
        <f>IF(INDEX(Control!$Q$3:$S$62,MATCH($Z56,Control!$Q$3:$Q$62,0),MATCH(AO$8,Control!$Q$3:$S$3,0))=1,Control!$D$81*Control!$E$81,0)</f>
        <v>0</v>
      </c>
      <c r="AP56" s="143">
        <v>0</v>
      </c>
      <c r="AQ56" s="143" t="str">
        <f t="shared" si="82"/>
        <v/>
      </c>
      <c r="AR56" s="143"/>
      <c r="AS56" s="149">
        <f t="shared" ref="AS56:AS57" si="89">SUM(AH56:AR56)</f>
        <v>6.7299999999999999E-2</v>
      </c>
      <c r="AT56" s="149">
        <f t="shared" si="71"/>
        <v>3.0386500000000001</v>
      </c>
      <c r="AU56" s="149">
        <f t="shared" si="72"/>
        <v>0.32</v>
      </c>
      <c r="AV56" s="149">
        <f t="shared" si="73"/>
        <v>-0.13</v>
      </c>
      <c r="AW56" s="590">
        <f t="shared" si="74"/>
        <v>1.5786500000000001</v>
      </c>
      <c r="AZ56" s="153">
        <f>$AZ$50</f>
        <v>17</v>
      </c>
      <c r="BA56" s="163">
        <f t="shared" si="83"/>
        <v>45693</v>
      </c>
      <c r="BB56" s="163">
        <f t="shared" si="75"/>
        <v>45695</v>
      </c>
      <c r="BC56" s="163" t="s">
        <v>157</v>
      </c>
      <c r="BD56" s="490">
        <f t="shared" si="76"/>
        <v>45716</v>
      </c>
      <c r="BE56" s="490">
        <f t="shared" si="77"/>
        <v>45716</v>
      </c>
      <c r="BF56" s="735">
        <f t="shared" si="38"/>
        <v>2127055</v>
      </c>
      <c r="BG56"/>
      <c r="BO56"/>
      <c r="BP56"/>
    </row>
    <row r="57" spans="1:68" ht="18" customHeight="1" thickBot="1" x14ac:dyDescent="0.4">
      <c r="A57" s="230">
        <f t="shared" si="78"/>
        <v>45675</v>
      </c>
      <c r="B57" s="230">
        <f t="shared" si="79"/>
        <v>45677</v>
      </c>
      <c r="D57" s="229">
        <f>IF(AJ57=0,0,VLOOKUP(Y57,Control!$G$41:$J$44,4,FALSE))</f>
        <v>0</v>
      </c>
      <c r="E57" s="519">
        <f t="shared" si="68"/>
        <v>45676</v>
      </c>
      <c r="F57"/>
      <c r="G57"/>
      <c r="H57"/>
      <c r="I57"/>
      <c r="J57"/>
      <c r="K57"/>
      <c r="L57"/>
      <c r="M57"/>
      <c r="N57"/>
      <c r="O57"/>
      <c r="P57"/>
      <c r="Q57"/>
      <c r="T57" s="220">
        <f>INDEX('[2]Flat Rates 2024'!$A:$DZ,MATCH(V57,'[2]Flat Rates 2024'!$A:$A,0),MATCH(Z57,'[2]Flat Rates 2024'!$A$1:$DZ$1,0))</f>
        <v>24.23</v>
      </c>
      <c r="U57" s="220">
        <f>INDEX(Control!$E$17:$J$21,MATCH(Y57,Control!$E$17:$E$21,0),MATCH(V57,Control!$E$17:$J$17,0))</f>
        <v>0</v>
      </c>
      <c r="V57" s="220" t="s">
        <v>45</v>
      </c>
      <c r="W57" s="213">
        <f>INDEX(Vessel_Minimum_MT,MATCH(Y57,Control!$E$11:$E$15,0),MATCH(V57,Control!$E$11:$J$11,0))</f>
        <v>70000</v>
      </c>
      <c r="X57" s="222">
        <f>AB57/Control!$D$84</f>
        <v>90096.96796338672</v>
      </c>
      <c r="Y57" s="215" t="s">
        <v>23</v>
      </c>
      <c r="Z57" s="212" t="s">
        <v>96</v>
      </c>
      <c r="AA57" s="212" t="str">
        <f t="shared" ref="AA57:AA62" si="90">IF(Z57=V57,"",CONCATENATE(CONCATENATE(VLOOKUP(V57,Zones,2,FALSE),"/",VLOOKUP(Z57,Zones,2,FALSE))))</f>
        <v>USGC/Nsea</v>
      </c>
      <c r="AB57" s="214">
        <f>AB50</f>
        <v>700000</v>
      </c>
      <c r="AC57" s="214"/>
      <c r="AD57" s="264">
        <f>$AD$50+5</f>
        <v>155</v>
      </c>
      <c r="AE57" s="225">
        <f t="shared" si="80"/>
        <v>3.7556500000000002</v>
      </c>
      <c r="AF57" s="304">
        <v>0</v>
      </c>
      <c r="AG57" s="214">
        <f>IF(AND($AZ$48=1,VLOOKUP(Z57,Control!$AS$37:$AV$68,4,FALSE)&lt;0),0,VLOOKUP(Z57,Control!$AS$37:$AV$68,4,FALSE))</f>
        <v>0</v>
      </c>
      <c r="AH57" s="227">
        <f>AF57*VLOOKUP($Y57,Control!$F$75:$H$87,3,FALSE)/$AB57</f>
        <v>0</v>
      </c>
      <c r="AI57" s="226">
        <f>$AG57*Control!$D$77</f>
        <v>0</v>
      </c>
      <c r="AJ57" s="227">
        <f>IF(((AB57-VLOOKUP(Y57,Control!$J$76:$K$80,2,FALSE))/Control!$D$85)&lt;=0,0,ROUNDUP(((AB57-VLOOKUP(Y57,Control!$J$76:$K$80,2,FALSE))/Control!$D$85),0)*Control!$H$90/AB57)</f>
        <v>0</v>
      </c>
      <c r="AK57" s="227">
        <f>IF(I57="Corpus Christi",Control!$D$76,0)</f>
        <v>0</v>
      </c>
      <c r="AL57" s="227">
        <v>0</v>
      </c>
      <c r="AM57" s="227">
        <f>Control!$D$78</f>
        <v>0</v>
      </c>
      <c r="AN57" s="227">
        <f>Control!$D$79</f>
        <v>6.7299999999999999E-2</v>
      </c>
      <c r="AO57" s="227">
        <f>IF(INDEX(Control!$Q$3:$S$62,MATCH($Z57,Control!$Q$3:$Q$62,0),MATCH(AO$8,Control!$Q$3:$S$3,0))=1,Control!$D$81*Control!$E$81,0)</f>
        <v>0</v>
      </c>
      <c r="AP57" s="227">
        <v>0</v>
      </c>
      <c r="AQ57" s="227" t="str">
        <f t="shared" si="82"/>
        <v/>
      </c>
      <c r="AR57" s="227"/>
      <c r="AS57" s="225">
        <f t="shared" si="89"/>
        <v>6.7299999999999999E-2</v>
      </c>
      <c r="AT57" s="225">
        <f t="shared" si="71"/>
        <v>3.8229500000000001</v>
      </c>
      <c r="AU57" s="225">
        <f t="shared" si="72"/>
        <v>0.32</v>
      </c>
      <c r="AV57" s="225">
        <f t="shared" si="73"/>
        <v>-0.13</v>
      </c>
      <c r="AW57" s="497">
        <f t="shared" si="74"/>
        <v>2.3629500000000001</v>
      </c>
      <c r="AY57" s="220"/>
      <c r="AZ57" s="229">
        <f>+INDEX('[1]Transit Time'!$A:$DZ,MATCH(V57,'[1]Transit Time'!$A:$A,0),MATCH(Z57,'[1]Transit Time'!$A$1:$DZ$1,0))+3</f>
        <v>20</v>
      </c>
      <c r="BA57" s="230">
        <f t="shared" si="83"/>
        <v>45696</v>
      </c>
      <c r="BB57" s="230">
        <f t="shared" si="75"/>
        <v>45698</v>
      </c>
      <c r="BC57" s="230" t="s">
        <v>157</v>
      </c>
      <c r="BD57" s="489">
        <f t="shared" si="76"/>
        <v>45716</v>
      </c>
      <c r="BE57" s="489">
        <f t="shared" si="77"/>
        <v>45716</v>
      </c>
      <c r="BF57" s="735">
        <f t="shared" si="38"/>
        <v>2676065</v>
      </c>
      <c r="BG57"/>
      <c r="BO57"/>
      <c r="BP57"/>
    </row>
    <row r="58" spans="1:68" ht="18" customHeight="1" thickBot="1" x14ac:dyDescent="0.4">
      <c r="A58" s="163">
        <f t="shared" si="78"/>
        <v>45675</v>
      </c>
      <c r="B58" s="163">
        <f t="shared" si="79"/>
        <v>45677</v>
      </c>
      <c r="D58" s="153">
        <f>IF(AJ58=0,0,VLOOKUP(Y58,Control!$G$41:$J$44,4,FALSE))</f>
        <v>0</v>
      </c>
      <c r="E58" s="518">
        <f t="shared" si="68"/>
        <v>45676</v>
      </c>
      <c r="F58"/>
      <c r="G58"/>
      <c r="H58"/>
      <c r="I58"/>
      <c r="J58"/>
      <c r="K58"/>
      <c r="L58"/>
      <c r="M58"/>
      <c r="N58"/>
      <c r="O58"/>
      <c r="P58"/>
      <c r="Q58"/>
      <c r="T58" s="191">
        <f>INDEX('[2]Flat Rates 2024'!$A:$DZ,MATCH(V58,'[2]Flat Rates 2024'!$A:$A,0),MATCH(Z58,'[2]Flat Rates 2024'!$A$1:$DZ$1,0))</f>
        <v>21.02</v>
      </c>
      <c r="U58" s="138">
        <v>0</v>
      </c>
      <c r="V58" s="138" t="s">
        <v>45</v>
      </c>
      <c r="W58" s="641">
        <v>145000</v>
      </c>
      <c r="X58" s="140">
        <f>AB58/Control!$D$84</f>
        <v>92671.167048054922</v>
      </c>
      <c r="Y58" s="147" t="s">
        <v>24</v>
      </c>
      <c r="Z58" s="142" t="s">
        <v>42</v>
      </c>
      <c r="AA58" s="142" t="str">
        <f t="shared" si="90"/>
        <v>USGC/Nsea</v>
      </c>
      <c r="AB58" s="141">
        <v>720000</v>
      </c>
      <c r="AC58" s="141">
        <v>70</v>
      </c>
      <c r="AD58" s="263">
        <v>80</v>
      </c>
      <c r="AE58" s="149">
        <f t="shared" si="80"/>
        <v>3.3865555555555558</v>
      </c>
      <c r="AF58" s="15">
        <f t="shared" si="81"/>
        <v>0</v>
      </c>
      <c r="AG58" s="155">
        <f>IF(AND($AZ$48=1,VLOOKUP(Z58,Control!$AS$37:$AV$68,4,FALSE)&lt;0),0,VLOOKUP(Z58,Control!$AS$37:$AV$68,4,FALSE))</f>
        <v>0</v>
      </c>
      <c r="AH58" s="143">
        <f>AF58*VLOOKUP($Y58,Control!$F$75:$H$87,3,FALSE)/$AB58</f>
        <v>0</v>
      </c>
      <c r="AI58" s="144">
        <f>$AG58*Control!$D$77</f>
        <v>0</v>
      </c>
      <c r="AJ58" s="143">
        <f>IF(((AB58-VLOOKUP(Y58,Control!$J$76:$K$82,2,FALSE))/AL58)&lt;=0,0,ROUNDUP(((AB58-VLOOKUP(Y58,Control!$J$76:$K$82,2,FALSE))/Control!$D$86),0)*IF(AL58=Control!$D$86,Control!$H$91,Control!$H$90)/AB58)</f>
        <v>0</v>
      </c>
      <c r="AK58" s="143">
        <f>IF(I58="Corpus Christi",Control!$D$76,0)</f>
        <v>0</v>
      </c>
      <c r="AL58" s="143">
        <f>IF(AND(Control!$D$85-ROUNDUP(((AB58-VLOOKUP(Y58,Control!$J$76:$K$82,2,FALSE))),0)&gt;0,Control!$D$85-ROUNDUP(((AB58-VLOOKUP(Y58,Control!$J$76:$K$82,2,FALSE))),0)&lt;Control!$D$86-ROUNDUP(((AB58-VLOOKUP(Y58,Control!$J$76:$K$82,2,FALSE))),0)),Control!$D$85,Control!$D$86)</f>
        <v>750000</v>
      </c>
      <c r="AM58" s="143">
        <f>Control!$D$78</f>
        <v>0</v>
      </c>
      <c r="AN58" s="143">
        <f>Control!$D$79</f>
        <v>6.7299999999999999E-2</v>
      </c>
      <c r="AO58" s="143">
        <f>IF(INDEX(Control!$Q$3:$S$62,MATCH($Z58,Control!$Q$3:$Q$62,0),MATCH(AO$8,Control!$Q$3:$S$3,0))=1,Control!$D$81*Control!$E$81,0)</f>
        <v>0</v>
      </c>
      <c r="AP58" s="143">
        <f>AP50</f>
        <v>0</v>
      </c>
      <c r="AQ58" s="143">
        <f>116490/AB58</f>
        <v>0.16179166666666667</v>
      </c>
      <c r="AR58" s="143"/>
      <c r="AS58" s="149">
        <f t="shared" ref="AS58:AS62" si="91">SUM(AH58:AK58,AM58:AR58)</f>
        <v>0.22909166666666667</v>
      </c>
      <c r="AT58" s="149">
        <f t="shared" si="71"/>
        <v>3.6156472222222225</v>
      </c>
      <c r="AU58" s="149">
        <f t="shared" si="72"/>
        <v>0.32</v>
      </c>
      <c r="AV58" s="149">
        <f t="shared" si="73"/>
        <v>-0.13</v>
      </c>
      <c r="AW58" s="501">
        <f t="shared" si="74"/>
        <v>2.1556472222222225</v>
      </c>
      <c r="AZ58" s="153">
        <f>$AZ$50</f>
        <v>17</v>
      </c>
      <c r="BA58" s="163">
        <f t="shared" ref="BA58:BA64" si="92">IF(ISBLANK(A58),"",A58+$AZ58+D58)</f>
        <v>45692</v>
      </c>
      <c r="BB58" s="163">
        <f t="shared" si="75"/>
        <v>45694</v>
      </c>
      <c r="BC58" s="163" t="s">
        <v>157</v>
      </c>
      <c r="BD58" s="490">
        <f t="shared" si="76"/>
        <v>45716</v>
      </c>
      <c r="BE58" s="490">
        <f t="shared" si="77"/>
        <v>45716</v>
      </c>
      <c r="BF58" s="735">
        <f t="shared" si="38"/>
        <v>2603266</v>
      </c>
      <c r="BG58"/>
      <c r="BO58"/>
      <c r="BP58"/>
    </row>
    <row r="59" spans="1:68" ht="18" customHeight="1" thickBot="1" x14ac:dyDescent="0.4">
      <c r="A59" s="163">
        <f t="shared" si="78"/>
        <v>45675</v>
      </c>
      <c r="B59" s="163">
        <f t="shared" si="79"/>
        <v>45677</v>
      </c>
      <c r="D59" s="153">
        <f>IF(AJ59=0,0,VLOOKUP(Y59,Control!$G$41:$J$44,4,FALSE))</f>
        <v>0</v>
      </c>
      <c r="E59" s="518">
        <f t="shared" si="68"/>
        <v>45676</v>
      </c>
      <c r="F59"/>
      <c r="G59"/>
      <c r="H59"/>
      <c r="I59"/>
      <c r="J59"/>
      <c r="K59"/>
      <c r="L59"/>
      <c r="M59"/>
      <c r="N59"/>
      <c r="O59"/>
      <c r="P59"/>
      <c r="Q59"/>
      <c r="T59" s="191">
        <f>INDEX('[2]Flat Rates 2024'!$A:$DZ,MATCH(V59,'[2]Flat Rates 2024'!$A:$A,0),MATCH(Z59,'[2]Flat Rates 2024'!$A$1:$DZ$1,0))</f>
        <v>24.23</v>
      </c>
      <c r="U59" s="138">
        <v>0</v>
      </c>
      <c r="V59" s="138" t="s">
        <v>45</v>
      </c>
      <c r="W59" s="641">
        <v>145000</v>
      </c>
      <c r="X59" s="140">
        <f>AB59/Control!$D$84</f>
        <v>94601.816361556062</v>
      </c>
      <c r="Y59" s="147" t="s">
        <v>24</v>
      </c>
      <c r="Z59" s="142" t="s">
        <v>96</v>
      </c>
      <c r="AA59" s="142" t="str">
        <f t="shared" si="90"/>
        <v>USGC/Nsea</v>
      </c>
      <c r="AB59" s="141">
        <v>735000</v>
      </c>
      <c r="AC59" s="141">
        <v>70</v>
      </c>
      <c r="AD59" s="49">
        <v>62.5</v>
      </c>
      <c r="AE59" s="149">
        <f t="shared" si="80"/>
        <v>2.9875425170068026</v>
      </c>
      <c r="AF59" s="15">
        <f t="shared" si="81"/>
        <v>0</v>
      </c>
      <c r="AG59" s="155">
        <f>IF(AND($AZ$48=1,VLOOKUP(Z59,Control!$AS$37:$AV$68,4,FALSE)&lt;0),0,VLOOKUP(Z59,Control!$AS$37:$AV$68,4,FALSE))</f>
        <v>0</v>
      </c>
      <c r="AH59" s="143">
        <f>AF59*VLOOKUP($Y59,Control!$F$75:$H$87,3,FALSE)/$AB59</f>
        <v>0</v>
      </c>
      <c r="AI59" s="144">
        <f>$AG59*Control!$D$77</f>
        <v>0</v>
      </c>
      <c r="AJ59" s="143">
        <f>IF(((AB59-VLOOKUP(Y59,Control!$J$76:$K$82,2,FALSE))/AL59)&lt;=0,0,ROUNDUP(((AB59-VLOOKUP(Y59,Control!$J$76:$K$82,2,FALSE))/Control!$D$86),0)*IF(AL59=Control!$D$86,Control!$H$91,Control!$H$90)/AB59)</f>
        <v>0</v>
      </c>
      <c r="AK59" s="143">
        <f>IF(I59="Corpus Christi",Control!$D$76,0)</f>
        <v>0</v>
      </c>
      <c r="AL59" s="143">
        <f>IF(AND(Control!$D$85-ROUNDUP(((AB59-VLOOKUP(Y59,Control!$J$76:$K$82,2,FALSE))),0)&gt;0,Control!$D$85-ROUNDUP(((AB59-VLOOKUP(Y59,Control!$J$76:$K$82,2,FALSE))),0)&lt;Control!$D$86-ROUNDUP(((AB59-VLOOKUP(Y59,Control!$J$76:$K$82,2,FALSE))),0)),Control!$D$85,Control!$D$86)</f>
        <v>750000</v>
      </c>
      <c r="AM59" s="143">
        <f>Control!$D$78</f>
        <v>0</v>
      </c>
      <c r="AN59" s="143">
        <f>Control!$D$79</f>
        <v>6.7299999999999999E-2</v>
      </c>
      <c r="AO59" s="143">
        <f>IF(INDEX(Control!$Q$3:$S$62,MATCH($Z59,Control!$Q$3:$Q$62,0),MATCH(AO$8,Control!$Q$3:$S$3,0))=1,Control!$D$81*Control!$E$81,0)</f>
        <v>0</v>
      </c>
      <c r="AP59" s="143">
        <f>AP51</f>
        <v>0</v>
      </c>
      <c r="AQ59" s="143"/>
      <c r="AR59" s="143"/>
      <c r="AS59" s="149">
        <f t="shared" si="91"/>
        <v>6.7299999999999999E-2</v>
      </c>
      <c r="AT59" s="149">
        <f t="shared" si="71"/>
        <v>3.0548425170068025</v>
      </c>
      <c r="AU59" s="149">
        <f t="shared" si="72"/>
        <v>0.32</v>
      </c>
      <c r="AV59" s="149">
        <f t="shared" si="73"/>
        <v>-0.13</v>
      </c>
      <c r="AW59" s="497">
        <f t="shared" si="74"/>
        <v>1.5948425170068026</v>
      </c>
      <c r="AZ59" s="153">
        <f>AZ57</f>
        <v>20</v>
      </c>
      <c r="BA59" s="163">
        <f t="shared" si="92"/>
        <v>45695</v>
      </c>
      <c r="BB59" s="163">
        <f t="shared" si="75"/>
        <v>45697</v>
      </c>
      <c r="BC59" s="163" t="s">
        <v>157</v>
      </c>
      <c r="BD59" s="490">
        <f t="shared" si="76"/>
        <v>45716</v>
      </c>
      <c r="BE59" s="490">
        <f t="shared" si="77"/>
        <v>45716</v>
      </c>
      <c r="BF59" s="735">
        <f t="shared" si="38"/>
        <v>2245309.25</v>
      </c>
      <c r="BG59"/>
      <c r="BO59"/>
      <c r="BP59"/>
    </row>
    <row r="60" spans="1:68" ht="18" customHeight="1" thickBot="1" x14ac:dyDescent="0.4">
      <c r="A60" s="230">
        <f t="shared" si="78"/>
        <v>45675</v>
      </c>
      <c r="B60" s="230">
        <f t="shared" si="79"/>
        <v>45677</v>
      </c>
      <c r="D60" s="229">
        <f>IF(AJ60=0,0,VLOOKUP(Y60,Control!$G$41:$J$44,4,FALSE))</f>
        <v>9</v>
      </c>
      <c r="E60" s="519">
        <f t="shared" si="68"/>
        <v>45685</v>
      </c>
      <c r="F60"/>
      <c r="G60"/>
      <c r="H60"/>
      <c r="I60"/>
      <c r="J60"/>
      <c r="K60"/>
      <c r="L60"/>
      <c r="M60"/>
      <c r="N60"/>
      <c r="O60"/>
      <c r="P60"/>
      <c r="Q60"/>
      <c r="T60" s="220">
        <v>0</v>
      </c>
      <c r="U60" s="220">
        <f>INDEX(Control!$E$17:$J$21,MATCH(Y60,Control!$E$17:$E$21,0),MATCH(V60,Control!$E$17:$J$17,0))</f>
        <v>0.5</v>
      </c>
      <c r="V60" s="220" t="s">
        <v>45</v>
      </c>
      <c r="W60" s="213">
        <f>INDEX(Vessel_Minimum_MT,MATCH(Y60,Control!$E$11:$E$15,0),MATCH(V60,Control!$E$11:$J$11,0))</f>
        <v>270000</v>
      </c>
      <c r="X60" s="222">
        <f>AB60/Control!$D$84</f>
        <v>267073.15503432491</v>
      </c>
      <c r="Y60" s="215" t="s">
        <v>25</v>
      </c>
      <c r="Z60" s="591" t="s">
        <v>42</v>
      </c>
      <c r="AA60" s="212" t="str">
        <f t="shared" si="90"/>
        <v>USGC/Nsea</v>
      </c>
      <c r="AB60" s="214">
        <f>AB42</f>
        <v>2075000</v>
      </c>
      <c r="AC60" s="214"/>
      <c r="AD60" s="653">
        <v>2750000</v>
      </c>
      <c r="AE60" s="225">
        <f>AD60/AB60</f>
        <v>1.3253012048192772</v>
      </c>
      <c r="AF60" s="304">
        <v>5</v>
      </c>
      <c r="AG60" s="214">
        <f>IF(AND($AZ$48=1,VLOOKUP(Z60,Control!$AS$37:$AV$68,4,FALSE)&lt;0),0,VLOOKUP(Z60,Control!$AS$37:$AV$68,4,FALSE))</f>
        <v>0</v>
      </c>
      <c r="AH60" s="227">
        <f>AF60*VLOOKUP($Y60,Control!$F$75:$H$87,3,FALSE)/$AB60</f>
        <v>1.0843373493975903</v>
      </c>
      <c r="AI60" s="226">
        <f>$AG60*Control!$D$77</f>
        <v>0</v>
      </c>
      <c r="AJ60" s="227">
        <f>IF(((AB60-VLOOKUP(Y60,Control!$J$76:$K$80,2,FALSE))/Control!$D$85)&lt;=0,0,ROUNDUP(((AB60-VLOOKUP(Y60,Control!$J$76:$K$80,2,FALSE))/Control!$D$85),0)*Control!$H$90/AB60)</f>
        <v>2.6746987951807228</v>
      </c>
      <c r="AK60" s="227">
        <f>IF(I60="Corpus Christi",Control!$D$76,0)</f>
        <v>0</v>
      </c>
      <c r="AL60" s="227">
        <v>0</v>
      </c>
      <c r="AM60" s="227">
        <f>Control!$D$78</f>
        <v>0</v>
      </c>
      <c r="AN60" s="227">
        <f>Control!$D$79</f>
        <v>6.7299999999999999E-2</v>
      </c>
      <c r="AO60" s="227">
        <f>IF(INDEX(Control!$Q$3:$S$62,MATCH($Z60,Control!$Q$3:$Q$62,0),MATCH(AO$8,Control!$Q$3:$S$3,0))=1,Control!$D$81*Control!$E$81,0)</f>
        <v>0</v>
      </c>
      <c r="AP60" s="227">
        <f>IF(INDEX(Control!$Q$3:$S$62,MATCH($Z60,Control!$Q$3:$Q$62,0),MATCH(AP$8,Control!$Q$3:$S$3,0))=1,INDEX(Control!$AK$3:$AO$69,MATCH(FORTIES!Z60,Control!$AK$3:$AK$29,0),MATCH(FORTIES!Y60,Control!$AK$3:$AO$3,0))/AB60*1000,0)</f>
        <v>0</v>
      </c>
      <c r="AQ60" s="227">
        <f>116490/AB61</f>
        <v>5.9738461538461539E-2</v>
      </c>
      <c r="AR60" s="227"/>
      <c r="AS60" s="225">
        <f t="shared" si="91"/>
        <v>3.8860746061167744</v>
      </c>
      <c r="AT60" s="225">
        <f t="shared" si="71"/>
        <v>5.2113758109360511</v>
      </c>
      <c r="AU60" s="225">
        <f t="shared" si="72"/>
        <v>0.32</v>
      </c>
      <c r="AV60" s="225">
        <f t="shared" si="73"/>
        <v>-0.13</v>
      </c>
      <c r="AW60" s="591">
        <f t="shared" si="74"/>
        <v>3.7513758109360511</v>
      </c>
      <c r="AY60" s="220"/>
      <c r="AZ60" s="229">
        <f>+INDEX('[1]Transit Time'!$A:$DZ,MATCH(V60,'[1]Transit Time'!$A:$A,0),MATCH(Z60,'[1]Transit Time'!$A$1:$DZ$1,0))</f>
        <v>17</v>
      </c>
      <c r="BA60" s="230">
        <f t="shared" si="92"/>
        <v>45701</v>
      </c>
      <c r="BB60" s="230">
        <f t="shared" si="75"/>
        <v>45703</v>
      </c>
      <c r="BC60" s="230" t="s">
        <v>157</v>
      </c>
      <c r="BD60" s="489">
        <f t="shared" si="76"/>
        <v>45716</v>
      </c>
      <c r="BE60" s="489">
        <f t="shared" si="77"/>
        <v>45716</v>
      </c>
      <c r="BF60" s="735">
        <f t="shared" si="38"/>
        <v>10813604.807692306</v>
      </c>
      <c r="BG60"/>
      <c r="BO60"/>
      <c r="BP60"/>
    </row>
    <row r="61" spans="1:68" ht="18" customHeight="1" thickBot="1" x14ac:dyDescent="0.4">
      <c r="A61" s="163">
        <f t="shared" si="78"/>
        <v>45675</v>
      </c>
      <c r="B61" s="163">
        <f t="shared" si="79"/>
        <v>45677</v>
      </c>
      <c r="D61" s="153">
        <v>3</v>
      </c>
      <c r="E61" s="518">
        <f t="shared" si="68"/>
        <v>45679</v>
      </c>
      <c r="F61"/>
      <c r="G61"/>
      <c r="H61"/>
      <c r="I61"/>
      <c r="J61"/>
      <c r="K61"/>
      <c r="L61"/>
      <c r="M61"/>
      <c r="N61"/>
      <c r="O61"/>
      <c r="P61"/>
      <c r="Q61"/>
      <c r="T61" s="191">
        <f>INDEX('[2]Flat Rates 2024'!$A:$DZ,MATCH(V61,'[2]Flat Rates 2024'!$A:$A,0),MATCH(Z61,'[2]Flat Rates 2024'!$A$1:$DZ$1,0))</f>
        <v>21.02</v>
      </c>
      <c r="U61" s="138">
        <v>0.5</v>
      </c>
      <c r="V61" s="138" t="s">
        <v>45</v>
      </c>
      <c r="W61" s="116">
        <f>W60</f>
        <v>270000</v>
      </c>
      <c r="X61" s="140">
        <f>AB61/Control!$D$84</f>
        <v>250984.41075514874</v>
      </c>
      <c r="Y61" s="655" t="s">
        <v>26</v>
      </c>
      <c r="Z61" s="142" t="s">
        <v>42</v>
      </c>
      <c r="AA61" s="142" t="str">
        <f t="shared" si="90"/>
        <v>USGC/Nsea</v>
      </c>
      <c r="AB61" s="141">
        <v>1950000</v>
      </c>
      <c r="AC61" s="141">
        <v>70</v>
      </c>
      <c r="AD61" s="481">
        <f>$AD$60</f>
        <v>2750000</v>
      </c>
      <c r="AE61" s="149">
        <f>AD61/AB61</f>
        <v>1.4102564102564104</v>
      </c>
      <c r="AF61" s="15">
        <v>2</v>
      </c>
      <c r="AG61" s="155">
        <f>IF(AND($AZ$48=1,VLOOKUP(Z61,Control!$AS$37:$AV$68,4,FALSE)&lt;0),0,VLOOKUP(Z61,Control!$AS$37:$AV$68,4,FALSE))</f>
        <v>0</v>
      </c>
      <c r="AH61" s="143">
        <f>AF61*VLOOKUP($Y61,Control!$F$75:$H$87,3,FALSE)/$AB61</f>
        <v>0.46153846153846156</v>
      </c>
      <c r="AI61" s="144">
        <f>$AG61*Control!$D$77</f>
        <v>0</v>
      </c>
      <c r="AJ61" s="143">
        <f>IF(((AB61-VLOOKUP(Y61,Control!$J$76:$K$82,2,FALSE))/AL61)&lt;=0,0,ROUNDUP(((AB61-VLOOKUP(Y61,Control!$J$76:$K$82,2,FALSE))/Control!$D$86),0)*IF(AL61=Control!$D$86,Control!$H$91,Control!$H$90)/AB61)</f>
        <v>0.94871794871794868</v>
      </c>
      <c r="AK61" s="143">
        <f>IF(I61="Corpus Christi",Control!$D$76,0)</f>
        <v>0</v>
      </c>
      <c r="AL61" s="586">
        <f>IF(AND(Control!$D$85-ROUNDUP(((AB61-VLOOKUP(Y61,Control!$J$76:$K$82,2,FALSE))),0)&gt;0,Control!$D$85-ROUNDUP(((AB61-VLOOKUP(Y61,Control!$J$76:$K$82,2,FALSE))),0)&lt;Control!$D$86-ROUNDUP(((AB61-VLOOKUP(Y61,Control!$J$76:$K$82,2,FALSE))),0)),Control!$D$85,Control!$D$86)</f>
        <v>750000</v>
      </c>
      <c r="AM61" s="143">
        <f>Control!$D$78</f>
        <v>0</v>
      </c>
      <c r="AN61" s="143">
        <f>Control!$D$79</f>
        <v>6.7299999999999999E-2</v>
      </c>
      <c r="AO61" s="143">
        <f>IF(INDEX(Control!$Q$3:$S$62,MATCH($Z61,Control!$Q$3:$Q$62,0),MATCH(AO$8,Control!$Q$3:$S$3,0))=1,Control!$D$81*Control!$E$81,0)</f>
        <v>0</v>
      </c>
      <c r="AP61" s="143">
        <f>AP60</f>
        <v>0</v>
      </c>
      <c r="AQ61" s="143">
        <f>116490/AB61</f>
        <v>5.9738461538461539E-2</v>
      </c>
      <c r="AR61" s="143"/>
      <c r="AS61" s="546">
        <f t="shared" si="91"/>
        <v>1.5372948717948716</v>
      </c>
      <c r="AT61" s="149">
        <f t="shared" si="71"/>
        <v>2.9475512820512817</v>
      </c>
      <c r="AU61" s="149">
        <f t="shared" si="72"/>
        <v>0.32</v>
      </c>
      <c r="AV61" s="149">
        <f t="shared" si="73"/>
        <v>-0.13</v>
      </c>
      <c r="AW61" s="656">
        <f t="shared" si="74"/>
        <v>1.4875512820512817</v>
      </c>
      <c r="AZ61" s="153">
        <f>+INDEX('[1]Transit Time'!$A:$DZ,MATCH(V61,'[1]Transit Time'!$A:$A,0),MATCH(Z61,'[1]Transit Time'!$A$1:$DZ$1,0))</f>
        <v>17</v>
      </c>
      <c r="BA61" s="163">
        <f t="shared" si="92"/>
        <v>45695</v>
      </c>
      <c r="BB61" s="163">
        <f t="shared" si="75"/>
        <v>45697</v>
      </c>
      <c r="BC61" s="163" t="s">
        <v>157</v>
      </c>
      <c r="BD61" s="490">
        <f t="shared" si="76"/>
        <v>45716</v>
      </c>
      <c r="BE61" s="490">
        <f t="shared" si="77"/>
        <v>45716</v>
      </c>
      <c r="BF61" s="735">
        <f t="shared" si="38"/>
        <v>5747724.9999999991</v>
      </c>
      <c r="BG61"/>
      <c r="BO61"/>
      <c r="BP61"/>
    </row>
    <row r="62" spans="1:68" ht="18" customHeight="1" thickBot="1" x14ac:dyDescent="0.4">
      <c r="A62" s="163">
        <f t="shared" si="78"/>
        <v>45675</v>
      </c>
      <c r="B62" s="163">
        <f t="shared" si="79"/>
        <v>45677</v>
      </c>
      <c r="D62" s="153">
        <v>3</v>
      </c>
      <c r="E62" s="518">
        <f t="shared" si="68"/>
        <v>45679</v>
      </c>
      <c r="F62"/>
      <c r="G62"/>
      <c r="H62"/>
      <c r="I62"/>
      <c r="J62"/>
      <c r="K62"/>
      <c r="L62"/>
      <c r="M62"/>
      <c r="N62"/>
      <c r="O62"/>
      <c r="P62"/>
      <c r="Q62"/>
      <c r="T62" s="191">
        <f>INDEX('[2]Flat Rates 2024'!$A:$DZ,MATCH(V62,'[2]Flat Rates 2024'!$A:$A,0),MATCH(Z62,'[2]Flat Rates 2024'!$A$1:$DZ$1,0))</f>
        <v>21.02</v>
      </c>
      <c r="U62" s="138">
        <v>0.5</v>
      </c>
      <c r="V62" s="138" t="s">
        <v>45</v>
      </c>
      <c r="W62" s="116">
        <f>W61</f>
        <v>270000</v>
      </c>
      <c r="X62" s="140">
        <f>AB62/Control!$D$84</f>
        <v>250984.41075514874</v>
      </c>
      <c r="Y62" s="732" t="s">
        <v>27</v>
      </c>
      <c r="Z62" s="142" t="s">
        <v>42</v>
      </c>
      <c r="AA62" s="142" t="str">
        <f t="shared" si="90"/>
        <v>USGC/Nsea</v>
      </c>
      <c r="AB62" s="141">
        <f>AB61</f>
        <v>1950000</v>
      </c>
      <c r="AC62" s="141">
        <v>70</v>
      </c>
      <c r="AD62" s="481">
        <f>$AD$60</f>
        <v>2750000</v>
      </c>
      <c r="AE62" s="149">
        <f>AD62/AB62</f>
        <v>1.4102564102564104</v>
      </c>
      <c r="AF62" s="15">
        <v>2</v>
      </c>
      <c r="AG62" s="155">
        <f>IF(AND($AZ$48=1,VLOOKUP(Z62,Control!$AS$37:$AV$68,4,FALSE)&lt;0),0,VLOOKUP(Z62,Control!$AS$37:$AV$68,4,FALSE))</f>
        <v>0</v>
      </c>
      <c r="AH62" s="143">
        <f>AF62*VLOOKUP($Y62,Control!$F$75:$H$87,3,FALSE)/$AB62</f>
        <v>0.46153846153846156</v>
      </c>
      <c r="AI62" s="144">
        <f>$AG62*Control!$D$77</f>
        <v>0</v>
      </c>
      <c r="AJ62" s="143">
        <f>IF(((AB62-VLOOKUP(Y62,Control!$J$76:$K$82,2,FALSE))/AL62)&lt;=0,0,ROUNDUP(((AB62-VLOOKUP(Y62,Control!$J$76:$K$82,2,FALSE))/Control!$D$86),0)*IF(AL62=Control!$D$86,Control!$H$91,Control!$H$90)/AB62)</f>
        <v>0.94871794871794868</v>
      </c>
      <c r="AK62" s="143">
        <f>IF(I62="Corpus Christi",Control!$D$76,0)</f>
        <v>0</v>
      </c>
      <c r="AL62" s="586">
        <f>IF(AND(Control!$D$85-ROUNDUP(((AB62-VLOOKUP(Y62,Control!$J$76:$K$82,2,FALSE))),0)&gt;0,Control!$D$85-ROUNDUP(((AB62-VLOOKUP(Y62,Control!$J$76:$K$82,2,FALSE))),0)&lt;Control!$D$86-ROUNDUP(((AB62-VLOOKUP(Y62,Control!$J$76:$K$82,2,FALSE))),0)),Control!$D$85,Control!$D$86)</f>
        <v>750000</v>
      </c>
      <c r="AM62" s="143">
        <f>Control!$D$78</f>
        <v>0</v>
      </c>
      <c r="AN62" s="143">
        <f>Control!$D$79</f>
        <v>6.7299999999999999E-2</v>
      </c>
      <c r="AO62" s="143">
        <f>IF(INDEX(Control!$Q$3:$S$62,MATCH($Z62,Control!$Q$3:$Q$62,0),MATCH(AO$8,Control!$Q$3:$S$3,0))=1,Control!$D$81*Control!$E$81,0)</f>
        <v>0</v>
      </c>
      <c r="AP62" s="143">
        <f>AP61</f>
        <v>0</v>
      </c>
      <c r="AQ62" s="143">
        <f>116490/AB62</f>
        <v>5.9738461538461539E-2</v>
      </c>
      <c r="AR62" s="143"/>
      <c r="AS62" s="546">
        <f t="shared" si="91"/>
        <v>1.5372948717948716</v>
      </c>
      <c r="AT62" s="149">
        <f t="shared" si="71"/>
        <v>2.9475512820512817</v>
      </c>
      <c r="AU62" s="149">
        <f t="shared" si="72"/>
        <v>0.32</v>
      </c>
      <c r="AV62" s="149">
        <f t="shared" si="73"/>
        <v>-0.13</v>
      </c>
      <c r="AW62" s="733">
        <f t="shared" si="74"/>
        <v>1.4875512820512817</v>
      </c>
      <c r="AZ62" s="153">
        <f>+INDEX('[1]Transit Time'!$A:$DZ,MATCH(V62,'[1]Transit Time'!$A:$A,0),MATCH(Z62,'[1]Transit Time'!$A$1:$DZ$1,0))</f>
        <v>17</v>
      </c>
      <c r="BA62" s="163">
        <f t="shared" si="92"/>
        <v>45695</v>
      </c>
      <c r="BB62" s="163">
        <f t="shared" si="75"/>
        <v>45697</v>
      </c>
      <c r="BC62" s="163" t="s">
        <v>157</v>
      </c>
      <c r="BD62" s="490">
        <f t="shared" si="76"/>
        <v>45716</v>
      </c>
      <c r="BE62" s="490">
        <f t="shared" si="77"/>
        <v>45716</v>
      </c>
      <c r="BF62" s="735">
        <f t="shared" si="38"/>
        <v>5747724.9999999991</v>
      </c>
      <c r="BG62"/>
      <c r="BO62"/>
      <c r="BP62"/>
    </row>
    <row r="63" spans="1:68" ht="18" customHeight="1" x14ac:dyDescent="0.35">
      <c r="A63" s="230">
        <f t="shared" si="78"/>
        <v>45675</v>
      </c>
      <c r="B63" s="230">
        <f t="shared" si="79"/>
        <v>45677</v>
      </c>
      <c r="D63" s="229">
        <f>IF(AJ63=0,0,VLOOKUP(Y63,Control!$G$41:$J$44,4,FALSE))</f>
        <v>9</v>
      </c>
      <c r="E63" s="519">
        <f t="shared" si="68"/>
        <v>45685</v>
      </c>
      <c r="F63"/>
      <c r="G63"/>
      <c r="H63"/>
      <c r="I63"/>
      <c r="J63"/>
      <c r="K63"/>
      <c r="L63"/>
      <c r="M63"/>
      <c r="N63"/>
      <c r="O63"/>
      <c r="P63"/>
      <c r="Q63"/>
      <c r="T63" s="220">
        <v>0</v>
      </c>
      <c r="U63" s="220">
        <f>INDEX(Control!$E$17:$J$21,MATCH(Y63,Control!$E$17:$E$21,0),MATCH(V63,Control!$E$17:$J$17,0))</f>
        <v>0.5</v>
      </c>
      <c r="V63" s="220" t="s">
        <v>45</v>
      </c>
      <c r="W63" s="213">
        <f>INDEX(Vessel_Minimum_MT,MATCH(Y63,Control!$E$11:$E$15,0),MATCH(V63,Control!$E$11:$J$11,0))</f>
        <v>270000</v>
      </c>
      <c r="X63" s="222">
        <f>AB63/Control!$D$84</f>
        <v>267073.15503432491</v>
      </c>
      <c r="Y63" s="215" t="s">
        <v>25</v>
      </c>
      <c r="Z63" s="212" t="s">
        <v>72</v>
      </c>
      <c r="AA63" s="212" t="s">
        <v>220</v>
      </c>
      <c r="AB63" s="214">
        <f>AB60</f>
        <v>2075000</v>
      </c>
      <c r="AC63" s="214"/>
      <c r="AD63" s="224">
        <f>$AD$60+150000</f>
        <v>2900000</v>
      </c>
      <c r="AE63" s="225">
        <f>AD63/AB63</f>
        <v>1.3975903614457832</v>
      </c>
      <c r="AF63" s="304">
        <v>5</v>
      </c>
      <c r="AG63" s="214">
        <f>IF(AND($AZ$48=1,VLOOKUP(Z63,Control!$AS$37:$AV$68,4,FALSE)&lt;0),0,VLOOKUP(Z63,Control!$AS$37:$AV$68,4,FALSE))</f>
        <v>0</v>
      </c>
      <c r="AH63" s="227">
        <f>AF63*VLOOKUP($Y63,Control!$F$75:$H$87,3,FALSE)/$AB63</f>
        <v>1.0843373493975903</v>
      </c>
      <c r="AI63" s="226">
        <f>$AG63*Control!$D$77</f>
        <v>0</v>
      </c>
      <c r="AJ63" s="227">
        <f>IF(((AB63-VLOOKUP(Y63,Control!$J$76:$K$80,2,FALSE))/Control!$D$85)&lt;=0,0,ROUNDUP(((AB63-VLOOKUP(Y63,Control!$J$76:$K$80,2,FALSE))/Control!$D$85),0)*Control!$H$90/AB63)</f>
        <v>2.6746987951807228</v>
      </c>
      <c r="AK63" s="227">
        <f>IF(I63="Corpus Christi",Control!$D$76,0)</f>
        <v>0</v>
      </c>
      <c r="AL63" s="227">
        <v>0</v>
      </c>
      <c r="AM63" s="227">
        <f>Control!$D$78</f>
        <v>0</v>
      </c>
      <c r="AN63" s="227">
        <f>Control!$D$79</f>
        <v>6.7299999999999999E-2</v>
      </c>
      <c r="AO63" s="227">
        <f>IF(INDEX(Control!$Q$3:$S$62,MATCH($Z63,Control!$Q$3:$Q$62,0),MATCH(AO$8,Control!$Q$3:$S$3,0))=1,Control!$D$81*Control!$E$81,0)</f>
        <v>0</v>
      </c>
      <c r="AP63" s="227">
        <f>IF(INDEX(Control!$Q$3:$S$62,MATCH($Z63,Control!$Q$3:$Q$62,0),MATCH(AP$8,Control!$Q$3:$S$3,0))=1,INDEX(Control!$AK$3:$AO$69,MATCH(FORTIES!Z63,Control!$AK$3:$AK$29,0),MATCH(FORTIES!Y63,Control!$AK$3:$AO$3,0))/AB63*1000,0)</f>
        <v>0</v>
      </c>
      <c r="AQ63" s="227"/>
      <c r="AR63" s="227"/>
      <c r="AS63" s="225">
        <f t="shared" ref="AS63" si="93">SUM(AH63:AR63)</f>
        <v>3.8263361445783128</v>
      </c>
      <c r="AT63" s="225">
        <f t="shared" si="71"/>
        <v>5.223926506024096</v>
      </c>
      <c r="AU63" s="225">
        <f t="shared" si="72"/>
        <v>0.32</v>
      </c>
      <c r="AV63" s="225">
        <f t="shared" si="73"/>
        <v>-0.13</v>
      </c>
      <c r="AW63" s="498">
        <f t="shared" si="74"/>
        <v>3.7639265060240961</v>
      </c>
      <c r="AY63" s="220"/>
      <c r="AZ63" s="229">
        <v>14</v>
      </c>
      <c r="BA63" s="230">
        <f t="shared" si="92"/>
        <v>45698</v>
      </c>
      <c r="BB63" s="230">
        <f t="shared" si="75"/>
        <v>45700</v>
      </c>
      <c r="BC63" s="230" t="s">
        <v>157</v>
      </c>
      <c r="BD63" s="489">
        <f t="shared" si="76"/>
        <v>45716</v>
      </c>
      <c r="BE63" s="489">
        <f t="shared" si="77"/>
        <v>45716</v>
      </c>
      <c r="BF63" s="735">
        <f t="shared" si="38"/>
        <v>10839647.5</v>
      </c>
      <c r="BG63"/>
      <c r="BO63"/>
      <c r="BP63"/>
    </row>
    <row r="64" spans="1:68" ht="18" customHeight="1" thickBot="1" x14ac:dyDescent="0.4">
      <c r="A64" s="163">
        <f t="shared" si="78"/>
        <v>45675</v>
      </c>
      <c r="B64" s="163">
        <f t="shared" si="79"/>
        <v>45677</v>
      </c>
      <c r="D64" s="153">
        <f>IF(AJ64=0,0,VLOOKUP(Y64,Control!$G$41:$J$44,4,FALSE))</f>
        <v>3</v>
      </c>
      <c r="E64" s="518">
        <f t="shared" si="68"/>
        <v>45679</v>
      </c>
      <c r="F64"/>
      <c r="G64"/>
      <c r="H64"/>
      <c r="I64"/>
      <c r="J64"/>
      <c r="K64"/>
      <c r="L64"/>
      <c r="M64"/>
      <c r="N64"/>
      <c r="O64"/>
      <c r="P64"/>
      <c r="Q64"/>
      <c r="T64" s="191">
        <f>INDEX('[2]Flat Rates 2024'!$A:$DZ,MATCH(V64,'[2]Flat Rates 2024'!$A:$A,0),MATCH(Z64,'[2]Flat Rates 2024'!$A$1:$DZ$1,0))</f>
        <v>23.98</v>
      </c>
      <c r="U64" s="138">
        <v>0.5</v>
      </c>
      <c r="V64" s="138" t="s">
        <v>45</v>
      </c>
      <c r="W64" s="116">
        <f>W63</f>
        <v>270000</v>
      </c>
      <c r="X64" s="140">
        <f>AB64/Control!$D$84</f>
        <v>267073.15503432491</v>
      </c>
      <c r="Y64" s="147" t="s">
        <v>26</v>
      </c>
      <c r="Z64" s="142" t="s">
        <v>72</v>
      </c>
      <c r="AA64" s="142" t="s">
        <v>220</v>
      </c>
      <c r="AB64" s="141">
        <f>AB63</f>
        <v>2075000</v>
      </c>
      <c r="AC64" s="141">
        <v>70</v>
      </c>
      <c r="AD64" s="49">
        <f>AD63</f>
        <v>2900000</v>
      </c>
      <c r="AE64" s="149">
        <f>AD64/AB64</f>
        <v>1.3975903614457832</v>
      </c>
      <c r="AF64" s="15">
        <v>2</v>
      </c>
      <c r="AG64" s="155">
        <f>IF(AND($AZ$48=1,VLOOKUP(Z64,Control!$AS$37:$AV$68,4,FALSE)&lt;0),0,VLOOKUP(Z64,Control!$AS$37:$AV$68,4,FALSE))</f>
        <v>0</v>
      </c>
      <c r="AH64" s="143">
        <f>AF64*VLOOKUP($Y64,Control!$F$75:$H$87,3,FALSE)/$AB64</f>
        <v>0.43373493975903615</v>
      </c>
      <c r="AI64" s="144">
        <f>$AG64*Control!$D$77</f>
        <v>0</v>
      </c>
      <c r="AJ64" s="143">
        <f>IF(((AB64-VLOOKUP(Y64,Control!$J$76:$K$80,2,FALSE))/Control!$D$85)&lt;=0,0,ROUNDUP(((AB64-VLOOKUP(Y64,Control!$J$76:$K$80,2,FALSE))/Control!$D$85),0)*Control!$H$90/AB64)</f>
        <v>0.89156626506024095</v>
      </c>
      <c r="AK64" s="143">
        <f>IF(I64="Corpus Christi",Control!$D$76,0)</f>
        <v>0</v>
      </c>
      <c r="AL64" s="586">
        <f>IF(AND(Control!$D$85-ROUNDUP(((AB64-VLOOKUP(Y64,Control!$J$76:$K$82,2,FALSE))),0)&gt;0,Control!$D$85-ROUNDUP(((AB64-VLOOKUP(Y64,Control!$J$76:$K$82,2,FALSE))),0)&lt;Control!$D$86-ROUNDUP(((AB64-VLOOKUP(Y64,Control!$J$76:$K$82,2,FALSE))),0)),Control!$D$85,Control!$D$86)</f>
        <v>750000</v>
      </c>
      <c r="AM64" s="143">
        <f>Control!$D$78</f>
        <v>0</v>
      </c>
      <c r="AN64" s="143">
        <f>Control!$D$79</f>
        <v>6.7299999999999999E-2</v>
      </c>
      <c r="AO64" s="143">
        <f>IF(INDEX(Control!$Q$3:$S$62,MATCH($Z64,Control!$Q$3:$Q$62,0),MATCH(AO$8,Control!$Q$3:$S$3,0))=1,Control!$D$81*Control!$E$81,0)</f>
        <v>0</v>
      </c>
      <c r="AP64" s="143">
        <f>AP63</f>
        <v>0</v>
      </c>
      <c r="AQ64" s="143">
        <f>116490/AB64</f>
        <v>5.6139759036144578E-2</v>
      </c>
      <c r="AR64" s="143"/>
      <c r="AS64" s="546">
        <f t="shared" ref="AS64" si="94">SUM(AH64:AK64,AM64:AR64)</f>
        <v>1.4487409638554216</v>
      </c>
      <c r="AT64" s="149">
        <f t="shared" si="71"/>
        <v>2.8463313253012048</v>
      </c>
      <c r="AU64" s="149">
        <f t="shared" si="72"/>
        <v>0.32</v>
      </c>
      <c r="AV64" s="149">
        <f t="shared" si="73"/>
        <v>-0.13</v>
      </c>
      <c r="AW64" s="501">
        <f t="shared" si="74"/>
        <v>1.3863313253012048</v>
      </c>
      <c r="AZ64" s="153">
        <v>14</v>
      </c>
      <c r="BA64" s="163">
        <f t="shared" si="92"/>
        <v>45692</v>
      </c>
      <c r="BB64" s="163">
        <f t="shared" si="75"/>
        <v>45694</v>
      </c>
      <c r="BC64" s="163" t="s">
        <v>157</v>
      </c>
      <c r="BD64" s="490">
        <f t="shared" si="76"/>
        <v>45716</v>
      </c>
      <c r="BE64" s="490">
        <f t="shared" si="77"/>
        <v>45716</v>
      </c>
      <c r="BF64" s="735">
        <f t="shared" si="38"/>
        <v>5906137.5</v>
      </c>
      <c r="BG64"/>
      <c r="BO64"/>
      <c r="BP64"/>
    </row>
    <row r="65" spans="1:68" ht="19" thickBot="1" x14ac:dyDescent="0.5">
      <c r="A65" s="163"/>
      <c r="B65" s="163"/>
      <c r="D65" s="77"/>
      <c r="E65" s="520"/>
      <c r="F65"/>
      <c r="G65"/>
      <c r="H65"/>
      <c r="I65"/>
      <c r="J65"/>
      <c r="K65"/>
      <c r="L65"/>
      <c r="M65"/>
      <c r="N65"/>
      <c r="O65"/>
      <c r="P65"/>
      <c r="Q65"/>
      <c r="T65" s="9"/>
      <c r="U65" s="9"/>
      <c r="V65" s="9"/>
      <c r="W65" s="9"/>
      <c r="X65" s="9"/>
      <c r="Y65" s="999" t="s">
        <v>221</v>
      </c>
      <c r="Z65" s="1000"/>
      <c r="AA65" s="1000"/>
      <c r="AB65" s="1000"/>
      <c r="AC65" s="1000"/>
      <c r="AD65" s="1000"/>
      <c r="AE65" s="1000"/>
      <c r="AF65" s="1000"/>
      <c r="AG65" s="1000"/>
      <c r="AH65" s="1000"/>
      <c r="AI65" s="1000"/>
      <c r="AJ65" s="1000"/>
      <c r="AK65" s="1000"/>
      <c r="AL65" s="1000"/>
      <c r="AM65" s="1000"/>
      <c r="AN65" s="1000"/>
      <c r="AO65" s="1000"/>
      <c r="AP65" s="1000"/>
      <c r="AQ65" s="1000"/>
      <c r="AR65" s="1000"/>
      <c r="AS65" s="1000"/>
      <c r="AT65" s="1000"/>
      <c r="AU65" s="1000"/>
      <c r="AV65" s="1000"/>
      <c r="AW65" s="1001"/>
      <c r="AZ65" s="77"/>
      <c r="BA65" s="77">
        <f>AW57-AW50</f>
        <v>0.53569285714285719</v>
      </c>
      <c r="BB65" s="530">
        <f t="shared" si="75"/>
        <v>2.5356928571428572</v>
      </c>
      <c r="BC65"/>
      <c r="BD65" s="658">
        <f t="shared" si="76"/>
        <v>31</v>
      </c>
      <c r="BE65" s="658">
        <f t="shared" si="77"/>
        <v>31</v>
      </c>
      <c r="BG65"/>
      <c r="BO65"/>
      <c r="BP65"/>
    </row>
    <row r="66" spans="1:68" ht="47" thickBot="1" x14ac:dyDescent="0.4">
      <c r="A66" s="1011" t="s">
        <v>167</v>
      </c>
      <c r="B66" s="1011"/>
      <c r="D66" s="137" t="str">
        <f t="shared" ref="D66:E66" si="95">D49</f>
        <v>STS Time</v>
      </c>
      <c r="E66" s="521" t="str">
        <f t="shared" si="95"/>
        <v>Depart</v>
      </c>
      <c r="F66"/>
      <c r="G66"/>
      <c r="H66"/>
      <c r="I66"/>
      <c r="J66"/>
      <c r="K66"/>
      <c r="L66"/>
      <c r="M66"/>
      <c r="N66"/>
      <c r="O66"/>
      <c r="P66"/>
      <c r="Q66"/>
      <c r="T66" s="120" t="s">
        <v>172</v>
      </c>
      <c r="U66" s="120" t="s">
        <v>2</v>
      </c>
      <c r="V66" s="120" t="s">
        <v>173</v>
      </c>
      <c r="W66" s="152" t="str">
        <f>$W$8</f>
        <v>Vessel MT</v>
      </c>
      <c r="X66" s="120" t="s">
        <v>175</v>
      </c>
      <c r="Y66" s="120" t="s">
        <v>176</v>
      </c>
      <c r="Z66" s="120" t="s">
        <v>177</v>
      </c>
      <c r="AA66" s="120" t="s">
        <v>178</v>
      </c>
      <c r="AB66" s="120" t="s">
        <v>200</v>
      </c>
      <c r="AC66" s="146" t="str">
        <f>$AC$8</f>
        <v xml:space="preserve">Current WS Rate </v>
      </c>
      <c r="AD66" s="128" t="s">
        <v>202</v>
      </c>
      <c r="AE66" s="150" t="s">
        <v>182</v>
      </c>
      <c r="AF66" s="136" t="s">
        <v>183</v>
      </c>
      <c r="AG66" s="146" t="s">
        <v>279</v>
      </c>
      <c r="AH66" s="136" t="s">
        <v>184</v>
      </c>
      <c r="AI66" s="136" t="s">
        <v>140</v>
      </c>
      <c r="AJ66" s="136" t="str">
        <f>AJ23</f>
        <v>STS</v>
      </c>
      <c r="AK66" s="136" t="s">
        <v>186</v>
      </c>
      <c r="AL66" s="136" t="s">
        <v>187</v>
      </c>
      <c r="AM66" s="136" t="s">
        <v>141</v>
      </c>
      <c r="AN66" s="136" t="s">
        <v>188</v>
      </c>
      <c r="AO66" s="136" t="s">
        <v>17</v>
      </c>
      <c r="AP66" s="136" t="s">
        <v>207</v>
      </c>
      <c r="AQ66" s="136" t="s">
        <v>189</v>
      </c>
      <c r="AR66" s="136" t="s">
        <v>152</v>
      </c>
      <c r="AS66" s="150" t="s">
        <v>208</v>
      </c>
      <c r="AT66" s="150" t="s">
        <v>209</v>
      </c>
      <c r="AU66" s="150" t="s">
        <v>210</v>
      </c>
      <c r="AV66" s="150" t="str">
        <f>AV49</f>
        <v>Basis</v>
      </c>
      <c r="AW66" s="137" t="s">
        <v>211</v>
      </c>
      <c r="AZ66" s="137" t="s">
        <v>195</v>
      </c>
      <c r="BA66" s="522" t="s">
        <v>196</v>
      </c>
      <c r="BB66" s="522"/>
      <c r="BC66" s="487" t="str">
        <f>BC8</f>
        <v>Basis</v>
      </c>
      <c r="BD66" s="487" t="str">
        <f>BD49</f>
        <v>Pricing Month</v>
      </c>
      <c r="BE66" s="487" t="str">
        <f>BE49</f>
        <v>Delivery Month</v>
      </c>
      <c r="BG66"/>
      <c r="BO66"/>
      <c r="BP66"/>
    </row>
    <row r="67" spans="1:68" x14ac:dyDescent="0.35">
      <c r="A67" s="407">
        <f t="shared" ref="A67:A71" si="96">+$A$9</f>
        <v>45675</v>
      </c>
      <c r="B67" s="407">
        <f t="shared" ref="B67" si="97">IF(ISBLANK(A67),"",A67+2)</f>
        <v>45677</v>
      </c>
      <c r="D67" s="409">
        <f>IF(AJ67=0,0,VLOOKUP(Y67,Control!$G$41:$J$44,4,FALSE))</f>
        <v>0</v>
      </c>
      <c r="E67" s="593">
        <f t="shared" ref="E67" si="98">AVERAGE(A67:B67)+D67</f>
        <v>45676</v>
      </c>
      <c r="F67"/>
      <c r="G67"/>
      <c r="H67"/>
      <c r="I67"/>
      <c r="J67"/>
      <c r="K67"/>
      <c r="L67"/>
      <c r="M67"/>
      <c r="N67"/>
      <c r="O67"/>
      <c r="P67"/>
      <c r="Q67"/>
      <c r="T67" s="140">
        <f>$T$50</f>
        <v>21.02</v>
      </c>
      <c r="U67" s="138">
        <f>INDEX(Control!$E$17:$J$21,MATCH(Y67,Control!$E$17:$E$21,0),MATCH(V67,Control!$E$17:$J$17,0))</f>
        <v>0</v>
      </c>
      <c r="V67" s="138" t="s">
        <v>45</v>
      </c>
      <c r="W67" s="116">
        <f>INDEX(Vessel_Minimum_MT,MATCH(Y67,Control!$E$11:$E$15,0),MATCH(V67,Control!$E$11:$J$11,0))</f>
        <v>70000</v>
      </c>
      <c r="X67" s="140">
        <f>AB67/Control!$D$84</f>
        <v>90096.96796338672</v>
      </c>
      <c r="Y67" s="48" t="s">
        <v>23</v>
      </c>
      <c r="Z67" s="26" t="s">
        <v>119</v>
      </c>
      <c r="AA67" s="26" t="str">
        <f>AA50</f>
        <v>USGC/Nsea</v>
      </c>
      <c r="AB67" s="594">
        <v>700000</v>
      </c>
      <c r="AC67" s="15">
        <v>70</v>
      </c>
      <c r="AD67" s="549">
        <v>125</v>
      </c>
      <c r="AE67" s="50">
        <f>IF(AC67&gt;1000,IF(AD67=0,AC67,AD67)/AB67,((W67*T67*(IF(AD67=0,AC67,AD67)/100))+IF(X67&lt;W67,0,(X67-W67)*T67*IF(AD67=0,AC67,AD67)/100*U67))/AB67)</f>
        <v>2.6274999999999999</v>
      </c>
      <c r="AF67" s="28">
        <v>0</v>
      </c>
      <c r="AG67" s="595">
        <v>14</v>
      </c>
      <c r="AH67" s="29">
        <f>AF67*VLOOKUP($Y67,Control!$F$75:$H$87,3,FALSE)/$AB67</f>
        <v>0</v>
      </c>
      <c r="AI67" s="28">
        <f>$AG67*Control!$D$77</f>
        <v>0.18250630136986304</v>
      </c>
      <c r="AJ67" s="29">
        <f>IF(((AB67-VLOOKUP(Y67,Control!$J$76:$K$80,2,FALSE))/Control!$D$85)&lt;=0,0,ROUNDUP(((AB67-VLOOKUP(Y67,Control!$J$76:$K$80,2,FALSE))/Control!$D$85),0)*Control!$H$90/AB67)</f>
        <v>0</v>
      </c>
      <c r="AK67" s="29">
        <f>IF(I67="Corpus Christi",Control!$D$76,0)</f>
        <v>0</v>
      </c>
      <c r="AL67" s="29">
        <v>0</v>
      </c>
      <c r="AM67" s="29">
        <f>Control!$D$78</f>
        <v>0</v>
      </c>
      <c r="AN67" s="29"/>
      <c r="AO67" s="29"/>
      <c r="AP67" s="29"/>
      <c r="AQ67" s="29">
        <f>AQ50</f>
        <v>0.13425714285714285</v>
      </c>
      <c r="AR67" s="29">
        <f>IF(AND(L67="Chiriqui Grande",V67="Puerto Armuelles"),Control!$G$93,0)</f>
        <v>0</v>
      </c>
      <c r="AS67" s="50">
        <f t="shared" ref="AS67" si="99">SUM(AH67:AR67)</f>
        <v>0.31676344422700586</v>
      </c>
      <c r="AT67" s="50">
        <f>+R67+AE67+AS67</f>
        <v>2.9442634442270057</v>
      </c>
      <c r="AU67" s="50">
        <f t="shared" ref="AU67" si="100">IF((MONTH(A67)=MONTH(BE67)),0,IF(((MONTH(BE67))-MONTH(A67))+12*YEAR(BD67)-YEAR(A67)&gt;1,SUMIFS($BA$4:$BD$4,$BA$3:$BD$3,"&lt;="&amp;EOMONTH(BD67,-1),$BA$3:$BD$3,"&gt;="&amp;EOMONTH(A67,0)),VLOOKUP("Spreads",$AZ$3:$BD$4,MATCH(EOMONTH(A67,0),$AZ$3:$BD$3,0))))</f>
        <v>0.32</v>
      </c>
      <c r="AV67" s="149">
        <v>-0.17</v>
      </c>
      <c r="AW67" s="596">
        <f>$Y$3+AT67+AU67+AV67</f>
        <v>1.4442634442270059</v>
      </c>
      <c r="AZ67" s="409">
        <f>$AZ$50</f>
        <v>17</v>
      </c>
      <c r="BA67" s="407">
        <f>IF(ISBLANK(E67),"",E67+$AZ67+D67)</f>
        <v>45693</v>
      </c>
      <c r="BB67" s="407">
        <f t="shared" ref="BB67" si="101">BA67+2</f>
        <v>45695</v>
      </c>
      <c r="BC67" s="407" t="s">
        <v>157</v>
      </c>
      <c r="BD67" s="597">
        <f t="shared" ref="BD67:BD71" si="102">EOMONTH(BB67,0)</f>
        <v>45716</v>
      </c>
      <c r="BE67" s="597">
        <f t="shared" ref="BE67:BE71" si="103">BD67</f>
        <v>45716</v>
      </c>
      <c r="BF67" s="736">
        <f>BA67-31</f>
        <v>45662</v>
      </c>
      <c r="BG67"/>
      <c r="BO67"/>
      <c r="BP67"/>
    </row>
    <row r="68" spans="1:68" ht="6.75" customHeight="1" thickBot="1" x14ac:dyDescent="0.4">
      <c r="A68"/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W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G68"/>
      <c r="BO68"/>
      <c r="BP68"/>
    </row>
    <row r="69" spans="1:68" ht="16" thickBot="1" x14ac:dyDescent="0.4">
      <c r="A69"/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W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 s="1017" t="s">
        <v>222</v>
      </c>
      <c r="AV69" s="1018"/>
      <c r="AW69" s="643">
        <f>AW71-AW70</f>
        <v>0.12871130577299406</v>
      </c>
      <c r="AZ69" s="640"/>
      <c r="BA69" s="530"/>
      <c r="BB69" s="530"/>
      <c r="BC69" s="530"/>
      <c r="BD69" s="597"/>
      <c r="BE69" s="597"/>
      <c r="BG69"/>
      <c r="BO69"/>
      <c r="BP69"/>
    </row>
    <row r="70" spans="1:68" ht="16" thickBot="1" x14ac:dyDescent="0.4">
      <c r="A70" s="598">
        <f t="shared" si="96"/>
        <v>45675</v>
      </c>
      <c r="B70" s="599">
        <f t="shared" ref="B70:B71" si="104">IF(ISBLANK(A70),"",A70+2)</f>
        <v>45677</v>
      </c>
      <c r="C70" s="600"/>
      <c r="D70" s="601">
        <f>IF(AJ70=0,0,VLOOKUP(Y70,Control!$G$41:$J$44,4,FALSE))</f>
        <v>0</v>
      </c>
      <c r="E70" s="602">
        <f t="shared" ref="E70:E71" si="105">AVERAGE(A70:B70)+D70</f>
        <v>45676</v>
      </c>
      <c r="F70" s="600"/>
      <c r="G70" s="600"/>
      <c r="H70" s="600"/>
      <c r="I70" s="600"/>
      <c r="J70" s="600"/>
      <c r="K70" s="600"/>
      <c r="L70" s="600"/>
      <c r="M70" s="600"/>
      <c r="N70" s="600"/>
      <c r="O70" s="600"/>
      <c r="P70" s="600"/>
      <c r="Q70" s="600"/>
      <c r="R70" s="600"/>
      <c r="S70" s="600"/>
      <c r="T70" s="603">
        <f>$T$50</f>
        <v>21.02</v>
      </c>
      <c r="U70" s="604">
        <f>INDEX(Control!$E$17:$J$21,MATCH(Y70,Control!$E$17:$E$21,0),MATCH(V70,Control!$E$17:$J$17,0))</f>
        <v>0</v>
      </c>
      <c r="V70" s="604" t="s">
        <v>45</v>
      </c>
      <c r="W70" s="605">
        <f>INDEX(Vessel_Minimum_MT,MATCH(Y70,Control!$E$11:$E$15,0),MATCH(V70,Control!$E$11:$J$11,0))</f>
        <v>70000</v>
      </c>
      <c r="X70" s="603">
        <f>AB70/Control!$D$84</f>
        <v>90096.96796338672</v>
      </c>
      <c r="Y70" s="606" t="s">
        <v>23</v>
      </c>
      <c r="Z70" s="607" t="s">
        <v>119</v>
      </c>
      <c r="AA70" s="607" t="str">
        <f>AA51</f>
        <v>USGC/Nsea</v>
      </c>
      <c r="AB70" s="608">
        <v>700000</v>
      </c>
      <c r="AC70" s="609">
        <v>70</v>
      </c>
      <c r="AD70" s="610">
        <v>130</v>
      </c>
      <c r="AE70" s="611">
        <f>IF(AC70&gt;1000,IF(AD70=0,AC70,AD70)/AB70,((W70*T70*(IF(AD70=0,AC70,AD70)/100))+IF(X70&lt;W70,0,(X70-W70)*T70*IF(AD70=0,AC70,AD70)/100*U70))/AB70)</f>
        <v>2.7326000000000001</v>
      </c>
      <c r="AF70" s="612">
        <v>0</v>
      </c>
      <c r="AG70" s="595">
        <v>14</v>
      </c>
      <c r="AH70" s="613">
        <f>AF70*VLOOKUP($Y70,Control!$F$75:$H$87,3,FALSE)/$AB70</f>
        <v>0</v>
      </c>
      <c r="AI70" s="612">
        <f>$AG70*Control!$D$77</f>
        <v>0.18250630136986304</v>
      </c>
      <c r="AJ70" s="613">
        <f>IF(((AB70-VLOOKUP(Y70,Control!$J$76:$K$80,2,FALSE))/Control!$D$85)&lt;=0,0,ROUNDUP(((AB70-VLOOKUP(Y70,Control!$J$76:$K$80,2,FALSE))/Control!$D$85),0)*Control!$H$90/AB70)</f>
        <v>0</v>
      </c>
      <c r="AK70" s="613">
        <f>IF(I70="Corpus Christi",Control!$D$76,0)</f>
        <v>0</v>
      </c>
      <c r="AL70" s="613">
        <v>0</v>
      </c>
      <c r="AM70" s="613">
        <f>Control!$D$78</f>
        <v>0</v>
      </c>
      <c r="AN70" s="613"/>
      <c r="AO70" s="613"/>
      <c r="AP70" s="613"/>
      <c r="AQ70" s="29">
        <f>$AQ$50</f>
        <v>0.13425714285714285</v>
      </c>
      <c r="AR70" s="613">
        <f>IF(AND(L70="Chiriqui Grande",V70="Puerto Armuelles"),Control!$G$93,0)</f>
        <v>0</v>
      </c>
      <c r="AS70" s="611">
        <f>SUM(AH70:AR70)</f>
        <v>0.31676344422700586</v>
      </c>
      <c r="AT70" s="611">
        <f>+R70+AE70+AS70</f>
        <v>3.0493634442270059</v>
      </c>
      <c r="AU70" s="50">
        <f>IF((MONTH(A70)=MONTH(BE70)),0,IF(((MONTH(BE70))-MONTH(A70))+12*YEAR(BD70)-YEAR(A70)&gt;1,SUMIFS($BA$4:$BD$4,$BA$3:$BD$3,"&lt;="&amp;EOMONTH(BD70,-1),$BA$3:$BD$3,"&gt;="&amp;EOMONTH(A70,0)),VLOOKUP("Spreads",$AZ$3:$BD$4,MATCH(EOMONTH(A70,0),$AZ$3:$BD$3,0))))</f>
        <v>0.32</v>
      </c>
      <c r="AV70" s="614">
        <f>-IF((MONTH(BA3)=MONTH(BE70)),0,IF(((MONTH(BE70))-MONTH(BA3))+12*YEAR(BD70)-YEAR(BA3)&gt;1,SUMIFS($BA$4:$BE$4,$BA$3:$BE$3,"&lt;="&amp;EOMONTH(BD70,-1),$BA$3:$BE$3,"&gt;="&amp;EOMONTH(BA3,0)),VLOOKUP("Spreads",$AZ$3:$BE$4,MATCH(EOMONTH(BA3,0),$BA$3:$BE$3,0))))</f>
        <v>-0.7</v>
      </c>
      <c r="AW70" s="642">
        <f>$Y$4+AT70+AU70+AV70</f>
        <v>1.0193634442270061</v>
      </c>
      <c r="AX70" s="615"/>
      <c r="AY70" s="615"/>
      <c r="AZ70" s="601">
        <f>$AZ$50</f>
        <v>17</v>
      </c>
      <c r="BA70" s="599">
        <f>IF(ISBLANK(E70),"",E70+$AZ70+D70)</f>
        <v>45693</v>
      </c>
      <c r="BB70" s="599">
        <f t="shared" ref="BB70:BB71" si="106">BA70+2</f>
        <v>45695</v>
      </c>
      <c r="BC70" s="599" t="s">
        <v>157</v>
      </c>
      <c r="BD70" s="636">
        <f t="shared" si="102"/>
        <v>45716</v>
      </c>
      <c r="BE70" s="637">
        <f t="shared" si="103"/>
        <v>45716</v>
      </c>
      <c r="BF70" s="735">
        <f t="shared" ref="BF70:BF71" si="107">(AT70-AI70)*AB70</f>
        <v>2006800</v>
      </c>
      <c r="BG70"/>
      <c r="BO70"/>
      <c r="BP70"/>
    </row>
    <row r="71" spans="1:68" x14ac:dyDescent="0.35">
      <c r="A71" s="616">
        <f t="shared" si="96"/>
        <v>45675</v>
      </c>
      <c r="B71" s="617">
        <f t="shared" si="104"/>
        <v>45677</v>
      </c>
      <c r="C71" s="618"/>
      <c r="D71" s="619">
        <f>IF(AJ71=0,0,VLOOKUP(Y71,Control!$G$41:$J$44,4,FALSE))</f>
        <v>0</v>
      </c>
      <c r="E71" s="620">
        <f t="shared" si="105"/>
        <v>45676</v>
      </c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21">
        <v>6.71</v>
      </c>
      <c r="U71" s="622">
        <f>INDEX(Control!$E$17:$J$21,MATCH(Y71,Control!$E$17:$E$21,0),MATCH(V71,Control!$E$17:$J$17,0))</f>
        <v>0</v>
      </c>
      <c r="V71" s="622" t="s">
        <v>45</v>
      </c>
      <c r="W71" s="623">
        <v>86700</v>
      </c>
      <c r="X71" s="621">
        <f>AB71/Control!$D$84</f>
        <v>90096.96796338672</v>
      </c>
      <c r="Y71" s="624" t="s">
        <v>23</v>
      </c>
      <c r="Z71" s="625" t="s">
        <v>119</v>
      </c>
      <c r="AA71" s="625" t="str">
        <f>AA52</f>
        <v>USGC/Nsea</v>
      </c>
      <c r="AB71" s="626">
        <v>700000</v>
      </c>
      <c r="AC71" s="627">
        <v>70</v>
      </c>
      <c r="AD71" s="628">
        <v>122.5</v>
      </c>
      <c r="AE71" s="629">
        <f>IF(AC71&gt;1000,IF(AD71=0,AC71,AD71)/AB71,((W71*T71*(IF(AD71=0,AC71,AD71)/100))+IF(X71&lt;W71,0,(X71-W71)*T71*IF(AD71=0,AC71,AD71)/100*U71))/AB71)</f>
        <v>1.01807475</v>
      </c>
      <c r="AF71" s="630">
        <v>0</v>
      </c>
      <c r="AG71" s="631">
        <v>0</v>
      </c>
      <c r="AH71" s="632">
        <f>AF71*VLOOKUP($Y71,Control!$F$75:$H$87,3,FALSE)/$AB71</f>
        <v>0</v>
      </c>
      <c r="AI71" s="630">
        <f>$AG71*Control!$D$77</f>
        <v>0</v>
      </c>
      <c r="AJ71" s="632">
        <f>IF(((AB71-VLOOKUP(Y71,Control!$J$76:$K$80,2,FALSE))/Control!$D$85)&lt;=0,0,ROUNDUP(((AB71-VLOOKUP(Y71,Control!$J$76:$K$80,2,FALSE))/Control!$D$85),0)*Control!$H$90/AB71)</f>
        <v>0</v>
      </c>
      <c r="AK71" s="632">
        <f>IF(I71="Corpus Christi",Control!$D$76,0)</f>
        <v>0</v>
      </c>
      <c r="AL71" s="632">
        <v>0</v>
      </c>
      <c r="AM71" s="632">
        <f>Control!$D$78</f>
        <v>0</v>
      </c>
      <c r="AN71" s="632"/>
      <c r="AO71" s="632"/>
      <c r="AP71" s="632"/>
      <c r="AQ71" s="632">
        <v>0.13</v>
      </c>
      <c r="AR71" s="632">
        <f>IF(AND(L71="Chiriqui Grande",V71="Puerto Armuelles"),Control!$G$93,0)</f>
        <v>0</v>
      </c>
      <c r="AS71" s="629">
        <f>SUM(AH71:AR71)</f>
        <v>0.13</v>
      </c>
      <c r="AT71" s="629">
        <f>+R71+AE71+AS71</f>
        <v>1.1480747500000001</v>
      </c>
      <c r="AU71" s="629"/>
      <c r="AV71" s="633"/>
      <c r="AW71" s="634">
        <f>$Y$5+AT71+AU71+AV71</f>
        <v>1.1480747500000001</v>
      </c>
      <c r="AX71" s="635"/>
      <c r="AY71" s="635"/>
      <c r="AZ71" s="619">
        <f>$AZ$50</f>
        <v>17</v>
      </c>
      <c r="BA71" s="617">
        <f>IF(ISBLANK(E71),"",E71+$AZ71+D71)</f>
        <v>45693</v>
      </c>
      <c r="BB71" s="617">
        <f t="shared" si="106"/>
        <v>45695</v>
      </c>
      <c r="BC71" s="617" t="s">
        <v>157</v>
      </c>
      <c r="BD71" s="636">
        <f t="shared" si="102"/>
        <v>45716</v>
      </c>
      <c r="BE71" s="637">
        <f t="shared" si="103"/>
        <v>45716</v>
      </c>
      <c r="BF71" s="735">
        <f t="shared" si="107"/>
        <v>803652.32500000007</v>
      </c>
      <c r="BG71"/>
      <c r="BO71"/>
      <c r="BP71"/>
    </row>
    <row r="72" spans="1:68" ht="19" thickBot="1" x14ac:dyDescent="0.5">
      <c r="A72" s="82"/>
      <c r="B72" s="82"/>
      <c r="D72" s="77"/>
      <c r="E72" s="520"/>
      <c r="F72"/>
      <c r="G72"/>
      <c r="H72"/>
      <c r="I72"/>
      <c r="J72"/>
      <c r="K72"/>
      <c r="L72"/>
      <c r="M72"/>
      <c r="N72"/>
      <c r="O72"/>
      <c r="P72"/>
      <c r="Q72"/>
      <c r="T72" s="410"/>
      <c r="U72" s="410"/>
      <c r="V72" s="410"/>
      <c r="W72" s="410"/>
      <c r="X72" s="410"/>
      <c r="Y72" s="1008" t="s">
        <v>223</v>
      </c>
      <c r="Z72" s="1009"/>
      <c r="AA72" s="1009"/>
      <c r="AB72" s="1009"/>
      <c r="AC72" s="1009"/>
      <c r="AD72" s="1009"/>
      <c r="AE72" s="1009"/>
      <c r="AF72" s="1009"/>
      <c r="AG72" s="1009"/>
      <c r="AH72" s="1009"/>
      <c r="AI72" s="1009"/>
      <c r="AJ72" s="1009"/>
      <c r="AK72" s="1009"/>
      <c r="AL72" s="1009"/>
      <c r="AM72" s="1009"/>
      <c r="AN72" s="1009"/>
      <c r="AO72" s="1009"/>
      <c r="AP72" s="1009"/>
      <c r="AQ72" s="1009"/>
      <c r="AR72" s="1009"/>
      <c r="AS72" s="1009"/>
      <c r="AT72" s="1009"/>
      <c r="AU72" s="1009"/>
      <c r="AV72" s="1009"/>
      <c r="AW72" s="1010"/>
      <c r="AZ72" s="77"/>
      <c r="BA72"/>
      <c r="BB72"/>
      <c r="BC72"/>
      <c r="BD72"/>
      <c r="BE72"/>
      <c r="BF72" s="735">
        <f>BF70-BF71</f>
        <v>1203147.6749999998</v>
      </c>
      <c r="BG72"/>
      <c r="BO72"/>
      <c r="BP72"/>
    </row>
    <row r="73" spans="1:68" ht="23.25" customHeight="1" thickBot="1" x14ac:dyDescent="0.4">
      <c r="A73" s="309">
        <v>45646</v>
      </c>
      <c r="B73" s="310">
        <f>A73+2</f>
        <v>45648</v>
      </c>
      <c r="D73" s="229">
        <f>IF(AJ73=0,0,VLOOKUP(Y73,Control!$G$41:$J$44,4,FALSE))</f>
        <v>3</v>
      </c>
      <c r="E73" s="519">
        <f t="shared" ref="E73" si="108">AVERAGE(A73:B73)+D73</f>
        <v>45650</v>
      </c>
      <c r="F73"/>
      <c r="G73"/>
      <c r="H73"/>
      <c r="I73"/>
      <c r="J73"/>
      <c r="K73"/>
      <c r="L73"/>
      <c r="M73"/>
      <c r="N73"/>
      <c r="O73"/>
      <c r="P73"/>
      <c r="Q73"/>
      <c r="T73" s="220">
        <v>0</v>
      </c>
      <c r="U73" s="220">
        <v>0</v>
      </c>
      <c r="V73" s="220" t="s">
        <v>45</v>
      </c>
      <c r="W73" s="213" t="e">
        <f>INDEX(Vessel_Minimum_MT,MATCH(Y73,Control!$E$11:$E$15,0),MATCH(V73,Control!$E$11:$J$11,0))</f>
        <v>#N/A</v>
      </c>
      <c r="X73" s="222">
        <f>AB73/Control!$D$84</f>
        <v>263855.40617848968</v>
      </c>
      <c r="Y73" s="215" t="s">
        <v>26</v>
      </c>
      <c r="Z73" s="212" t="s">
        <v>42</v>
      </c>
      <c r="AA73" s="212" t="str">
        <f>IF(Z73=V73,"",CONCATENATE(CONCATENATE(VLOOKUP(V73,Zones,2,FALSE),"/",VLOOKUP(Z73,Zones,2,FALSE))))</f>
        <v>USGC/Nsea</v>
      </c>
      <c r="AB73" s="214">
        <v>2050000</v>
      </c>
      <c r="AC73" s="214"/>
      <c r="AD73" s="377">
        <f>AD60</f>
        <v>2750000</v>
      </c>
      <c r="AE73" s="225">
        <f>AD73/AB73</f>
        <v>1.3414634146341464</v>
      </c>
      <c r="AF73" s="306">
        <v>7</v>
      </c>
      <c r="AG73" s="214">
        <f>IF(AND($AZ$48=1,VLOOKUP(Z73,Control!$AS$37:$AV$68,4,FALSE)&lt;0),0,VLOOKUP(Z73,Control!$AS$37:$AV$68,4,FALSE))</f>
        <v>0</v>
      </c>
      <c r="AH73" s="227">
        <f>AF73*VLOOKUP($Y73,Control!$F$75:$H$87,3,FALSE)/$AB73</f>
        <v>1.5365853658536586</v>
      </c>
      <c r="AI73" s="226">
        <f>$AG73*Control!$D$77</f>
        <v>0</v>
      </c>
      <c r="AJ73" s="227">
        <f>IF(((AB73-VLOOKUP(Y73,Control!$J$76:$K$80,2,FALSE))/Control!$D$85)&lt;=0,0,ROUNDUP(((AB73-VLOOKUP(Y73,Control!$J$76:$K$80,2,FALSE))/Control!$D$85),0)*Control!$H$90/AB73)</f>
        <v>0.90243902439024393</v>
      </c>
      <c r="AK73" s="227">
        <f>IF(I73="Corpus Christi",Control!$D$76,0)</f>
        <v>0</v>
      </c>
      <c r="AL73" s="227">
        <v>0</v>
      </c>
      <c r="AM73" s="227">
        <f>Control!$D$78</f>
        <v>0</v>
      </c>
      <c r="AN73" s="227">
        <f>Control!$D$79</f>
        <v>6.7299999999999999E-2</v>
      </c>
      <c r="AO73" s="227">
        <f>IF(INDEX(Control!$Q$3:$S$62,MATCH($Z73,Control!$Q$3:$Q$62,0),MATCH(AO$8,Control!$Q$3:$S$3,0))=1,Control!$D$81*Control!$E$81,0)</f>
        <v>0</v>
      </c>
      <c r="AP73" s="227">
        <f>IF(INDEX(Control!$Q$3:$S$62,MATCH($Z73,Control!$Q$3:$Q$62,0),MATCH(AP$8,Control!$Q$3:$S$3,0))=1,INDEX(Control!$AK$3:$AO$69,MATCH(FORTIES!Z73,Control!$AK$3:$AK$29,0),MATCH(FORTIES!Y73,Control!$AK$3:$AO$3,0))/AB73*1000,0)</f>
        <v>0</v>
      </c>
      <c r="AQ73" s="143">
        <f>116490/AB73</f>
        <v>5.6824390243902442E-2</v>
      </c>
      <c r="AR73" s="227"/>
      <c r="AS73" s="225">
        <f>SUM(AH73:AR73)</f>
        <v>2.5631487804878046</v>
      </c>
      <c r="AT73" s="225">
        <f>+R73+AE73+AS73</f>
        <v>3.9046121951219508</v>
      </c>
      <c r="AU73" s="225">
        <f>IF((MONTH(A73)=MONTH(BE73)),0,IF(((MONTH(BE73))-MONTH(A73))+12*YEAR(BD73)-YEAR(A73)&gt;1,SUMIFS($BA$4:$BD$4,$BA$3:$BD$3,"&lt;="&amp;EOMONTH(BD73,-1),$BA$3:$BD$3,"&gt;="&amp;EOMONTH(A73,0)),VLOOKUP("Spreads",$AZ$3:$BD$4,MATCH(EOMONTH(A73,0),$AZ$3:$BD$3,0))))</f>
        <v>0.38</v>
      </c>
      <c r="AV73" s="225">
        <f>-HLOOKUP(EOMONTH(BD73,0),$BA$3:$BD$6,3,FALSE)</f>
        <v>-0.3</v>
      </c>
      <c r="AW73" s="656">
        <f>$Y$3+AT73+AU73+AV73</f>
        <v>2.334612195121951</v>
      </c>
      <c r="AY73" s="220"/>
      <c r="AZ73" s="229">
        <f>+INDEX('[1]Transit Time'!$A:$DZ,MATCH(V73,'[1]Transit Time'!$A:$A,0),MATCH(Z73,'[1]Transit Time'!$A$1:$DZ$1,0))</f>
        <v>17</v>
      </c>
      <c r="BA73" s="230">
        <f t="shared" ref="BA73" si="109">IF(ISBLANK(A73),"",A73+$AZ73+D73)</f>
        <v>45666</v>
      </c>
      <c r="BB73" s="230">
        <f t="shared" ref="BB73" si="110">BA73+2</f>
        <v>45668</v>
      </c>
      <c r="BC73" s="230" t="s">
        <v>157</v>
      </c>
      <c r="BD73" s="489">
        <f t="shared" ref="BD73" si="111">EOMONTH(BB73,0)</f>
        <v>45688</v>
      </c>
      <c r="BE73" s="489">
        <f t="shared" ref="BE73" si="112">BD73</f>
        <v>45688</v>
      </c>
      <c r="BG73"/>
      <c r="BO73"/>
      <c r="BP73"/>
    </row>
    <row r="74" spans="1:68" ht="17.25" customHeight="1" thickBot="1" x14ac:dyDescent="0.4">
      <c r="A74"/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W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G74"/>
      <c r="BH74"/>
      <c r="BI74"/>
      <c r="BJ74"/>
      <c r="BK74"/>
      <c r="BL74"/>
      <c r="BM74"/>
      <c r="BN74"/>
      <c r="BO74"/>
      <c r="BP74"/>
    </row>
    <row r="75" spans="1:68" ht="17.25" customHeight="1" thickBot="1" x14ac:dyDescent="0.4">
      <c r="A75" s="163">
        <f>BA73+2</f>
        <v>45668</v>
      </c>
      <c r="B75" s="163">
        <f>BB73+2</f>
        <v>45670</v>
      </c>
      <c r="D75" s="153">
        <f>IF(AJ75=0,0,VLOOKUP(Y75,Control!$G$41:$J$44,4,FALSE))</f>
        <v>0</v>
      </c>
      <c r="E75" s="518">
        <f t="shared" ref="E75:E83" si="113">AVERAGE(A75:B75)+D75</f>
        <v>45669</v>
      </c>
      <c r="F75"/>
      <c r="G75"/>
      <c r="H75"/>
      <c r="I75"/>
      <c r="J75"/>
      <c r="K75"/>
      <c r="L75"/>
      <c r="M75"/>
      <c r="N75"/>
      <c r="O75"/>
      <c r="P75"/>
      <c r="Q75"/>
      <c r="T75" s="140">
        <v>0</v>
      </c>
      <c r="U75" s="138">
        <v>0</v>
      </c>
      <c r="V75" s="138" t="s">
        <v>64</v>
      </c>
      <c r="W75" s="116">
        <f>INDEX(Vessel_Minimum_MT,MATCH(Y75,Control!$E$11:$E$15,0),MATCH(V75,Control!$E$11:$O$11,0))</f>
        <v>80000</v>
      </c>
      <c r="X75" s="140">
        <f>AB75/Control!$D$84</f>
        <v>90096.96796338672</v>
      </c>
      <c r="Y75" s="48" t="s">
        <v>23</v>
      </c>
      <c r="Z75" s="639" t="s">
        <v>42</v>
      </c>
      <c r="AA75" s="142" t="str">
        <f t="shared" ref="AA75:AA80" si="114">IF(Z75=V75,"",CONCATENATE(CONCATENATE(VLOOKUP(V75,Zones,2,FALSE),"/",VLOOKUP(Z75,Zones,2,FALSE))))</f>
        <v>Nsea/Nsea</v>
      </c>
      <c r="AB75" s="379">
        <v>700000</v>
      </c>
      <c r="AC75" s="141">
        <v>70</v>
      </c>
      <c r="AD75" s="654">
        <f>AD71</f>
        <v>122.5</v>
      </c>
      <c r="AE75" s="149">
        <f>IF(AC75&gt;1000,IF(AD75=0,AC75,AD75)/AB75,((W75*T75*(IF(AD75=0,AC75,AD75)/100))+IF(X75&lt;W75,0,(X75-W75)*T75*IF(AD75=0,AC75,AD75)/100*U75))/AB75)</f>
        <v>0</v>
      </c>
      <c r="AF75" s="144"/>
      <c r="AG75" s="155">
        <f>IF(AND($AZ$48=1,VLOOKUP(Z75,Control!$AS$37:$AV$68,4,FALSE)&lt;0),0,VLOOKUP(Z75,Control!$AS$37:$AV$68,4,FALSE))-$AG$73+2</f>
        <v>2</v>
      </c>
      <c r="AH75" s="143">
        <f>AF75*VLOOKUP($Y75,Control!$F$75:$H$87,3,FALSE)/$AB75</f>
        <v>0</v>
      </c>
      <c r="AI75" s="144">
        <f>$AG75*Control!$D$77</f>
        <v>2.6072328767123291E-2</v>
      </c>
      <c r="AJ75" s="143">
        <f>Control!$I$90/FORTIES!AB75</f>
        <v>0.10714285714285714</v>
      </c>
      <c r="AK75" s="143">
        <f>IF(I75="Corpus Christi",Control!$D$76,0)</f>
        <v>0</v>
      </c>
      <c r="AL75" s="143">
        <v>0</v>
      </c>
      <c r="AM75" s="143">
        <f>Control!$D$78</f>
        <v>0</v>
      </c>
      <c r="AN75" s="143">
        <f>Control!$D$79</f>
        <v>6.7299999999999999E-2</v>
      </c>
      <c r="AO75" s="143">
        <f>IF(INDEX(Control!$Q$3:$S$62,MATCH($Z75,Control!$Q$3:$Q$62,0),MATCH(AO$8,Control!$Q$3:$S$3,0))=1,Control!$D$81*Control!$E$81,0)</f>
        <v>0</v>
      </c>
      <c r="AP75" s="143">
        <f>IF(INDEX(Control!$Q$3:$S$62,MATCH($Z75,Control!$Q$3:$Q$62,0),MATCH(AP$8,Control!$Q$3:$S$3,0))=1,INDEX(Control!$AK$3:$AO$69,MATCH(FORTIES!Z75,Control!$AK$3:$AK$29,0),MATCH(FORTIES!Y75,Control!$AK$3:$AO$3,0))/AB75*1000,0)</f>
        <v>0</v>
      </c>
      <c r="AQ75" s="143">
        <f>93980/AB75</f>
        <v>0.13425714285714285</v>
      </c>
      <c r="AR75" s="143"/>
      <c r="AS75" s="149">
        <f t="shared" ref="AS75:AS76" si="115">SUM(AH75:AR75)</f>
        <v>0.33477232876712326</v>
      </c>
      <c r="AT75" s="149">
        <f t="shared" ref="AT75:AT83" si="116">+R75+AE75+AS75</f>
        <v>0.33477232876712326</v>
      </c>
      <c r="AU75" s="98">
        <f t="shared" ref="AU75:AU83" si="117">IF((MONTH(A75)=MONTH(BE75)),0,IF(((MONTH(BE75))-MONTH(A75))+12*YEAR(BD75)-YEAR(A75)&gt;1,SUMIFS($BA$4:$BD$4,$BA$3:$BD$3,"&lt;="&amp;EOMONTH(BD75,-1),$BA$3:$BD$3,"&gt;="&amp;EOMONTH(A75,0)),VLOOKUP("Spreads",$AZ$3:$BD$4,MATCH(EOMONTH(A75,0),$AZ$3:$BD$3,0))))</f>
        <v>0</v>
      </c>
      <c r="AV75" s="149">
        <v>0</v>
      </c>
      <c r="AW75" s="638">
        <f t="shared" ref="AW75:AW83" si="118">$AW$73+AT75+AU75+AV75</f>
        <v>2.6693845238890743</v>
      </c>
      <c r="AZ75" s="153">
        <v>4</v>
      </c>
      <c r="BA75" s="163">
        <f>IF(ISBLANK(E75),"",E75+$AZ75+D75)</f>
        <v>45673</v>
      </c>
      <c r="BB75" s="163">
        <f t="shared" ref="BB75:BB83" si="119">BA75+2</f>
        <v>45675</v>
      </c>
      <c r="BC75" s="163" t="s">
        <v>157</v>
      </c>
      <c r="BD75" s="490">
        <f t="shared" ref="BD75:BD83" si="120">EOMONTH(BB75,0)</f>
        <v>45688</v>
      </c>
      <c r="BE75" s="490">
        <f t="shared" ref="BE75:BE83" si="121">BD75</f>
        <v>45688</v>
      </c>
      <c r="BG75"/>
      <c r="BO75"/>
      <c r="BP75"/>
    </row>
    <row r="76" spans="1:68" ht="17.25" customHeight="1" x14ac:dyDescent="0.35">
      <c r="A76" s="230">
        <f>A75</f>
        <v>45668</v>
      </c>
      <c r="B76" s="230">
        <f>B75</f>
        <v>45670</v>
      </c>
      <c r="D76" s="229">
        <f>IF(AJ76=0,0,VLOOKUP(Y76,Control!$G$41:$J$44,4,FALSE))</f>
        <v>0</v>
      </c>
      <c r="E76" s="519">
        <f t="shared" si="113"/>
        <v>45669</v>
      </c>
      <c r="F76"/>
      <c r="G76"/>
      <c r="H76"/>
      <c r="I76"/>
      <c r="J76"/>
      <c r="K76"/>
      <c r="L76"/>
      <c r="M76"/>
      <c r="N76"/>
      <c r="O76"/>
      <c r="P76"/>
      <c r="Q76"/>
      <c r="T76" s="478">
        <f>INDEX('[2]Flat Rates 2024'!$A:$DZ,MATCH(V76,'[2]Flat Rates 2024'!$A:$A,0),MATCH(Z76,'[2]Flat Rates 2024'!$A$1:$DZ$1,0))</f>
        <v>7.32</v>
      </c>
      <c r="U76" s="220">
        <v>0</v>
      </c>
      <c r="V76" s="220" t="s">
        <v>64</v>
      </c>
      <c r="W76" s="213">
        <f>INDEX(Vessel_Minimum_MT,MATCH(Y76,Control!$E$11:$E$15,0),MATCH(V76,Control!$E$11:$O$11,0))</f>
        <v>80000</v>
      </c>
      <c r="X76" s="222">
        <f>AB76/Control!$D$84</f>
        <v>90096.96796338672</v>
      </c>
      <c r="Y76" s="215" t="s">
        <v>23</v>
      </c>
      <c r="Z76" s="212" t="s">
        <v>47</v>
      </c>
      <c r="AA76" s="212" t="str">
        <f t="shared" si="114"/>
        <v>Nsea/Nsea</v>
      </c>
      <c r="AB76" s="312">
        <f>AB75</f>
        <v>700000</v>
      </c>
      <c r="AC76" s="214">
        <v>70</v>
      </c>
      <c r="AD76" s="262">
        <f t="shared" ref="AD76:AD83" si="122">$AD$71</f>
        <v>122.5</v>
      </c>
      <c r="AE76" s="225">
        <f t="shared" ref="AE76" si="123">IF(AC76&gt;1000,IF(AD76=0,AC76,AD76)/AB76,((W76*T76*(IF(AD76=0,AC76,AD76)/100))+IF(X76&lt;W76,0,(X76-W76)*T76*IF(AD76=0,AC76,AD76)/100*U76))/AB76)</f>
        <v>1.0247999999999999</v>
      </c>
      <c r="AF76" s="226">
        <f t="shared" ref="AF76:AF83" si="124">$AF$50</f>
        <v>0</v>
      </c>
      <c r="AG76" s="214">
        <f>IF(AND($AZ$48=1,VLOOKUP(Z76,Control!$AS$37:$AV$68,4,FALSE)&lt;0),0,VLOOKUP(Z76,Control!$AS$37:$AV$68,4,FALSE))-$AG$73+2</f>
        <v>2</v>
      </c>
      <c r="AH76" s="227">
        <f>AF76*VLOOKUP($Y76,Control!$F$75:$H$87,3,FALSE)/$AB76</f>
        <v>0</v>
      </c>
      <c r="AI76" s="226">
        <f>$AG76*Control!$D$77</f>
        <v>2.6072328767123291E-2</v>
      </c>
      <c r="AJ76" s="227">
        <f>Control!$I$90/FORTIES!AB76</f>
        <v>0.10714285714285714</v>
      </c>
      <c r="AK76" s="227">
        <f>IF(I76="Corpus Christi",Control!$D$76,0)</f>
        <v>0</v>
      </c>
      <c r="AL76" s="227">
        <v>0</v>
      </c>
      <c r="AM76" s="227">
        <f>Control!$D$78</f>
        <v>0</v>
      </c>
      <c r="AN76" s="227">
        <f>Control!$D$79</f>
        <v>6.7299999999999999E-2</v>
      </c>
      <c r="AO76" s="227">
        <f>IF(INDEX(Control!$Q$3:$S$62,MATCH($Z76,Control!$Q$3:$Q$62,0),MATCH(AO$8,Control!$Q$3:$S$3,0))=1,Control!$D$81*Control!$E$81,0)</f>
        <v>0</v>
      </c>
      <c r="AP76" s="227">
        <f>IF(INDEX(Control!$Q$3:$S$62,MATCH($Z76,Control!$Q$3:$Q$62,0),MATCH(AP$8,Control!$Q$3:$S$3,0))=1,INDEX(Control!$AK$3:$AO$69,MATCH(FORTIES!Z76,Control!$AK$3:$AK$29,0),MATCH(FORTIES!Y76,Control!$AK$3:$AO$3,0))/AB76*1000,0)</f>
        <v>0</v>
      </c>
      <c r="AQ76" s="227" t="str">
        <f t="shared" ref="AQ76:AQ82" si="125">IF(Z76="Rotterdam",0.114,"")</f>
        <v/>
      </c>
      <c r="AR76" s="227"/>
      <c r="AS76" s="225">
        <f t="shared" si="115"/>
        <v>0.20051518590998044</v>
      </c>
      <c r="AT76" s="225">
        <f t="shared" si="116"/>
        <v>1.2253151859099805</v>
      </c>
      <c r="AU76" s="225">
        <f t="shared" si="117"/>
        <v>0</v>
      </c>
      <c r="AV76" s="225">
        <v>0</v>
      </c>
      <c r="AW76" s="498">
        <f t="shared" si="118"/>
        <v>3.5599273810319314</v>
      </c>
      <c r="AY76" s="220"/>
      <c r="AZ76" s="229">
        <v>4</v>
      </c>
      <c r="BA76" s="230">
        <f t="shared" ref="BA76:BA82" si="126">IF(ISBLANK(E76),"",E76+$AZ76+D76)</f>
        <v>45673</v>
      </c>
      <c r="BB76" s="230">
        <f t="shared" si="119"/>
        <v>45675</v>
      </c>
      <c r="BC76" s="230" t="s">
        <v>157</v>
      </c>
      <c r="BD76" s="489">
        <f t="shared" si="120"/>
        <v>45688</v>
      </c>
      <c r="BE76" s="489">
        <f t="shared" si="121"/>
        <v>45688</v>
      </c>
    </row>
    <row r="77" spans="1:68" ht="17.25" customHeight="1" x14ac:dyDescent="0.35">
      <c r="A77" s="163">
        <f t="shared" ref="A77:B83" si="127">A76</f>
        <v>45668</v>
      </c>
      <c r="B77" s="163">
        <f t="shared" si="127"/>
        <v>45670</v>
      </c>
      <c r="D77" s="153">
        <f>IF(AJ77=0,0,VLOOKUP(Y77,Control!$G$41:$J$44,4,FALSE))</f>
        <v>0</v>
      </c>
      <c r="E77" s="518">
        <f t="shared" si="113"/>
        <v>45669</v>
      </c>
      <c r="F77"/>
      <c r="G77"/>
      <c r="H77"/>
      <c r="I77"/>
      <c r="J77"/>
      <c r="K77"/>
      <c r="L77"/>
      <c r="M77"/>
      <c r="N77"/>
      <c r="O77"/>
      <c r="P77"/>
      <c r="Q77"/>
      <c r="T77" s="191">
        <f>INDEX('[2]Flat Rates 2024'!$A:$DZ,MATCH(V77,'[2]Flat Rates 2024'!$A:$A,0),MATCH(Z77,'[2]Flat Rates 2024'!$A$1:$DZ$1,0))</f>
        <v>6.06</v>
      </c>
      <c r="U77" s="138">
        <v>0</v>
      </c>
      <c r="V77" s="138" t="s">
        <v>64</v>
      </c>
      <c r="W77" s="116">
        <f>INDEX(Vessel_Minimum_MT,MATCH(Y77,Control!$E$11:$E$15,0),MATCH(V77,Control!$E$11:$O$11,0))</f>
        <v>80000</v>
      </c>
      <c r="X77" s="140">
        <f>AB77/Control!$D$84</f>
        <v>90096.96796338672</v>
      </c>
      <c r="Y77" s="566" t="s">
        <v>23</v>
      </c>
      <c r="Z77" s="142" t="s">
        <v>39</v>
      </c>
      <c r="AA77" s="142" t="str">
        <f t="shared" si="114"/>
        <v>Nsea/Nsea</v>
      </c>
      <c r="AB77" s="141">
        <f t="shared" ref="AB77:AB81" si="128">AB76</f>
        <v>700000</v>
      </c>
      <c r="AC77" s="567">
        <v>70</v>
      </c>
      <c r="AD77" s="568">
        <f t="shared" si="122"/>
        <v>122.5</v>
      </c>
      <c r="AE77" s="149">
        <f>IF(AC77&gt;1000,IF(AD77=0,AC77,AD77)/AB77,((W77*T77*(IF(AD77=0,AC77,AD77)/100))+IF(X77&lt;W77,0,(X77-W77)*T77*IF(AD77=0,AC77,AD77)/100*U77))/AB77)</f>
        <v>0.84840000000000004</v>
      </c>
      <c r="AF77" s="144">
        <f t="shared" si="124"/>
        <v>0</v>
      </c>
      <c r="AG77" s="155">
        <f>IF(AND($AZ$48=1,VLOOKUP(Z77,Control!$AS$37:$AV$68,4,FALSE)&lt;0),0,VLOOKUP(Z77,Control!$AS$37:$AV$68,4,FALSE))-$AG$73+2</f>
        <v>2</v>
      </c>
      <c r="AH77" s="143">
        <f>AF77*VLOOKUP($Y77,Control!$F$75:$H$87,3,FALSE)/$AB77</f>
        <v>0</v>
      </c>
      <c r="AI77" s="144">
        <f>$AG77*Control!$D$77</f>
        <v>2.6072328767123291E-2</v>
      </c>
      <c r="AJ77" s="143">
        <f>Control!$I$90/FORTIES!AB77</f>
        <v>0.10714285714285714</v>
      </c>
      <c r="AK77" s="143">
        <f>IF(I77="Corpus Christi",Control!$D$76,0)</f>
        <v>0</v>
      </c>
      <c r="AL77" s="143">
        <v>0</v>
      </c>
      <c r="AM77" s="143">
        <f>Control!$D$78</f>
        <v>0</v>
      </c>
      <c r="AN77" s="143">
        <f>Control!$D$79</f>
        <v>6.7299999999999999E-2</v>
      </c>
      <c r="AO77" s="143">
        <f>IF(INDEX(Control!$Q$3:$S$62,MATCH($Z77,Control!$Q$3:$Q$62,0),MATCH(AO$8,Control!$Q$3:$S$3,0))=1,Control!$D$81*Control!$E$81,0)</f>
        <v>0</v>
      </c>
      <c r="AP77" s="143">
        <f>IF(INDEX(Control!$Q$3:$S$62,MATCH($Z77,Control!$Q$3:$Q$62,0),MATCH(AP$8,Control!$Q$3:$S$3,0))=1,INDEX(Control!$AK$3:$AO$69,MATCH(FORTIES!Z77,Control!$AK$3:$AK$29,0),MATCH(FORTIES!Y77,Control!$AK$3:$AO$3,0))/AB77*1000,0)</f>
        <v>0</v>
      </c>
      <c r="AQ77" s="143" t="str">
        <f t="shared" si="125"/>
        <v/>
      </c>
      <c r="AR77" s="143"/>
      <c r="AS77" s="149">
        <f t="shared" ref="AS77" si="129">SUM(AH77:AR77)</f>
        <v>0.20051518590998044</v>
      </c>
      <c r="AT77" s="149">
        <f t="shared" si="116"/>
        <v>1.0489151859099806</v>
      </c>
      <c r="AU77" s="149">
        <f t="shared" si="117"/>
        <v>0</v>
      </c>
      <c r="AV77" s="149">
        <v>0</v>
      </c>
      <c r="AW77" s="501">
        <f t="shared" si="118"/>
        <v>3.3835273810319313</v>
      </c>
      <c r="AZ77" s="153">
        <v>4</v>
      </c>
      <c r="BA77" s="163">
        <f t="shared" si="126"/>
        <v>45673</v>
      </c>
      <c r="BB77" s="163">
        <f t="shared" si="119"/>
        <v>45675</v>
      </c>
      <c r="BC77" s="163" t="s">
        <v>157</v>
      </c>
      <c r="BD77" s="490">
        <f t="shared" si="120"/>
        <v>45688</v>
      </c>
      <c r="BE77" s="490">
        <f t="shared" si="121"/>
        <v>45688</v>
      </c>
    </row>
    <row r="78" spans="1:68" ht="17.25" customHeight="1" x14ac:dyDescent="0.35">
      <c r="A78" s="230">
        <f t="shared" si="127"/>
        <v>45668</v>
      </c>
      <c r="B78" s="230">
        <f t="shared" si="127"/>
        <v>45670</v>
      </c>
      <c r="D78" s="229">
        <f>IF(AJ78=0,0,VLOOKUP(Y78,Control!$G$41:$J$44,4,FALSE))</f>
        <v>0</v>
      </c>
      <c r="E78" s="519">
        <f t="shared" si="113"/>
        <v>45669</v>
      </c>
      <c r="F78"/>
      <c r="G78"/>
      <c r="H78"/>
      <c r="I78"/>
      <c r="J78"/>
      <c r="K78"/>
      <c r="L78"/>
      <c r="M78"/>
      <c r="N78"/>
      <c r="O78"/>
      <c r="P78"/>
      <c r="Q78"/>
      <c r="T78" s="220">
        <f>INDEX('[2]Flat Rates 2024'!$A:$DZ,MATCH(V78,'[2]Flat Rates 2024'!$A:$A,0),MATCH(Z78,'[2]Flat Rates 2024'!$A$1:$DZ$1,0))</f>
        <v>8.06</v>
      </c>
      <c r="U78" s="220">
        <v>0</v>
      </c>
      <c r="V78" s="220" t="s">
        <v>64</v>
      </c>
      <c r="W78" s="213">
        <f>INDEX(Vessel_Minimum_MT,MATCH(Y78,Control!$E$11:$E$15,0),MATCH(V78,Control!$E$11:$O$11,0))</f>
        <v>80000</v>
      </c>
      <c r="X78" s="222">
        <f>AB78/Control!$D$84</f>
        <v>90096.96796338672</v>
      </c>
      <c r="Y78" s="258" t="s">
        <v>23</v>
      </c>
      <c r="Z78" s="212" t="s">
        <v>82</v>
      </c>
      <c r="AA78" s="212" t="str">
        <f t="shared" si="114"/>
        <v>Nsea/Nsea</v>
      </c>
      <c r="AB78" s="214">
        <f t="shared" si="128"/>
        <v>700000</v>
      </c>
      <c r="AC78" s="214">
        <v>70</v>
      </c>
      <c r="AD78" s="224">
        <f t="shared" si="122"/>
        <v>122.5</v>
      </c>
      <c r="AE78" s="225">
        <f t="shared" ref="AE78:AE83" si="130">IF(AC78&gt;1000,IF(AD78=0,AC78,AD78)/AB78,((W78*T78*(IF(AD78=0,AC78,AD78)/100))+IF(X78&lt;W78,0,(X78-W78)*T78*IF(AD78=0,AC78,AD78)/100*U78))/AB78)</f>
        <v>1.1284000000000001</v>
      </c>
      <c r="AF78" s="226">
        <f t="shared" si="124"/>
        <v>0</v>
      </c>
      <c r="AG78" s="214">
        <f>IF(AND($AZ$48=1,VLOOKUP(Z78,Control!$AS$37:$AV$68,4,FALSE)&lt;0),0,VLOOKUP(Z78,Control!$AS$37:$AV$68,4,FALSE))-$AG$73+2</f>
        <v>2</v>
      </c>
      <c r="AH78" s="227">
        <f>AF78*VLOOKUP($Y78,Control!$F$75:$H$87,3,FALSE)/$AB78</f>
        <v>0</v>
      </c>
      <c r="AI78" s="226">
        <f>$AG78*Control!$D$77</f>
        <v>2.6072328767123291E-2</v>
      </c>
      <c r="AJ78" s="227">
        <f>Control!$I$90/FORTIES!AB78</f>
        <v>0.10714285714285714</v>
      </c>
      <c r="AK78" s="227">
        <f>IF(I78="Corpus Christi",Control!$D$76,0)</f>
        <v>0</v>
      </c>
      <c r="AL78" s="227">
        <v>0</v>
      </c>
      <c r="AM78" s="227">
        <f>Control!$D$78</f>
        <v>0</v>
      </c>
      <c r="AN78" s="227">
        <f>Control!$D$79</f>
        <v>6.7299999999999999E-2</v>
      </c>
      <c r="AO78" s="227">
        <f>IF(INDEX(Control!$Q$3:$S$62,MATCH($Z78,Control!$Q$3:$Q$62,0),MATCH(AO$8,Control!$Q$3:$S$3,0))=1,Control!$D$81*Control!$E$81,0)</f>
        <v>0.2</v>
      </c>
      <c r="AP78" s="227">
        <f>IF(INDEX(Control!$Q$3:$S$62,MATCH($Z78,Control!$Q$3:$Q$62,0),MATCH(AP$8,Control!$Q$3:$S$3,0))=1,INDEX(Control!$AK$3:$AO$69,MATCH(FORTIES!Z78,Control!$AK$3:$AK$29,0),MATCH(FORTIES!Y78,Control!$AK$3:$AO$3,0))/AB78*1000,0)</f>
        <v>0</v>
      </c>
      <c r="AQ78" s="227" t="str">
        <f t="shared" si="125"/>
        <v/>
      </c>
      <c r="AR78" s="227"/>
      <c r="AS78" s="225">
        <f t="shared" ref="AS78" si="131">SUM(AH78:AR78)</f>
        <v>0.40051518590998048</v>
      </c>
      <c r="AT78" s="225">
        <f t="shared" si="116"/>
        <v>1.5289151859099805</v>
      </c>
      <c r="AU78" s="225">
        <f t="shared" si="117"/>
        <v>0</v>
      </c>
      <c r="AV78" s="225">
        <v>0</v>
      </c>
      <c r="AW78" s="498">
        <f t="shared" si="118"/>
        <v>3.8635273810319317</v>
      </c>
      <c r="AY78" s="220"/>
      <c r="AZ78" s="229">
        <v>4</v>
      </c>
      <c r="BA78" s="230">
        <f t="shared" si="126"/>
        <v>45673</v>
      </c>
      <c r="BB78" s="230">
        <f t="shared" si="119"/>
        <v>45675</v>
      </c>
      <c r="BC78" s="230" t="s">
        <v>157</v>
      </c>
      <c r="BD78" s="489">
        <f t="shared" si="120"/>
        <v>45688</v>
      </c>
      <c r="BE78" s="489">
        <f t="shared" si="121"/>
        <v>45688</v>
      </c>
    </row>
    <row r="79" spans="1:68" ht="17.25" customHeight="1" x14ac:dyDescent="0.35">
      <c r="A79" s="163">
        <f t="shared" si="127"/>
        <v>45668</v>
      </c>
      <c r="B79" s="163">
        <f t="shared" si="127"/>
        <v>45670</v>
      </c>
      <c r="D79" s="153">
        <f>IF(AJ79=0,0,VLOOKUP(Y79,Control!$G$41:$J$44,4,FALSE))</f>
        <v>0</v>
      </c>
      <c r="E79" s="518">
        <f t="shared" si="113"/>
        <v>45669</v>
      </c>
      <c r="F79"/>
      <c r="G79"/>
      <c r="H79"/>
      <c r="I79"/>
      <c r="J79"/>
      <c r="K79"/>
      <c r="L79"/>
      <c r="M79"/>
      <c r="N79"/>
      <c r="O79"/>
      <c r="P79"/>
      <c r="Q79"/>
      <c r="T79" s="191">
        <f>INDEX('[2]Flat Rates 2024'!$A:$DZ,MATCH(V79,'[2]Flat Rates 2024'!$A:$A,0),MATCH(Z79,'[2]Flat Rates 2024'!$A$1:$DZ$1,0))</f>
        <v>11.7</v>
      </c>
      <c r="U79" s="138">
        <v>0</v>
      </c>
      <c r="V79" s="138" t="s">
        <v>64</v>
      </c>
      <c r="W79" s="116">
        <f>INDEX(Vessel_Minimum_MT,MATCH(Y79,Control!$E$11:$E$15,0),MATCH(V79,Control!$E$11:$O$11,0))</f>
        <v>80000</v>
      </c>
      <c r="X79" s="140">
        <f>AB79/Control!$D$84</f>
        <v>90096.96796338672</v>
      </c>
      <c r="Y79" s="147" t="s">
        <v>23</v>
      </c>
      <c r="Z79" s="142" t="s">
        <v>78</v>
      </c>
      <c r="AA79" s="142" t="str">
        <f t="shared" si="114"/>
        <v>Nsea/Nsea</v>
      </c>
      <c r="AB79" s="141">
        <f t="shared" si="128"/>
        <v>700000</v>
      </c>
      <c r="AC79" s="141">
        <v>70</v>
      </c>
      <c r="AD79" s="49">
        <f t="shared" si="122"/>
        <v>122.5</v>
      </c>
      <c r="AE79" s="149">
        <f t="shared" si="130"/>
        <v>1.6379999999999999</v>
      </c>
      <c r="AF79" s="28">
        <f t="shared" si="124"/>
        <v>0</v>
      </c>
      <c r="AG79" s="155">
        <f>IF(AND($AZ$48=1,VLOOKUP(Z79,Control!$AS$37:$AV$68,4,FALSE)&lt;0),0,VLOOKUP(Z79,Control!$AS$37:$AV$68,4,FALSE))-$AG$73+2</f>
        <v>2</v>
      </c>
      <c r="AH79" s="143">
        <f>AF79*VLOOKUP($Y79,Control!$F$75:$H$87,3,FALSE)/$AB79</f>
        <v>0</v>
      </c>
      <c r="AI79" s="144">
        <f>$AG79*Control!$D$77</f>
        <v>2.6072328767123291E-2</v>
      </c>
      <c r="AJ79" s="143">
        <f>Control!$I$90/FORTIES!AB79</f>
        <v>0.10714285714285714</v>
      </c>
      <c r="AK79" s="143">
        <f>IF(I79="Corpus Christi",Control!$D$76,0)</f>
        <v>0</v>
      </c>
      <c r="AL79" s="143">
        <v>0</v>
      </c>
      <c r="AM79" s="143">
        <f>Control!$D$78</f>
        <v>0</v>
      </c>
      <c r="AN79" s="143">
        <f>Control!$D$79</f>
        <v>6.7299999999999999E-2</v>
      </c>
      <c r="AO79" s="143">
        <f>IF(INDEX(Control!$Q$3:$S$62,MATCH($Z79,Control!$Q$3:$Q$62,0),MATCH(AO$8,Control!$Q$3:$S$3,0))=1,Control!$D$81*Control!$E$81,0)</f>
        <v>0</v>
      </c>
      <c r="AP79" s="143">
        <f>IF(INDEX(Control!$Q$3:$S$62,MATCH($Z79,Control!$Q$3:$Q$62,0),MATCH(AP$8,Control!$Q$3:$S$3,0))=1,INDEX(Control!$AK$3:$AO$69,MATCH(FORTIES!Z79,Control!$AK$3:$AK$29,0),MATCH(FORTIES!Y79,Control!$AK$3:$AO$3,0))/AB79*1000,0)</f>
        <v>0</v>
      </c>
      <c r="AQ79" s="143" t="str">
        <f t="shared" si="125"/>
        <v/>
      </c>
      <c r="AR79" s="143"/>
      <c r="AS79" s="149">
        <f t="shared" ref="AS79:AS80" si="132">SUM(AH79:AR79)</f>
        <v>0.20051518590998044</v>
      </c>
      <c r="AT79" s="149">
        <f t="shared" si="116"/>
        <v>1.8385151859099804</v>
      </c>
      <c r="AU79" s="149">
        <f t="shared" si="117"/>
        <v>0</v>
      </c>
      <c r="AV79" s="149">
        <v>0</v>
      </c>
      <c r="AW79" s="501">
        <f t="shared" si="118"/>
        <v>4.1731273810319314</v>
      </c>
      <c r="AZ79" s="153">
        <v>4</v>
      </c>
      <c r="BA79" s="163">
        <f t="shared" si="126"/>
        <v>45673</v>
      </c>
      <c r="BB79" s="163">
        <f t="shared" si="119"/>
        <v>45675</v>
      </c>
      <c r="BC79" s="163" t="s">
        <v>157</v>
      </c>
      <c r="BD79" s="490">
        <f t="shared" si="120"/>
        <v>45688</v>
      </c>
      <c r="BE79" s="490">
        <f t="shared" si="121"/>
        <v>45688</v>
      </c>
    </row>
    <row r="80" spans="1:68" ht="17.25" customHeight="1" x14ac:dyDescent="0.35">
      <c r="A80" s="230">
        <f t="shared" si="127"/>
        <v>45668</v>
      </c>
      <c r="B80" s="230">
        <f t="shared" si="127"/>
        <v>45670</v>
      </c>
      <c r="D80" s="229">
        <f>IF(AJ80=0,0,VLOOKUP(Y80,Control!$G$41:$J$44,4,FALSE))</f>
        <v>0</v>
      </c>
      <c r="E80" s="519">
        <f t="shared" si="113"/>
        <v>45669</v>
      </c>
      <c r="F80"/>
      <c r="G80"/>
      <c r="H80"/>
      <c r="I80"/>
      <c r="J80"/>
      <c r="K80"/>
      <c r="L80"/>
      <c r="M80"/>
      <c r="N80"/>
      <c r="O80"/>
      <c r="P80"/>
      <c r="Q80"/>
      <c r="T80" s="220">
        <f>INDEX('[2]Flat Rates 2024'!$A:$DZ,MATCH(V80,'[2]Flat Rates 2024'!$A:$A,0),MATCH(Z80,'[2]Flat Rates 2024'!$A$1:$DZ$1,0))</f>
        <v>11.82</v>
      </c>
      <c r="U80" s="220">
        <v>0</v>
      </c>
      <c r="V80" s="220" t="s">
        <v>64</v>
      </c>
      <c r="W80" s="213">
        <f>INDEX(Vessel_Minimum_MT,MATCH(Y80,Control!$E$11:$E$15,0),MATCH(V80,Control!$E$11:$O$11,0))</f>
        <v>80000</v>
      </c>
      <c r="X80" s="222">
        <f>AB80/Control!$D$84</f>
        <v>90096.96796338672</v>
      </c>
      <c r="Y80" s="215" t="s">
        <v>23</v>
      </c>
      <c r="Z80" s="212" t="s">
        <v>29</v>
      </c>
      <c r="AA80" s="212" t="str">
        <f t="shared" si="114"/>
        <v>Nsea/Med</v>
      </c>
      <c r="AB80" s="214">
        <f t="shared" si="128"/>
        <v>700000</v>
      </c>
      <c r="AC80" s="214"/>
      <c r="AD80" s="224">
        <f t="shared" si="122"/>
        <v>122.5</v>
      </c>
      <c r="AE80" s="225">
        <f t="shared" si="130"/>
        <v>1.6548</v>
      </c>
      <c r="AF80" s="306">
        <f t="shared" si="124"/>
        <v>0</v>
      </c>
      <c r="AG80" s="214">
        <f>IF(AND($AZ$48=1,VLOOKUP(Z80,Control!$AS$37:$AV$68,4,FALSE)&lt;0),0,VLOOKUP(Z80,Control!$AS$37:$AV$68,4,FALSE))-$AG$73+2</f>
        <v>2</v>
      </c>
      <c r="AH80" s="227">
        <f>AF80*VLOOKUP($Y80,Control!$F$75:$H$87,3,FALSE)/$AB80</f>
        <v>0</v>
      </c>
      <c r="AI80" s="226">
        <f>$AG80*Control!$D$77</f>
        <v>2.6072328767123291E-2</v>
      </c>
      <c r="AJ80" s="227">
        <f>Control!$I$90/FORTIES!AB80</f>
        <v>0.10714285714285714</v>
      </c>
      <c r="AK80" s="227">
        <f>IF(I80="Corpus Christi",Control!$D$76,0)</f>
        <v>0</v>
      </c>
      <c r="AL80" s="227">
        <v>0</v>
      </c>
      <c r="AM80" s="227">
        <f>Control!$D$78</f>
        <v>0</v>
      </c>
      <c r="AN80" s="227">
        <f>Control!$D$79</f>
        <v>6.7299999999999999E-2</v>
      </c>
      <c r="AO80" s="227">
        <f>IF(INDEX(Control!$Q$3:$S$62,MATCH($Z80,Control!$Q$3:$Q$62,0),MATCH(AO$8,Control!$Q$3:$S$3,0))=1,Control!$D$81*Control!$E$81,0)</f>
        <v>0</v>
      </c>
      <c r="AP80" s="227">
        <f>IF(INDEX(Control!$Q$3:$S$62,MATCH($Z80,Control!$Q$3:$Q$62,0),MATCH(AP$8,Control!$Q$3:$S$3,0))=1,INDEX(Control!$AK$3:$AO$69,MATCH(FORTIES!Z80,Control!$AK$3:$AK$29,0),MATCH(FORTIES!Y80,Control!$AK$3:$AO$3,0))/AB80*1000,0)</f>
        <v>0</v>
      </c>
      <c r="AQ80" s="227" t="str">
        <f t="shared" si="125"/>
        <v/>
      </c>
      <c r="AR80" s="227"/>
      <c r="AS80" s="225">
        <f t="shared" si="132"/>
        <v>0.20051518590998044</v>
      </c>
      <c r="AT80" s="225">
        <f t="shared" si="116"/>
        <v>1.8553151859099806</v>
      </c>
      <c r="AU80" s="225">
        <f t="shared" si="117"/>
        <v>0</v>
      </c>
      <c r="AV80" s="225">
        <v>0</v>
      </c>
      <c r="AW80" s="498">
        <f t="shared" si="118"/>
        <v>4.1899273810319313</v>
      </c>
      <c r="AY80" s="220"/>
      <c r="AZ80" s="229">
        <v>4</v>
      </c>
      <c r="BA80" s="230">
        <f t="shared" si="126"/>
        <v>45673</v>
      </c>
      <c r="BB80" s="230">
        <f t="shared" si="119"/>
        <v>45675</v>
      </c>
      <c r="BC80" s="230" t="s">
        <v>157</v>
      </c>
      <c r="BD80" s="489">
        <f t="shared" si="120"/>
        <v>45688</v>
      </c>
      <c r="BE80" s="489">
        <f t="shared" si="121"/>
        <v>45688</v>
      </c>
    </row>
    <row r="81" spans="1:57" ht="17.25" customHeight="1" x14ac:dyDescent="0.35">
      <c r="A81" s="163">
        <f t="shared" si="127"/>
        <v>45668</v>
      </c>
      <c r="B81" s="163">
        <f t="shared" si="127"/>
        <v>45670</v>
      </c>
      <c r="D81" s="153">
        <f>IF(AJ81=0,0,VLOOKUP(Y81,Control!$G$41:$J$44,4,FALSE))</f>
        <v>0</v>
      </c>
      <c r="E81" s="518">
        <f t="shared" si="113"/>
        <v>45669</v>
      </c>
      <c r="F81"/>
      <c r="G81"/>
      <c r="H81"/>
      <c r="I81"/>
      <c r="J81"/>
      <c r="K81"/>
      <c r="L81"/>
      <c r="M81"/>
      <c r="N81"/>
      <c r="O81"/>
      <c r="P81"/>
      <c r="Q81"/>
      <c r="T81" s="191">
        <f>INDEX('[2]Flat Rates 2024'!$A:$DZ,MATCH(V81,'[2]Flat Rates 2024'!$A:$A,0),MATCH(Z81,'[2]Flat Rates 2024'!$A$1:$DZ$1,0))</f>
        <v>7.32</v>
      </c>
      <c r="U81" s="138">
        <v>0</v>
      </c>
      <c r="V81" s="138" t="s">
        <v>64</v>
      </c>
      <c r="W81" s="116">
        <f>INDEX(Vessel_Minimum_MT,MATCH(Y81,Control!$E$11:$E$15,0),MATCH(V81,Control!$E$11:$O$11,0))</f>
        <v>80000</v>
      </c>
      <c r="X81" s="140">
        <f>AB81/Control!$D$84</f>
        <v>90096.96796338672</v>
      </c>
      <c r="Y81" s="147" t="s">
        <v>23</v>
      </c>
      <c r="Z81" s="142" t="s">
        <v>47</v>
      </c>
      <c r="AA81" s="142" t="str">
        <f>$AA$55</f>
        <v>USGC/Med</v>
      </c>
      <c r="AB81" s="141">
        <f t="shared" si="128"/>
        <v>700000</v>
      </c>
      <c r="AC81" s="141">
        <v>70</v>
      </c>
      <c r="AD81" s="49">
        <f t="shared" si="122"/>
        <v>122.5</v>
      </c>
      <c r="AE81" s="149">
        <f t="shared" si="130"/>
        <v>1.0247999999999999</v>
      </c>
      <c r="AF81" s="28">
        <f t="shared" si="124"/>
        <v>0</v>
      </c>
      <c r="AG81" s="155">
        <f>IF(AND($AZ$48=1,VLOOKUP(Z81,Control!$AS$37:$AV$68,4,FALSE)&lt;0),0,VLOOKUP(Z81,Control!$AS$37:$AV$68,4,FALSE))-$AG$73+2</f>
        <v>2</v>
      </c>
      <c r="AH81" s="143">
        <f>AF81*VLOOKUP($Y81,Control!$F$75:$H$87,3,FALSE)/$AB81</f>
        <v>0</v>
      </c>
      <c r="AI81" s="144">
        <f>$AG81*Control!$D$77</f>
        <v>2.6072328767123291E-2</v>
      </c>
      <c r="AJ81" s="143">
        <f>Control!$I$90/FORTIES!AB81</f>
        <v>0.10714285714285714</v>
      </c>
      <c r="AK81" s="143">
        <f>IF(I81="Corpus Christi",Control!$D$76,0)</f>
        <v>0</v>
      </c>
      <c r="AL81" s="143">
        <v>0</v>
      </c>
      <c r="AM81" s="143">
        <f>Control!$D$78</f>
        <v>0</v>
      </c>
      <c r="AN81" s="143">
        <f>Control!$D$79</f>
        <v>6.7299999999999999E-2</v>
      </c>
      <c r="AO81" s="143">
        <f>IF(INDEX(Control!$Q$3:$S$62,MATCH($Z81,Control!$Q$3:$Q$62,0),MATCH(AO$8,Control!$Q$3:$S$3,0))=1,Control!$D$81*Control!$E$81,0)</f>
        <v>0</v>
      </c>
      <c r="AP81" s="143">
        <v>0</v>
      </c>
      <c r="AQ81" s="143" t="str">
        <f t="shared" si="125"/>
        <v/>
      </c>
      <c r="AR81" s="143"/>
      <c r="AS81" s="149">
        <f t="shared" ref="AS81:AS82" si="133">SUM(AH81:AR81)</f>
        <v>0.20051518590998044</v>
      </c>
      <c r="AT81" s="149">
        <f t="shared" si="116"/>
        <v>1.2253151859099805</v>
      </c>
      <c r="AU81" s="149">
        <f t="shared" si="117"/>
        <v>0</v>
      </c>
      <c r="AV81" s="149">
        <v>0</v>
      </c>
      <c r="AW81" s="590">
        <f t="shared" si="118"/>
        <v>3.5599273810319314</v>
      </c>
      <c r="AZ81" s="153">
        <v>4</v>
      </c>
      <c r="BA81" s="163">
        <f t="shared" si="126"/>
        <v>45673</v>
      </c>
      <c r="BB81" s="163">
        <f t="shared" si="119"/>
        <v>45675</v>
      </c>
      <c r="BC81" s="163" t="s">
        <v>157</v>
      </c>
      <c r="BD81" s="490">
        <f t="shared" si="120"/>
        <v>45688</v>
      </c>
      <c r="BE81" s="490">
        <f t="shared" si="121"/>
        <v>45688</v>
      </c>
    </row>
    <row r="82" spans="1:57" ht="17.25" customHeight="1" x14ac:dyDescent="0.35">
      <c r="A82" s="230">
        <f t="shared" si="127"/>
        <v>45668</v>
      </c>
      <c r="B82" s="230">
        <f t="shared" si="127"/>
        <v>45670</v>
      </c>
      <c r="D82" s="229">
        <f>IF(AJ82=0,0,VLOOKUP(Y82,Control!$G$41:$J$44,4,FALSE))</f>
        <v>0</v>
      </c>
      <c r="E82" s="519">
        <f t="shared" si="113"/>
        <v>45669</v>
      </c>
      <c r="F82"/>
      <c r="G82"/>
      <c r="H82"/>
      <c r="I82"/>
      <c r="J82"/>
      <c r="K82"/>
      <c r="L82"/>
      <c r="M82"/>
      <c r="N82"/>
      <c r="O82"/>
      <c r="P82"/>
      <c r="Q82"/>
      <c r="T82" s="220">
        <f>INDEX('[2]Flat Rates 2024'!$A:$DZ,MATCH(V82,'[2]Flat Rates 2024'!$A:$A,0),MATCH(Z82,'[2]Flat Rates 2024'!$A$1:$DZ$1,0))</f>
        <v>6.9</v>
      </c>
      <c r="U82" s="220">
        <v>0</v>
      </c>
      <c r="V82" s="220" t="s">
        <v>64</v>
      </c>
      <c r="W82" s="213">
        <f>INDEX(Vessel_Minimum_MT,MATCH(Y82,Control!$E$11:$E$15,0),MATCH(V82,Control!$E$11:$O$11,0))</f>
        <v>80000</v>
      </c>
      <c r="X82" s="222">
        <f>AB82/Control!$D$84</f>
        <v>90096.96796338672</v>
      </c>
      <c r="Y82" s="215" t="s">
        <v>23</v>
      </c>
      <c r="Z82" s="212" t="s">
        <v>96</v>
      </c>
      <c r="AA82" s="212" t="str">
        <f t="shared" ref="AA82:AA83" si="134">IF(Z82=V82,"",CONCATENATE(CONCATENATE(VLOOKUP(V82,Zones,2,FALSE),"/",VLOOKUP(Z82,Zones,2,FALSE))))</f>
        <v>Nsea/Nsea</v>
      </c>
      <c r="AB82" s="214">
        <f>AB75</f>
        <v>700000</v>
      </c>
      <c r="AC82" s="214"/>
      <c r="AD82" s="264">
        <f t="shared" si="122"/>
        <v>122.5</v>
      </c>
      <c r="AE82" s="225">
        <f t="shared" si="130"/>
        <v>0.96599999999999997</v>
      </c>
      <c r="AF82" s="306">
        <v>0</v>
      </c>
      <c r="AG82" s="214">
        <f>IF(AND($AZ$48=1,VLOOKUP(Z82,Control!$AS$37:$AV$68,4,FALSE)&lt;0),0,VLOOKUP(Z82,Control!$AS$37:$AV$68,4,FALSE))-$AG$73+2</f>
        <v>2</v>
      </c>
      <c r="AH82" s="227">
        <f>AF82*VLOOKUP($Y82,Control!$F$75:$H$87,3,FALSE)/$AB82</f>
        <v>0</v>
      </c>
      <c r="AI82" s="226">
        <f>$AG82*Control!$D$77</f>
        <v>2.6072328767123291E-2</v>
      </c>
      <c r="AJ82" s="227">
        <f>Control!$I$90/FORTIES!AB82</f>
        <v>0.10714285714285714</v>
      </c>
      <c r="AK82" s="227">
        <f>IF(I82="Corpus Christi",Control!$D$76,0)</f>
        <v>0</v>
      </c>
      <c r="AL82" s="227">
        <v>0</v>
      </c>
      <c r="AM82" s="227">
        <f>Control!$D$78</f>
        <v>0</v>
      </c>
      <c r="AN82" s="227">
        <f>Control!$D$79</f>
        <v>6.7299999999999999E-2</v>
      </c>
      <c r="AO82" s="227">
        <f>IF(INDEX(Control!$Q$3:$S$62,MATCH($Z82,Control!$Q$3:$Q$62,0),MATCH(AO$8,Control!$Q$3:$S$3,0))=1,Control!$D$81*Control!$E$81,0)</f>
        <v>0</v>
      </c>
      <c r="AP82" s="227">
        <v>0</v>
      </c>
      <c r="AQ82" s="227" t="str">
        <f t="shared" si="125"/>
        <v/>
      </c>
      <c r="AR82" s="227"/>
      <c r="AS82" s="225">
        <f t="shared" si="133"/>
        <v>0.20051518590998044</v>
      </c>
      <c r="AT82" s="225">
        <f t="shared" si="116"/>
        <v>1.1665151859099805</v>
      </c>
      <c r="AU82" s="225">
        <f t="shared" si="117"/>
        <v>0</v>
      </c>
      <c r="AV82" s="225">
        <v>0</v>
      </c>
      <c r="AW82" s="497">
        <f t="shared" si="118"/>
        <v>3.5011273810319317</v>
      </c>
      <c r="AY82" s="220"/>
      <c r="AZ82" s="229">
        <v>4</v>
      </c>
      <c r="BA82" s="230">
        <f t="shared" si="126"/>
        <v>45673</v>
      </c>
      <c r="BB82" s="230">
        <f t="shared" si="119"/>
        <v>45675</v>
      </c>
      <c r="BC82" s="230" t="s">
        <v>157</v>
      </c>
      <c r="BD82" s="489">
        <f t="shared" si="120"/>
        <v>45688</v>
      </c>
      <c r="BE82" s="489">
        <f t="shared" si="121"/>
        <v>45688</v>
      </c>
    </row>
    <row r="83" spans="1:57" ht="17.25" customHeight="1" x14ac:dyDescent="0.35">
      <c r="A83" s="163">
        <f t="shared" si="127"/>
        <v>45668</v>
      </c>
      <c r="B83" s="163">
        <f t="shared" si="127"/>
        <v>45670</v>
      </c>
      <c r="D83" s="153">
        <f>IF(AJ83=0,0,VLOOKUP(Y83,Control!$G$41:$J$44,4,FALSE))</f>
        <v>3</v>
      </c>
      <c r="E83" s="518">
        <f t="shared" si="113"/>
        <v>45672</v>
      </c>
      <c r="F83"/>
      <c r="G83"/>
      <c r="H83"/>
      <c r="I83"/>
      <c r="J83"/>
      <c r="K83"/>
      <c r="L83"/>
      <c r="M83"/>
      <c r="N83"/>
      <c r="O83"/>
      <c r="P83"/>
      <c r="Q83"/>
      <c r="T83" s="191">
        <f>INDEX('[2]Flat Rates 2024'!$A:$DZ,MATCH(V83,'[2]Flat Rates 2024'!$A:$A,0),MATCH(Z83,'[2]Flat Rates 2024'!$A$1:$DZ$1,0))</f>
        <v>6.9</v>
      </c>
      <c r="U83" s="138">
        <v>0</v>
      </c>
      <c r="V83" s="138" t="s">
        <v>64</v>
      </c>
      <c r="W83" s="641">
        <f>INDEX(Vessel_Minimum_MT,MATCH(Y83,Control!$E$11:$E$15,0),MATCH(V83,Control!$E$11:$O$11,0))</f>
        <v>145000</v>
      </c>
      <c r="X83" s="140">
        <f>AB83/Control!$D$84</f>
        <v>109403.46109839817</v>
      </c>
      <c r="Y83" s="147" t="s">
        <v>24</v>
      </c>
      <c r="Z83" s="142" t="s">
        <v>96</v>
      </c>
      <c r="AA83" s="142" t="str">
        <f t="shared" si="134"/>
        <v>Nsea/Nsea</v>
      </c>
      <c r="AB83" s="141">
        <v>850000</v>
      </c>
      <c r="AC83" s="141">
        <v>70</v>
      </c>
      <c r="AD83" s="49">
        <f t="shared" si="122"/>
        <v>122.5</v>
      </c>
      <c r="AE83" s="149">
        <f t="shared" si="130"/>
        <v>1.4418970588235294</v>
      </c>
      <c r="AF83" s="28">
        <f t="shared" si="124"/>
        <v>0</v>
      </c>
      <c r="AG83" s="155">
        <f>IF(AND($AZ$48=1,VLOOKUP(Z83,Control!$AS$37:$AV$68,4,FALSE)&lt;0),0,VLOOKUP(Z83,Control!$AS$37:$AV$68,4,FALSE))-$AG$73+2</f>
        <v>2</v>
      </c>
      <c r="AH83" s="143">
        <f>AF83*VLOOKUP($Y83,Control!$F$75:$H$87,3,FALSE)/$AB83</f>
        <v>0</v>
      </c>
      <c r="AI83" s="144">
        <f>$AG83*Control!$D$77</f>
        <v>2.6072328767123291E-2</v>
      </c>
      <c r="AJ83" s="143">
        <f>Control!$I$90/FORTIES!AB83</f>
        <v>8.8235294117647065E-2</v>
      </c>
      <c r="AK83" s="143">
        <f>IF(I83="Corpus Christi",Control!$D$76,0)</f>
        <v>0</v>
      </c>
      <c r="AL83" s="143">
        <f>IF(AND(Control!$D$85-ROUNDUP(((AB83-VLOOKUP(Y83,Control!$J$76:$K$82,2,FALSE))),0)&gt;0,Control!$D$85-ROUNDUP(((AB83-VLOOKUP(Y83,Control!$J$76:$K$82,2,FALSE))),0)&lt;Control!$D$86-ROUNDUP(((AB83-VLOOKUP(Y83,Control!$J$76:$K$82,2,FALSE))),0)),Control!$D$85,Control!$D$86)</f>
        <v>750000</v>
      </c>
      <c r="AM83" s="143">
        <f>Control!$D$78</f>
        <v>0</v>
      </c>
      <c r="AN83" s="143">
        <f>Control!$D$79</f>
        <v>6.7299999999999999E-2</v>
      </c>
      <c r="AO83" s="143">
        <f>IF(INDEX(Control!$Q$3:$S$62,MATCH($Z83,Control!$Q$3:$Q$62,0),MATCH(AO$8,Control!$Q$3:$S$3,0))=1,Control!$D$81*Control!$E$81,0)</f>
        <v>0</v>
      </c>
      <c r="AP83" s="143">
        <f>AP76</f>
        <v>0</v>
      </c>
      <c r="AQ83" s="143">
        <f>116490/AB83</f>
        <v>0.13704705882352941</v>
      </c>
      <c r="AR83" s="143"/>
      <c r="AS83" s="149">
        <f t="shared" ref="AS83" si="135">SUM(AH83:AK83,AM83:AR83)</f>
        <v>0.31865468170829975</v>
      </c>
      <c r="AT83" s="149">
        <f t="shared" si="116"/>
        <v>1.7605517405318292</v>
      </c>
      <c r="AU83" s="149">
        <f t="shared" si="117"/>
        <v>0</v>
      </c>
      <c r="AV83" s="149">
        <v>0</v>
      </c>
      <c r="AW83" s="501">
        <f t="shared" si="118"/>
        <v>4.0951639356537797</v>
      </c>
      <c r="AZ83" s="153">
        <v>4</v>
      </c>
      <c r="BA83" s="163">
        <f t="shared" ref="BA83" si="136">IF(ISBLANK(A83),"",A83+$AZ83+D83)</f>
        <v>45675</v>
      </c>
      <c r="BB83" s="163">
        <f t="shared" si="119"/>
        <v>45677</v>
      </c>
      <c r="BC83" s="163" t="s">
        <v>157</v>
      </c>
      <c r="BD83" s="490">
        <f t="shared" si="120"/>
        <v>45688</v>
      </c>
      <c r="BE83" s="490">
        <f t="shared" si="121"/>
        <v>45688</v>
      </c>
    </row>
    <row r="84" spans="1:57" ht="17.25" customHeight="1" thickBot="1" x14ac:dyDescent="0.4">
      <c r="A84"/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W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</row>
    <row r="85" spans="1:57" ht="17.25" customHeight="1" thickBot="1" x14ac:dyDescent="0.4">
      <c r="A85" s="309">
        <v>45456</v>
      </c>
      <c r="B85" s="310">
        <f>A85+2</f>
        <v>45458</v>
      </c>
      <c r="D85" s="229">
        <v>4</v>
      </c>
      <c r="E85" s="519">
        <f t="shared" ref="E85" si="137">AVERAGE(A85:B85)+D85</f>
        <v>45461</v>
      </c>
      <c r="F85"/>
      <c r="G85"/>
      <c r="H85"/>
      <c r="I85"/>
      <c r="J85"/>
      <c r="K85"/>
      <c r="L85"/>
      <c r="M85"/>
      <c r="N85"/>
      <c r="O85"/>
      <c r="P85"/>
      <c r="Q85"/>
      <c r="T85" s="220">
        <v>0</v>
      </c>
      <c r="U85" s="220">
        <f>INDEX(Control!$E$17:$J$21,MATCH(Y85,Control!$E$17:$E$21,0),MATCH(V85,Control!$E$17:$J$17,0))</f>
        <v>0.5</v>
      </c>
      <c r="V85" s="220" t="s">
        <v>45</v>
      </c>
      <c r="W85" s="213">
        <f>INDEX(Vessel_Minimum_MT,MATCH(Y85,Control!$E$11:$E$15,0),MATCH(V85,Control!$E$11:$J$11,0))</f>
        <v>270000</v>
      </c>
      <c r="X85" s="222">
        <f>AB85/Control!$D$84</f>
        <v>267073.15503432491</v>
      </c>
      <c r="Y85" s="215" t="s">
        <v>25</v>
      </c>
      <c r="Z85" s="212" t="s">
        <v>42</v>
      </c>
      <c r="AA85" s="212" t="str">
        <f t="shared" ref="AA85" si="138">IF(Z85=V85,"",CONCATENATE(CONCATENATE(VLOOKUP(V85,Zones,2,FALSE),"/",VLOOKUP(Z85,Zones,2,FALSE))))</f>
        <v>USGC/Nsea</v>
      </c>
      <c r="AB85" s="214">
        <v>2075000</v>
      </c>
      <c r="AC85" s="214"/>
      <c r="AD85" s="377">
        <v>7600000</v>
      </c>
      <c r="AE85" s="225">
        <f>AD85/AB85</f>
        <v>3.6626506024096384</v>
      </c>
      <c r="AF85" s="306">
        <v>5</v>
      </c>
      <c r="AG85" s="214">
        <f>BA85+10-(A85+30)-(D85/3)</f>
        <v>29.666666666666668</v>
      </c>
      <c r="AH85" s="227">
        <f>AF85*VLOOKUP($Y85,Control!$F$75:$H$87,3,FALSE)/$AB85</f>
        <v>1.0843373493975903</v>
      </c>
      <c r="AI85" s="226">
        <f>$AG85*Control!$D$77</f>
        <v>0.38673954337899552</v>
      </c>
      <c r="AJ85" s="227">
        <f>Control!$D$87/$AB$60</f>
        <v>0.86746987951807231</v>
      </c>
      <c r="AK85" s="227">
        <f>IF(I85="Corpus Christi",Control!$D$76,0)</f>
        <v>0</v>
      </c>
      <c r="AL85" s="227">
        <v>0</v>
      </c>
      <c r="AM85" s="227">
        <f>Control!$D$78</f>
        <v>0</v>
      </c>
      <c r="AN85" s="227">
        <f>Control!$D$79</f>
        <v>6.7299999999999999E-2</v>
      </c>
      <c r="AO85" s="227">
        <f>IF(INDEX(Control!$Q$3:$S$62,MATCH($Z85,Control!$Q$3:$Q$62,0),MATCH(AO$8,Control!$Q$3:$S$3,0))=1,Control!$D$81*Control!$E$81,0)</f>
        <v>0</v>
      </c>
      <c r="AP85" s="227">
        <f>IF(INDEX(Control!$Q$3:$S$62,MATCH($Z85,Control!$Q$3:$Q$62,0),MATCH(AP$8,Control!$Q$3:$S$3,0))=1,INDEX(Control!$AK$3:$AO$69,MATCH(FORTIES!Z85,Control!$AK$3:$AK$29,0),MATCH(FORTIES!Y85,Control!$AK$3:$AO$3,0))/AB85*1000,0)</f>
        <v>0</v>
      </c>
      <c r="AQ85" s="227"/>
      <c r="AR85" s="227"/>
      <c r="AS85" s="225">
        <f t="shared" ref="AS85" si="139">SUM(AH85:AR85)</f>
        <v>2.4058467722946579</v>
      </c>
      <c r="AT85" s="225">
        <f t="shared" ref="AT85" si="140">+R85+AE85+AS85</f>
        <v>6.0684973747042967</v>
      </c>
      <c r="AU85" s="225" t="e">
        <f t="shared" ref="AU85" si="141">IF((MONTH(A85)=MONTH(BE85)),0,IF(((MONTH(BE85))-MONTH(A85))+12*YEAR(BD85)-YEAR(A85)&gt;1,SUMIFS($BA$4:$BD$4,$BA$3:$BD$3,"&lt;="&amp;EOMONTH(BD85,-1),$BA$3:$BD$3,"&gt;="&amp;EOMONTH(A85,0)),VLOOKUP("Spreads",$AZ$3:$BD$4,MATCH(EOMONTH(A85,0),$AZ$3:$BD$3,0))))</f>
        <v>#N/A</v>
      </c>
      <c r="AV85" s="479" t="e">
        <f>+IF($AZ$3=1,HLOOKUP(EOMONTH(BD85,0),$BA$3:$BD$6,4,FALSE),IF($AZ$3=2,-HLOOKUP(EOMONTH(BD85,0),$BA$3:$BD$6,3,FALSE),0))</f>
        <v>#N/A</v>
      </c>
      <c r="AW85" s="498" t="e">
        <f>$A$86+AT85+AU85+AV85</f>
        <v>#N/A</v>
      </c>
      <c r="AY85" s="220"/>
      <c r="AZ85" s="229">
        <v>47</v>
      </c>
      <c r="BA85" s="230">
        <f t="shared" ref="BA85" si="142">IF(ISBLANK(A85),"",A85+$AZ85+D85)</f>
        <v>45507</v>
      </c>
      <c r="BB85" s="230">
        <f t="shared" ref="BB85" si="143">BA85+2</f>
        <v>45509</v>
      </c>
      <c r="BC85" s="380" t="e">
        <f>HLOOKUP($AZ$3,$AT$3:$AV$3,2,FALSE)</f>
        <v>#N/A</v>
      </c>
      <c r="BD85" s="592" t="e">
        <f t="shared" ref="BD85" si="144">IF($AZ$7=0,IF(BC85="ICE Brent",EOMONTH(BB85,2),EOMONTH(BB85,0)),IF(BC85="ICE Brent",EOMONTH(BB85,1),EOMONTH(BB85,-1)))</f>
        <v>#N/A</v>
      </c>
      <c r="BE85" s="489">
        <f t="shared" ref="BE85" si="145">IF($AZ$7=1,EOMONTH(BB85,-1),EOMONTH(BB85,0))</f>
        <v>45504</v>
      </c>
    </row>
    <row r="86" spans="1:57" ht="16" thickBot="1" x14ac:dyDescent="0.4">
      <c r="A86" s="570">
        <f>-1.15-0.8</f>
        <v>-1.95</v>
      </c>
      <c r="B86"/>
      <c r="D86"/>
      <c r="E86"/>
      <c r="F86" s="132"/>
      <c r="N86" s="362"/>
      <c r="O86"/>
      <c r="P86"/>
      <c r="Q86"/>
      <c r="W86"/>
      <c r="AA86"/>
      <c r="AB86" s="485"/>
      <c r="AC86" s="77"/>
      <c r="AD86"/>
      <c r="AE86" s="485"/>
      <c r="AF86"/>
      <c r="AG86" s="485"/>
      <c r="AH86" s="308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 s="194"/>
      <c r="AW86" s="503"/>
      <c r="AX86"/>
      <c r="AY86"/>
      <c r="AZ86"/>
      <c r="BA86"/>
      <c r="BB86"/>
      <c r="BC86"/>
      <c r="BD86"/>
      <c r="BE86"/>
    </row>
    <row r="87" spans="1:57" x14ac:dyDescent="0.35">
      <c r="A87"/>
      <c r="B87"/>
      <c r="D87"/>
      <c r="E87"/>
      <c r="F87" s="132"/>
      <c r="N87"/>
      <c r="O87"/>
      <c r="P87"/>
      <c r="Q87"/>
      <c r="W87"/>
      <c r="AA87"/>
      <c r="AB87" s="485"/>
      <c r="AC87"/>
      <c r="AD87"/>
      <c r="AE87" s="485"/>
      <c r="AF87"/>
      <c r="AG87" s="485"/>
      <c r="AH87" s="308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 s="511"/>
      <c r="AX87"/>
      <c r="AY87"/>
      <c r="AZ87"/>
      <c r="BA87"/>
      <c r="BB87"/>
      <c r="BC87"/>
      <c r="BD87"/>
      <c r="BE87"/>
    </row>
    <row r="88" spans="1:57" x14ac:dyDescent="0.35">
      <c r="A88"/>
      <c r="B88"/>
      <c r="N88"/>
      <c r="O88"/>
      <c r="P88"/>
      <c r="Q88"/>
      <c r="W88"/>
      <c r="AA88"/>
      <c r="AB88" s="485"/>
      <c r="AC88" s="77"/>
      <c r="AD88"/>
      <c r="AE88" s="485"/>
      <c r="AF88"/>
      <c r="AG88" s="485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 s="512"/>
    </row>
    <row r="89" spans="1:57" x14ac:dyDescent="0.35">
      <c r="A89"/>
      <c r="B89"/>
      <c r="D89"/>
      <c r="E89"/>
      <c r="N89"/>
      <c r="O89"/>
      <c r="P89"/>
      <c r="Q89"/>
      <c r="W89"/>
      <c r="Z89" t="e">
        <f>AVERAGE(Z86:Z88)</f>
        <v>#DIV/0!</v>
      </c>
      <c r="AA89"/>
      <c r="AB89" s="485"/>
      <c r="AC89"/>
      <c r="AD89"/>
      <c r="AE89" s="485"/>
      <c r="AF89"/>
      <c r="AG89" s="485"/>
      <c r="AH89"/>
      <c r="AI89"/>
      <c r="AK89"/>
      <c r="AL89"/>
      <c r="AM89"/>
      <c r="AN89"/>
      <c r="AO89"/>
      <c r="AP89"/>
      <c r="AQ89"/>
      <c r="AR89"/>
      <c r="AS89"/>
      <c r="AT89"/>
      <c r="AU89"/>
      <c r="AW89" s="21"/>
      <c r="AZ89" s="495"/>
      <c r="BA89" s="43"/>
      <c r="BB89" s="406"/>
    </row>
    <row r="90" spans="1:57" x14ac:dyDescent="0.35">
      <c r="A90"/>
      <c r="B90"/>
      <c r="D90" s="194">
        <f>BA85</f>
        <v>45507</v>
      </c>
      <c r="E90" s="194">
        <f>D90+10</f>
        <v>45517</v>
      </c>
      <c r="N90"/>
      <c r="O90"/>
      <c r="P90"/>
      <c r="Q90"/>
      <c r="W90"/>
      <c r="Z90" t="s">
        <v>224</v>
      </c>
      <c r="AA90" s="77">
        <f>Y3</f>
        <v>-1.65</v>
      </c>
      <c r="AB90" s="485" t="str">
        <f>Z90</f>
        <v>FOB vs ICE Brent</v>
      </c>
      <c r="AC90"/>
      <c r="AD90" s="77">
        <f>Y3</f>
        <v>-1.65</v>
      </c>
      <c r="AE90" s="485" t="s">
        <v>225</v>
      </c>
      <c r="AF90"/>
      <c r="AG90" s="485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Z90" s="495"/>
      <c r="BA90" s="513"/>
      <c r="BB90" s="406"/>
    </row>
    <row r="91" spans="1:57" x14ac:dyDescent="0.35">
      <c r="A91"/>
      <c r="B91"/>
      <c r="D91" s="194">
        <f>A85</f>
        <v>45456</v>
      </c>
      <c r="E91" s="194">
        <f>D91+30</f>
        <v>45486</v>
      </c>
      <c r="N91"/>
      <c r="O91"/>
      <c r="P91"/>
      <c r="Q91"/>
      <c r="W91"/>
      <c r="Z91" t="s">
        <v>226</v>
      </c>
      <c r="AA91" s="114">
        <f>AU31</f>
        <v>0.32</v>
      </c>
      <c r="AB91" s="485" t="str">
        <f t="shared" ref="AB91:AB94" si="146">Z91</f>
        <v>Brent Sprds</v>
      </c>
      <c r="AC91"/>
      <c r="AD91" s="114">
        <f>AU29</f>
        <v>0.58000000000000007</v>
      </c>
      <c r="AE91" s="485" t="s">
        <v>226</v>
      </c>
      <c r="AF91"/>
      <c r="AG91" s="485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Z91" s="495"/>
      <c r="BA91" s="513"/>
      <c r="BB91" s="406"/>
      <c r="BE91" s="3"/>
    </row>
    <row r="92" spans="1:57" x14ac:dyDescent="0.35">
      <c r="A92"/>
      <c r="B92"/>
      <c r="D92" s="43">
        <f>D90-D91</f>
        <v>51</v>
      </c>
      <c r="E92" s="43">
        <f>E90-E91</f>
        <v>31</v>
      </c>
      <c r="N92" s="308"/>
      <c r="O92"/>
      <c r="P92"/>
      <c r="Q92"/>
      <c r="W92"/>
      <c r="Z92" s="577" t="s">
        <v>227</v>
      </c>
      <c r="AA92" s="480">
        <f>AV31</f>
        <v>-0.13</v>
      </c>
      <c r="AB92" s="485" t="s">
        <v>228</v>
      </c>
      <c r="AC92"/>
      <c r="AD92" s="114">
        <f>-AV46</f>
        <v>0.13</v>
      </c>
      <c r="AE92" s="485" t="s">
        <v>229</v>
      </c>
      <c r="AF92"/>
      <c r="AG92" s="485"/>
      <c r="AH92"/>
      <c r="AI92"/>
      <c r="AJ92"/>
      <c r="AK92"/>
      <c r="AL92"/>
      <c r="AM92"/>
      <c r="AN92"/>
      <c r="AO92"/>
      <c r="AP92"/>
      <c r="AQ92"/>
      <c r="AR92"/>
      <c r="AS92"/>
      <c r="AT92" s="79"/>
      <c r="AU92"/>
    </row>
    <row r="93" spans="1:57" x14ac:dyDescent="0.35">
      <c r="A93"/>
      <c r="B93"/>
      <c r="N93" s="308"/>
      <c r="O93"/>
      <c r="P93"/>
      <c r="Q93"/>
      <c r="W93"/>
      <c r="Z93" t="s">
        <v>203</v>
      </c>
      <c r="AA93" s="114">
        <f>AE28</f>
        <v>3.1325301204819276</v>
      </c>
      <c r="AB93" s="485" t="str">
        <f t="shared" si="146"/>
        <v>Freight</v>
      </c>
      <c r="AC93"/>
      <c r="AD93" s="114">
        <f>AE29</f>
        <v>2.6506024096385543</v>
      </c>
      <c r="AE93" s="485" t="s">
        <v>203</v>
      </c>
      <c r="AF93"/>
      <c r="AG93" s="485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 s="362"/>
      <c r="AZ93"/>
    </row>
    <row r="94" spans="1:57" x14ac:dyDescent="0.35">
      <c r="N94"/>
      <c r="O94"/>
      <c r="P94"/>
      <c r="Q94"/>
      <c r="W94"/>
      <c r="Z94" t="s">
        <v>231</v>
      </c>
      <c r="AA94" s="114">
        <f>AS31</f>
        <v>1.671452011222974</v>
      </c>
      <c r="AB94" s="485" t="str">
        <f t="shared" si="146"/>
        <v>Costs</v>
      </c>
      <c r="AC94"/>
      <c r="AD94" s="114">
        <f>AS29</f>
        <v>1.9105605043736589</v>
      </c>
      <c r="AE94" s="485" t="s">
        <v>231</v>
      </c>
      <c r="AF94"/>
      <c r="AG94" s="485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Z94"/>
      <c r="BA94"/>
      <c r="BB94"/>
    </row>
    <row r="95" spans="1:57" x14ac:dyDescent="0.35">
      <c r="N95"/>
      <c r="O95"/>
      <c r="P95"/>
      <c r="Q95"/>
      <c r="W95"/>
      <c r="Z95" t="s">
        <v>232</v>
      </c>
      <c r="AA95" s="77">
        <f>SUM(AA90:AA94)</f>
        <v>3.3439821317049017</v>
      </c>
      <c r="AB95" s="485" t="s">
        <v>233</v>
      </c>
      <c r="AC95"/>
      <c r="AD95" s="77">
        <f>AD90+AD91+AD93+AD94-AD92</f>
        <v>3.3611629140122137</v>
      </c>
      <c r="AE95" s="485" t="str">
        <f>AB95</f>
        <v>Landed vs Dtd</v>
      </c>
      <c r="AF95"/>
      <c r="AG95" s="48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Z95"/>
      <c r="BA95"/>
      <c r="BB95"/>
    </row>
    <row r="96" spans="1:57" x14ac:dyDescent="0.35">
      <c r="N96"/>
      <c r="O96"/>
      <c r="P96"/>
      <c r="Q96"/>
      <c r="W96"/>
      <c r="AA96"/>
      <c r="AB96" s="485"/>
      <c r="AC96"/>
      <c r="AD96"/>
      <c r="AE96" s="485"/>
      <c r="AF96"/>
      <c r="AG96" s="485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Z96"/>
      <c r="BA96"/>
      <c r="BB96"/>
    </row>
    <row r="97" spans="4:55" x14ac:dyDescent="0.35">
      <c r="N97"/>
      <c r="O97"/>
      <c r="P97"/>
      <c r="Q97"/>
      <c r="W97"/>
      <c r="Y97" s="7" t="s">
        <v>235</v>
      </c>
      <c r="AA97"/>
      <c r="AB97" s="485"/>
      <c r="AC97"/>
      <c r="AD97"/>
      <c r="AE97" s="485"/>
      <c r="AF97"/>
      <c r="AG97" s="485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 s="201"/>
      <c r="AV97" s="194"/>
      <c r="AW97" s="362"/>
      <c r="AZ97"/>
      <c r="BA97"/>
      <c r="BB97" s="201"/>
    </row>
    <row r="98" spans="4:55" x14ac:dyDescent="0.35">
      <c r="N98"/>
      <c r="O98"/>
      <c r="P98"/>
      <c r="Q98"/>
      <c r="W98"/>
      <c r="Y98" s="7" t="s">
        <v>237</v>
      </c>
      <c r="AA98"/>
      <c r="AB98" s="485"/>
      <c r="AC98"/>
      <c r="AE98" s="485"/>
      <c r="AG98" s="485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 s="523"/>
      <c r="AV98"/>
      <c r="AZ98"/>
      <c r="BA98"/>
      <c r="BB98" s="523"/>
    </row>
    <row r="99" spans="4:55" x14ac:dyDescent="0.35">
      <c r="N99"/>
      <c r="O99"/>
      <c r="P99"/>
      <c r="Q99"/>
      <c r="W99"/>
      <c r="Y99" t="str">
        <f>"1. 2,000kb WTI +/- 10% s.o. DAP 1sp"&amp;" "&amp;VLOOKUP(Z42,Zones,2,FALSE)&amp;" "&amp;TEXT(MROUND(BA42,5),"mmm-dd")&amp;" - "&amp;TEXT(MROUND(BA42+10,5),"mmm-dd")&amp;"; "&amp;TEXT(BD42,"mmm")&amp;" "&amp;BC42&amp;" "&amp;TEXT(ROUND(AW42,1),("+0.00;-0.00;0"))</f>
        <v>1. 2,000kb WTI +/- 10% s.o. DAP 1sp KOREA Mar-24 - Apr-03; Feb Dubai +6.40</v>
      </c>
      <c r="AA99"/>
      <c r="AB99" s="485"/>
      <c r="AC99"/>
      <c r="AD99" t="str">
        <f>"1. 2,000kb WTI +/- 10% s.o. DAP 1sp"&amp;" "&amp;VLOOKUP(Z28,Zones,2,FALSE)&amp;" "&amp;TEXT(MROUND(BA34,5),"mmm-dd")&amp;" - "&amp;TEXT(MROUND(BA34+5,5),"mmm-dd")&amp;"; "&amp;TEXT(BD34,"mmm")&amp;" "&amp;BC34&amp;" "&amp;TEXT(ROUND(AVERAGE(AW34,AW42),1),("+0.00;-0.00;0"))</f>
        <v>1. 2,000kb WTI +/- 10% s.o. DAP 1sp KOREA Mar-14 - Mar-19; Feb Dubai +5.40</v>
      </c>
      <c r="AE99" s="485"/>
      <c r="AF99"/>
      <c r="AG99" s="494">
        <f>DAY(IF(MOD(DAY(BA31)-23,30)&gt;15,EOMONTH(BA31,-1)+15,MIN(EOMONTH(BA31-8,0),EOMONTH(BA31-8,-1)+30)))</f>
        <v>15</v>
      </c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Z99"/>
      <c r="BA99"/>
      <c r="BB99"/>
    </row>
    <row r="100" spans="4:55" x14ac:dyDescent="0.35">
      <c r="N100"/>
      <c r="O100"/>
      <c r="P100"/>
      <c r="Q100"/>
      <c r="W100"/>
      <c r="Y100" t="str">
        <f>"2. 2,000kb WTI +/- 10% s.o. DAP 1sp"&amp;" "&amp;VLOOKUP(Z44,Zones,2,FALSE)&amp;" "&amp;TEXT(MROUND(BA44,5),"mmm-dd")&amp;" - "&amp;TEXT(MROUND(BA44+10,5),"mmm-dd")&amp;"; "&amp;TEXT(BD44,"mmm")&amp;" "&amp;BC44&amp;" "&amp;TEXT(ROUND(AW44,1),("+0.00;-0.00;0"))</f>
        <v>2. 2,000kb WTI +/- 10% s.o. DAP 1sp Singapore Mar-14 - Mar-24; Mar Dated +5.90</v>
      </c>
      <c r="AD100" t="str">
        <f>"2. 2,000kb WTI +/- 5% s.o. DAP 1sp"&amp;" "&amp;VLOOKUP(Z29,Zones,2,FALSE)&amp;" "&amp;TEXT(MROUND(BA35,5),"mmm-dd")&amp;" - "&amp;TEXT(MROUND(BA35+5,5),"mmm-dd")&amp;"; "&amp;TEXT(BD35,"mmm")&amp;" "&amp;BC35&amp;" "&amp;TEXT(ROUND(AVERAGE(AW35,AW44),1),("+0.00;-0.00;0"))</f>
        <v>2. 2,000kb WTI +/- 5% s.o. DAP 1sp Singapore Mar-04 - Mar-09; Mar Dated +4.70</v>
      </c>
      <c r="AF100"/>
      <c r="AG100" s="485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BB100" s="406"/>
    </row>
    <row r="101" spans="4:55" x14ac:dyDescent="0.35">
      <c r="D101" s="2"/>
      <c r="E101" s="2"/>
      <c r="N101"/>
      <c r="O101"/>
      <c r="P101"/>
      <c r="Q101"/>
      <c r="W101"/>
      <c r="Y101" t="str">
        <f>"3. 2,000kb WTI +/- 10% s.o. DAP 1sp"&amp;" "&amp;VLOOKUP(Z46,Zones,2,FALSE)&amp;" "&amp;TEXT(MROUND(BA46,5),"mmm-dd")&amp;" - "&amp;TEXT(MROUND(BA46+10,5),"mmm-dd")&amp;"; "&amp;TEXT(BD46,"mmm")&amp;" "&amp;BC46&amp;" "&amp;TEXT(ROUND(AW46,1),("+0.00;-0.00;0"))</f>
        <v>3. 2,000kb WTI +/- 10% s.o. DAP 1sp INDIA Mar-09 - Mar-19; Feb Dated +5.40</v>
      </c>
      <c r="AA101"/>
      <c r="AB101" s="485"/>
      <c r="AC101"/>
      <c r="AD101" t="str">
        <f>"3. 2,000kb WTI +/- 10% s.o. DAP 1sp"&amp;" "&amp;VLOOKUP(Z30,Zones,2,FALSE)&amp;" "&amp;TEXT(MROUND(BA36,5),"mmm-dd")&amp;" - "&amp;TEXT(MROUND(BA36+5,5),"mmm-dd")&amp;"; "&amp;TEXT(BD36,"mmm")&amp;" "&amp;BC36&amp;" "&amp;TEXT(ROUND(AVERAGE(AW36,AW46),1),("+0.00;-0.00;0"))</f>
        <v>3. 2,000kb WTI +/- 10% s.o. DAP 1sp INDIA Mar-04 - Mar-09; Feb Dated +4.20</v>
      </c>
      <c r="AE101" s="485"/>
      <c r="AF101"/>
      <c r="AG101" s="485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 s="201"/>
      <c r="AV101"/>
      <c r="AW101" s="152"/>
      <c r="AZ101" s="2"/>
      <c r="BB101" s="201"/>
    </row>
    <row r="102" spans="4:55" x14ac:dyDescent="0.35">
      <c r="D102" s="2"/>
      <c r="E102" s="2"/>
      <c r="N102"/>
      <c r="O102"/>
      <c r="P102"/>
      <c r="Q102"/>
      <c r="W102"/>
      <c r="Y102" t="str">
        <f>"3. 2,000kb WTI +/- 10% s.o. CFR. 1sp"&amp;" "&amp;VLOOKUP(Z47,Zones,2,FALSE)&amp;" "&amp;TEXT(MROUND(BA47,5),"mmm-dd")&amp;" - "&amp;TEXT(MROUND(BA47+10,5),"mmm-dd")&amp;"; "&amp;TEXT(BD47,"mmm")&amp;" "&amp;BC47&amp;" "&amp;TEXT(ROUND(AW47,1),("+0.00;-0.00;0"))</f>
        <v>3. 2,000kb WTI +/- 10% s.o. CFR. 1sp TAIWAN Mar-19 - Mar-29; Feb Dated +5.60</v>
      </c>
      <c r="AA102"/>
      <c r="AB102" s="485"/>
      <c r="AC102"/>
      <c r="AD102" t="str">
        <f>"4. 2,000kb WTI +/- 10% s.o. DAP 1sp"&amp;" "&amp;VLOOKUP(Z31,Zones,2,FALSE)&amp;" "&amp;TEXT(MROUND(BA37,5),"mmm-dd")&amp;" - "&amp;TEXT(MROUND(BA37+5,5),"mmm-dd")&amp;"; "&amp;TEXT(BD37,"mmm")&amp;" "&amp;BC37&amp;" "&amp;TEXT(ROUND(AVERAGE(AW37,AW47),1),("+0.00;-0.00;0"))</f>
        <v>4. 2,000kb WTI +/- 10% s.o. DAP 1sp TAIWAN Mar-09 - Mar-14; Feb Dated +4.40</v>
      </c>
      <c r="AE102" s="485"/>
      <c r="AF102"/>
      <c r="AG102" s="485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 s="152"/>
      <c r="AZ102" s="2"/>
    </row>
    <row r="103" spans="4:55" x14ac:dyDescent="0.35">
      <c r="D103" s="2"/>
      <c r="E103" s="2"/>
      <c r="N103"/>
      <c r="O103"/>
      <c r="P103"/>
      <c r="Q103"/>
      <c r="W103"/>
      <c r="Y103" s="7" t="s">
        <v>239</v>
      </c>
      <c r="AA103"/>
      <c r="AB103" s="485"/>
      <c r="AC103"/>
      <c r="AD103"/>
      <c r="AE103" s="485"/>
      <c r="AF103"/>
      <c r="AG103" s="485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 s="152"/>
      <c r="AZ103" s="2"/>
    </row>
    <row r="104" spans="4:55" x14ac:dyDescent="0.35">
      <c r="N104"/>
      <c r="O104"/>
      <c r="P104" t="str">
        <f>AB50/1000&amp;" test"</f>
        <v>700 test</v>
      </c>
      <c r="Q104"/>
      <c r="W104"/>
      <c r="Y104" t="str">
        <f t="shared" ref="Y104:Y112" si="147">AB50/1000&amp;"kb WTI +/- 5% s.o. CIF"&amp;" "&amp;Z50&amp;" "&amp;TEXT(BA50,"mmm-dd")&amp;" - "&amp;TEXT(BA50+4,"mmm-dd")&amp;"; "&amp;TEXT(BD50,"mmm")&amp;" "&amp;BC50&amp;" "&amp;TEXT(ROUND(AW50,1),("+0.00;-0.00;0"))</f>
        <v>700kb WTI +/- 5% s.o. CIF Rotterdam Feb-05 - Feb-09; Feb Dated +1.80</v>
      </c>
      <c r="AA104"/>
      <c r="AB104" s="485"/>
      <c r="AC104"/>
      <c r="AD104"/>
      <c r="AE104" s="485"/>
      <c r="AF104"/>
      <c r="AG104" s="485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</row>
    <row r="105" spans="4:55" x14ac:dyDescent="0.35">
      <c r="N105"/>
      <c r="O105"/>
      <c r="P105"/>
      <c r="Q105"/>
      <c r="W105"/>
      <c r="Y105" t="str">
        <f t="shared" si="147"/>
        <v>700kb WTI +/- 5% s.o. CIF Tranmere Feb-05 - Feb-09; Feb Dated +2.00</v>
      </c>
      <c r="AA105"/>
      <c r="AB105" s="485"/>
      <c r="AC105"/>
      <c r="AD105"/>
      <c r="AE105" s="485"/>
      <c r="AF105"/>
      <c r="AG105" s="48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</row>
    <row r="106" spans="4:55" x14ac:dyDescent="0.35">
      <c r="N106"/>
      <c r="O106"/>
      <c r="P106"/>
      <c r="Q106"/>
      <c r="W106"/>
      <c r="Y106" t="str">
        <f t="shared" si="147"/>
        <v>700kb WTI +/- 5% s.o. CIF Pembroke Feb-05 - Feb-09; Feb Dated +1.80</v>
      </c>
      <c r="AA106"/>
      <c r="AB106" s="485"/>
      <c r="AC106"/>
      <c r="AD106"/>
      <c r="AE106" s="485"/>
      <c r="AF106"/>
      <c r="AG106" s="485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</row>
    <row r="107" spans="4:55" x14ac:dyDescent="0.35">
      <c r="N107"/>
      <c r="O107"/>
      <c r="P107"/>
      <c r="Q107"/>
      <c r="W107"/>
      <c r="Y107" t="str">
        <f t="shared" si="147"/>
        <v>700kb WTI +/- 5% s.o. CIF Butinge Feb-07 - Feb-11; Feb Dated +2.90</v>
      </c>
      <c r="AA107"/>
      <c r="AB107" s="485"/>
      <c r="AC107"/>
      <c r="AD107"/>
      <c r="AE107" s="485"/>
      <c r="AF107"/>
      <c r="AG107" s="485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</row>
    <row r="108" spans="4:55" x14ac:dyDescent="0.35">
      <c r="N108"/>
      <c r="O108"/>
      <c r="Y108" t="str">
        <f t="shared" si="147"/>
        <v>700kb WTI +/- 5% s.o. CIF Milazzo Feb-08 - Feb-12; Feb Dated +2.20</v>
      </c>
      <c r="AA108"/>
      <c r="AB108" s="485"/>
      <c r="AC108"/>
      <c r="AD108" t="s">
        <v>159</v>
      </c>
      <c r="AE108" s="485"/>
      <c r="AF108"/>
      <c r="AG108" s="485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</row>
    <row r="109" spans="4:55" x14ac:dyDescent="0.35">
      <c r="D109"/>
      <c r="E109"/>
      <c r="F109"/>
      <c r="G109"/>
      <c r="H109"/>
      <c r="I109"/>
      <c r="J109"/>
      <c r="K109"/>
      <c r="L109"/>
      <c r="M109"/>
      <c r="N109"/>
      <c r="O109"/>
      <c r="Y109" t="str">
        <f t="shared" si="147"/>
        <v>700kb WTI +/- 5% s.o. CIF Omisalj Feb-10 - Feb-14; Feb Dated +2.40</v>
      </c>
      <c r="AA109"/>
      <c r="AB109" s="485"/>
      <c r="AC109"/>
      <c r="AD109"/>
      <c r="AE109" s="485"/>
      <c r="AF109"/>
      <c r="AG109" s="485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</row>
    <row r="110" spans="4:55" x14ac:dyDescent="0.35">
      <c r="D110"/>
      <c r="F110" s="509">
        <v>4</v>
      </c>
      <c r="G110"/>
      <c r="H110"/>
      <c r="I110"/>
      <c r="J110"/>
      <c r="K110"/>
      <c r="L110"/>
      <c r="M110"/>
      <c r="N110"/>
      <c r="O110"/>
      <c r="Y110" t="str">
        <f t="shared" si="147"/>
        <v>700kb WTI +/- 5% s.o. CIF La Coruña Feb-05 - Feb-09; Feb Dated +1.60</v>
      </c>
      <c r="AA110"/>
      <c r="AB110" s="485"/>
      <c r="AC110"/>
      <c r="AD110"/>
      <c r="AE110" s="485"/>
      <c r="AF110"/>
      <c r="AG110" s="485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</row>
    <row r="111" spans="4:55" x14ac:dyDescent="0.35">
      <c r="D111"/>
      <c r="F111" s="509">
        <v>2</v>
      </c>
      <c r="G111"/>
      <c r="H111"/>
      <c r="I111"/>
      <c r="J111"/>
      <c r="K111"/>
      <c r="L111"/>
      <c r="M111" t="s">
        <v>241</v>
      </c>
      <c r="N111"/>
      <c r="O111"/>
      <c r="Y111" t="str">
        <f t="shared" si="147"/>
        <v>700kb WTI +/- 5% s.o. CIF Kalundborg Feb-08 - Feb-12; Feb Dated +2.40</v>
      </c>
      <c r="AA111"/>
      <c r="AB111" s="485"/>
      <c r="AC111"/>
      <c r="AD111"/>
      <c r="AE111" s="485"/>
      <c r="AF111"/>
      <c r="AG111" s="485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BB111" s="2">
        <v>1350</v>
      </c>
      <c r="BC111" s="2">
        <v>60</v>
      </c>
    </row>
    <row r="112" spans="4:55" x14ac:dyDescent="0.35">
      <c r="D112"/>
      <c r="F112" s="509">
        <v>1</v>
      </c>
      <c r="G112"/>
      <c r="H112"/>
      <c r="I112"/>
      <c r="J112"/>
      <c r="K112"/>
      <c r="L112"/>
      <c r="M112" t="s">
        <v>242</v>
      </c>
      <c r="N112"/>
      <c r="O112"/>
      <c r="Y112" t="str">
        <f t="shared" si="147"/>
        <v>720kb WTI +/- 5% s.o. CIF Rotterdam Feb-04 - Feb-08; Feb Dated +2.20</v>
      </c>
      <c r="AA112"/>
      <c r="AB112" s="485"/>
      <c r="AC112"/>
      <c r="AD112"/>
      <c r="AE112" s="485"/>
      <c r="AF112"/>
      <c r="AG112" s="485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BB112" s="2">
        <v>700</v>
      </c>
      <c r="BC112" s="2">
        <v>20</v>
      </c>
    </row>
    <row r="113" spans="4:55" x14ac:dyDescent="0.35">
      <c r="D113"/>
      <c r="F113" s="509">
        <v>3</v>
      </c>
      <c r="G113"/>
      <c r="H113"/>
      <c r="I113"/>
      <c r="J113"/>
      <c r="K113"/>
      <c r="L113"/>
      <c r="M113"/>
      <c r="N113"/>
      <c r="O113"/>
      <c r="Y113" s="7" t="s">
        <v>243</v>
      </c>
      <c r="AA113"/>
      <c r="AB113" s="485"/>
      <c r="AC113"/>
      <c r="AD113"/>
      <c r="AE113" s="485"/>
      <c r="AF113"/>
      <c r="AG113" s="485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</row>
    <row r="114" spans="4:55" x14ac:dyDescent="0.35">
      <c r="D114"/>
      <c r="F114" s="509">
        <v>3</v>
      </c>
      <c r="G114"/>
      <c r="H114"/>
      <c r="I114"/>
      <c r="J114"/>
      <c r="K114"/>
      <c r="L114"/>
      <c r="M114"/>
      <c r="N114"/>
      <c r="O114"/>
      <c r="Y114" t="str">
        <f>"2000"&amp;"kb WTI +/- 5% s.o. CIF"&amp;" "&amp;Z60&amp;" "&amp;TEXT(BA60,"mmm-dd")&amp;" - "&amp;TEXT(BA60+4,"mmm-dd")&amp;"; "&amp;TEXT(BD60,"mmm")&amp;" "&amp;BC60&amp;" "&amp;TEXT(ROUND(AW60,1),("+0.00;-0.00;0"))</f>
        <v>2000kb WTI +/- 5% s.o. CIF Rotterdam Feb-13 - Feb-17; Feb Dated +3.80</v>
      </c>
      <c r="AA114"/>
      <c r="AB114" s="485"/>
      <c r="AC114"/>
      <c r="AD114"/>
      <c r="AE114" s="485"/>
      <c r="AF114"/>
      <c r="AG114" s="485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BC114" s="2">
        <f>SUMPRODUCT(BB111:BB112,BC111:BC112/SUM(BB111:BB112))</f>
        <v>46.341463414634148</v>
      </c>
    </row>
    <row r="115" spans="4:55" x14ac:dyDescent="0.35">
      <c r="D115"/>
      <c r="F115" s="509">
        <v>1</v>
      </c>
      <c r="G115"/>
      <c r="H115"/>
      <c r="I115"/>
      <c r="J115"/>
      <c r="K115"/>
      <c r="L115"/>
      <c r="M115"/>
      <c r="N115"/>
      <c r="O115"/>
      <c r="Y115" t="str">
        <f>"2000"&amp;"kb WTI +/- 5% s.o. CIF"&amp;" "&amp;Z61&amp;" "&amp;TEXT(BA61,"mmm-dd")&amp;" - "&amp;TEXT(BA61+4,"mmm-dd")&amp;"; "&amp;TEXT(BD61,"mmm")&amp;" "&amp;BC61&amp;" "&amp;TEXT(ROUND(AW61,1),("+0.00;-0.00;0"))</f>
        <v>2000kb WTI +/- 5% s.o. CIF Rotterdam Feb-07 - Feb-11; Feb Dated +1.50</v>
      </c>
      <c r="AA115"/>
      <c r="AB115" s="485"/>
      <c r="AC115"/>
      <c r="AD115"/>
      <c r="AE115" s="485"/>
      <c r="AF115"/>
      <c r="AG115" s="48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</row>
    <row r="116" spans="4:55" x14ac:dyDescent="0.35">
      <c r="D116"/>
      <c r="F116" s="509">
        <v>3</v>
      </c>
      <c r="G116"/>
      <c r="H116"/>
      <c r="I116"/>
      <c r="J116"/>
      <c r="K116"/>
      <c r="L116"/>
      <c r="M116"/>
      <c r="N116"/>
      <c r="O116"/>
      <c r="Y116" t="str">
        <f>AB63/1000&amp;"kb WTI +/- 5% s.o. CFR"&amp;" "&amp;Z63&amp;" "&amp;TEXT(BA63,"mmm-dd")&amp;" - "&amp;TEXT(BA63+4,"mmm-dd")&amp;"; "&amp;TEXT(BD63,"mmm")&amp;" "&amp;BC63&amp;" "&amp;TEXT(ROUND(AW63,1),("+0.00;-0.00;0"))</f>
        <v>2075kb WTI +/- 5% s.o. CFR Lagos Feb-10 - Feb-14; Feb Dated +3.80</v>
      </c>
      <c r="AA116"/>
      <c r="AB116" s="485"/>
      <c r="AC116"/>
      <c r="AD116"/>
      <c r="AE116" s="485"/>
      <c r="AF116"/>
      <c r="AG116" s="485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</row>
    <row r="117" spans="4:55" x14ac:dyDescent="0.35">
      <c r="D117"/>
      <c r="F117" s="509">
        <v>1</v>
      </c>
      <c r="G117"/>
      <c r="H117"/>
      <c r="I117"/>
      <c r="J117"/>
      <c r="K117"/>
      <c r="L117"/>
      <c r="M117"/>
      <c r="N117"/>
      <c r="O117"/>
      <c r="Y117" t="str">
        <f>AB64/1000&amp;"kb WTI +/- 5% s.o. CFR"&amp;" "&amp;Z64&amp;" "&amp;TEXT(BA64,"mmm-dd")&amp;" - "&amp;TEXT(BA64+4,"mmm-dd")&amp;"; "&amp;TEXT(BD64,"mmm")&amp;" "&amp;BC64&amp;" "&amp;TEXT(ROUND(AW64,1),("+0.00;-0.00;0"))</f>
        <v>2075kb WTI +/- 5% s.o. CFR Lagos Feb-04 - Feb-08; Feb Dated +1.40</v>
      </c>
      <c r="AA117"/>
      <c r="AB117" s="485"/>
      <c r="AC117"/>
      <c r="AD117"/>
      <c r="AE117" s="485"/>
      <c r="AF117"/>
      <c r="AG117" s="485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</row>
    <row r="118" spans="4:55" x14ac:dyDescent="0.35">
      <c r="D118"/>
      <c r="F118" s="509">
        <v>1</v>
      </c>
      <c r="G118"/>
      <c r="H118"/>
      <c r="I118"/>
      <c r="J118"/>
      <c r="K118"/>
      <c r="L118"/>
      <c r="M118"/>
      <c r="N118"/>
      <c r="O118"/>
      <c r="AA118"/>
      <c r="AB118" s="485"/>
      <c r="AC118"/>
      <c r="AD118"/>
      <c r="AE118" s="485"/>
      <c r="AF118"/>
      <c r="AG118" s="485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</row>
    <row r="119" spans="4:55" x14ac:dyDescent="0.35">
      <c r="D119"/>
      <c r="G119"/>
      <c r="H119"/>
      <c r="I119"/>
      <c r="J119"/>
      <c r="K119"/>
      <c r="L119"/>
      <c r="M119" t="s">
        <v>242</v>
      </c>
      <c r="N119"/>
      <c r="O119"/>
      <c r="AA119"/>
      <c r="AB119" s="485"/>
      <c r="AC119"/>
      <c r="AD119"/>
      <c r="AE119" s="485"/>
      <c r="AF119"/>
      <c r="AG119" s="485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</row>
    <row r="124" spans="4:55" x14ac:dyDescent="0.35">
      <c r="D124"/>
      <c r="G124"/>
      <c r="H124"/>
      <c r="I124"/>
      <c r="J124"/>
      <c r="K124"/>
      <c r="L124"/>
      <c r="M124"/>
      <c r="N124"/>
      <c r="O124"/>
      <c r="AA124"/>
      <c r="AB124" s="485"/>
      <c r="AC124"/>
      <c r="AD124"/>
      <c r="AE124" s="485"/>
      <c r="AF124"/>
      <c r="AG124" s="485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</row>
    <row r="125" spans="4:55" x14ac:dyDescent="0.35">
      <c r="D125"/>
      <c r="E125"/>
      <c r="F125" s="509"/>
      <c r="G125"/>
      <c r="H125"/>
      <c r="I125"/>
      <c r="J125"/>
      <c r="K125"/>
      <c r="L125"/>
      <c r="M125"/>
      <c r="N125"/>
      <c r="O125"/>
      <c r="AA125"/>
      <c r="AB125" s="485"/>
      <c r="AC125"/>
      <c r="AD125"/>
      <c r="AE125" s="485"/>
      <c r="AF125"/>
      <c r="AG125" s="48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</row>
    <row r="126" spans="4:55" x14ac:dyDescent="0.35">
      <c r="D126"/>
      <c r="E126"/>
      <c r="F126" s="509"/>
      <c r="G126"/>
      <c r="H126"/>
      <c r="I126"/>
      <c r="J126"/>
      <c r="K126"/>
      <c r="L126"/>
      <c r="M126"/>
      <c r="N126"/>
      <c r="O126"/>
      <c r="AA126"/>
      <c r="AB126" s="485"/>
      <c r="AC126"/>
      <c r="AD126"/>
      <c r="AE126" s="485"/>
      <c r="AF126"/>
      <c r="AG126" s="485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</row>
    <row r="127" spans="4:55" x14ac:dyDescent="0.35">
      <c r="D127"/>
      <c r="E127"/>
      <c r="F127">
        <f>SUM(F110:F126)</f>
        <v>19</v>
      </c>
      <c r="G127"/>
      <c r="H127"/>
      <c r="I127"/>
      <c r="J127"/>
      <c r="K127"/>
      <c r="L127"/>
      <c r="M127"/>
      <c r="AG127" s="124" t="s">
        <v>342</v>
      </c>
      <c r="AH127" s="2">
        <v>1.75</v>
      </c>
    </row>
    <row r="128" spans="4:55" x14ac:dyDescent="0.35">
      <c r="D128" s="2"/>
      <c r="E128" s="2"/>
      <c r="F128"/>
      <c r="G128"/>
      <c r="H128"/>
      <c r="I128"/>
      <c r="J128"/>
      <c r="K128" s="2"/>
      <c r="L128"/>
      <c r="M128"/>
      <c r="AG128" s="124" t="s">
        <v>151</v>
      </c>
      <c r="AH128" s="2">
        <v>0.5</v>
      </c>
    </row>
    <row r="129" spans="4:34" x14ac:dyDescent="0.35">
      <c r="D129" s="2"/>
      <c r="E129" s="2"/>
      <c r="F129"/>
      <c r="G129"/>
      <c r="H129"/>
      <c r="I129"/>
      <c r="J129"/>
      <c r="K129" s="2"/>
      <c r="L129"/>
      <c r="M129"/>
      <c r="Z129" t="s">
        <v>343</v>
      </c>
      <c r="AA129" s="2">
        <v>0.4</v>
      </c>
      <c r="AG129" s="124" t="s">
        <v>248</v>
      </c>
      <c r="AH129" s="2">
        <v>1</v>
      </c>
    </row>
    <row r="130" spans="4:34" x14ac:dyDescent="0.35">
      <c r="Z130" t="s">
        <v>203</v>
      </c>
      <c r="AA130" s="2">
        <v>4.7</v>
      </c>
    </row>
    <row r="131" spans="4:34" x14ac:dyDescent="0.35">
      <c r="Z131" t="s">
        <v>231</v>
      </c>
      <c r="AA131" s="2">
        <v>1.44</v>
      </c>
      <c r="AG131" s="124" t="s">
        <v>231</v>
      </c>
      <c r="AH131" s="2">
        <v>2.71</v>
      </c>
    </row>
    <row r="132" spans="4:34" x14ac:dyDescent="0.35">
      <c r="Z132" t="s">
        <v>344</v>
      </c>
      <c r="AA132" s="2">
        <v>0.2</v>
      </c>
    </row>
    <row r="133" spans="4:34" x14ac:dyDescent="0.35">
      <c r="AH133" s="2">
        <f>AH127+AH128+AH129+AH131</f>
        <v>5.96</v>
      </c>
    </row>
    <row r="137" spans="4:34" x14ac:dyDescent="0.35">
      <c r="AF137" s="2" t="s">
        <v>203</v>
      </c>
      <c r="AH137" s="2">
        <v>1.85</v>
      </c>
    </row>
    <row r="138" spans="4:34" x14ac:dyDescent="0.35">
      <c r="AF138" s="2" t="s">
        <v>345</v>
      </c>
    </row>
    <row r="139" spans="4:34" x14ac:dyDescent="0.35">
      <c r="AF139" s="2" t="s">
        <v>200</v>
      </c>
    </row>
    <row r="143" spans="4:34" x14ac:dyDescent="0.35">
      <c r="AB143" s="2">
        <v>145</v>
      </c>
      <c r="AD143" s="124">
        <v>86.7</v>
      </c>
      <c r="AE143" s="21">
        <v>700</v>
      </c>
    </row>
    <row r="145" spans="26:30" x14ac:dyDescent="0.35">
      <c r="Z145" t="s">
        <v>346</v>
      </c>
      <c r="AA145">
        <v>0.34</v>
      </c>
      <c r="AB145">
        <v>7.43</v>
      </c>
      <c r="AD145" s="3">
        <f>AB145*$AB$143*$AD$143/$AE$143/100</f>
        <v>1.3343749285714284</v>
      </c>
    </row>
    <row r="146" spans="26:30" x14ac:dyDescent="0.35">
      <c r="Z146" t="s">
        <v>347</v>
      </c>
      <c r="AA146">
        <v>0.31</v>
      </c>
      <c r="AB146">
        <v>5.56</v>
      </c>
      <c r="AD146" s="3">
        <f t="shared" ref="AD146:AD149" si="148">AB146*$AB$143*$AD$143/$AE$143/100</f>
        <v>0.99853628571428554</v>
      </c>
    </row>
    <row r="147" spans="26:30" x14ac:dyDescent="0.35">
      <c r="Z147" t="s">
        <v>348</v>
      </c>
      <c r="AA147">
        <v>0.19</v>
      </c>
      <c r="AB147">
        <v>6.31</v>
      </c>
      <c r="AD147" s="3">
        <f t="shared" si="148"/>
        <v>1.1332309285714286</v>
      </c>
    </row>
    <row r="148" spans="26:30" x14ac:dyDescent="0.35">
      <c r="Z148" t="s">
        <v>349</v>
      </c>
      <c r="AA148">
        <v>0.1</v>
      </c>
      <c r="AB148">
        <v>6.26</v>
      </c>
      <c r="AD148" s="3">
        <f t="shared" si="148"/>
        <v>1.1242512857142857</v>
      </c>
    </row>
    <row r="149" spans="26:30" x14ac:dyDescent="0.35">
      <c r="Z149" t="s">
        <v>350</v>
      </c>
      <c r="AA149">
        <v>0.06</v>
      </c>
      <c r="AB149">
        <v>10.51</v>
      </c>
      <c r="AD149" s="3">
        <f t="shared" si="148"/>
        <v>1.8875209285714285</v>
      </c>
    </row>
    <row r="151" spans="26:30" x14ac:dyDescent="0.35">
      <c r="AB151" s="3">
        <f>SUMPRODUCT(AB145:AB149,AA145:AA149/SUM(AA145:AA149))</f>
        <v>6.7053000000000011</v>
      </c>
      <c r="AD151" s="3">
        <f>SUMPRODUCT(AD145:AD149,AA145:AA149/SUM(AA145:AA149))</f>
        <v>1.2042239850000001</v>
      </c>
    </row>
  </sheetData>
  <dataConsolidate/>
  <mergeCells count="19">
    <mergeCell ref="A7:B7"/>
    <mergeCell ref="Y7:AW7"/>
    <mergeCell ref="Y32:AW32"/>
    <mergeCell ref="D2:BE2"/>
    <mergeCell ref="D3:E3"/>
    <mergeCell ref="D4:E4"/>
    <mergeCell ref="D5:E5"/>
    <mergeCell ref="BA8:BB8"/>
    <mergeCell ref="Y22:AW22"/>
    <mergeCell ref="A23:B23"/>
    <mergeCell ref="BA23:BB23"/>
    <mergeCell ref="Y26:AW26"/>
    <mergeCell ref="Y72:AW72"/>
    <mergeCell ref="Y39:AW39"/>
    <mergeCell ref="Y48:AW48"/>
    <mergeCell ref="A49:B49"/>
    <mergeCell ref="Y65:AW65"/>
    <mergeCell ref="A66:B66"/>
    <mergeCell ref="AU69:AV69"/>
  </mergeCells>
  <conditionalFormatting sqref="A8:B21">
    <cfRule type="expression" dxfId="41" priority="12">
      <formula>LEN(A8)=0</formula>
    </cfRule>
  </conditionalFormatting>
  <conditionalFormatting sqref="A24:B47 BA24:BE47 C26:R26 AZ26">
    <cfRule type="expression" dxfId="40" priority="3">
      <formula>LEN(A24)=0</formula>
    </cfRule>
  </conditionalFormatting>
  <conditionalFormatting sqref="A65:B65 A67:B67">
    <cfRule type="expression" dxfId="39" priority="14">
      <formula>LEN(A65)=0</formula>
    </cfRule>
  </conditionalFormatting>
  <conditionalFormatting sqref="A70:B73">
    <cfRule type="expression" dxfId="38" priority="1">
      <formula>LEN(A70)=0</formula>
    </cfRule>
  </conditionalFormatting>
  <conditionalFormatting sqref="A85:B85">
    <cfRule type="expression" dxfId="37" priority="6">
      <formula>LEN(A85)=0</formula>
    </cfRule>
  </conditionalFormatting>
  <conditionalFormatting sqref="AF9:AF21 AF75:AF83">
    <cfRule type="cellIs" dxfId="36" priority="13" operator="greaterThan">
      <formula>2</formula>
    </cfRule>
  </conditionalFormatting>
  <conditionalFormatting sqref="AF24:AF25 AF27:AF31 AF33:AF38 AF40:AF47">
    <cfRule type="cellIs" dxfId="35" priority="4" operator="greaterThan">
      <formula>2</formula>
    </cfRule>
  </conditionalFormatting>
  <conditionalFormatting sqref="AF50:AF64">
    <cfRule type="cellIs" dxfId="34" priority="2" operator="greaterThan">
      <formula>2</formula>
    </cfRule>
  </conditionalFormatting>
  <conditionalFormatting sqref="AF67">
    <cfRule type="cellIs" dxfId="33" priority="10" operator="greaterThan">
      <formula>2</formula>
    </cfRule>
  </conditionalFormatting>
  <conditionalFormatting sqref="AF70:AF71">
    <cfRule type="cellIs" dxfId="32" priority="8" operator="greaterThan">
      <formula>2</formula>
    </cfRule>
  </conditionalFormatting>
  <conditionalFormatting sqref="AF73">
    <cfRule type="cellIs" dxfId="31" priority="9" operator="greaterThan">
      <formula>2</formula>
    </cfRule>
  </conditionalFormatting>
  <conditionalFormatting sqref="AF85">
    <cfRule type="cellIs" dxfId="30" priority="7" operator="greaterThan">
      <formula>2</formula>
    </cfRule>
  </conditionalFormatting>
  <conditionalFormatting sqref="BA9:BE21">
    <cfRule type="expression" dxfId="29" priority="11">
      <formula>LEN(BA9)=0</formula>
    </cfRule>
  </conditionalFormatting>
  <conditionalFormatting sqref="BC85:BE85">
    <cfRule type="expression" dxfId="28" priority="5">
      <formula>LEN(BC85)=0</formula>
    </cfRule>
  </conditionalFormatting>
  <dataValidations count="3">
    <dataValidation type="list" allowBlank="1" showInputMessage="1" showErrorMessage="1" sqref="AZ3 AZ7 AZ48" xr:uid="{07A64638-CE8D-4FBD-9C66-2D92C8F5BF58}">
      <formula1>$AT$4:$AV$4</formula1>
    </dataValidation>
    <dataValidation type="list" allowBlank="1" showInputMessage="1" showErrorMessage="1" sqref="U9:U21 U24:U47" xr:uid="{1E7FC698-E54A-4335-998A-A362679ECCF0}">
      <formula1>Overages</formula1>
    </dataValidation>
    <dataValidation type="list" allowBlank="1" showInputMessage="1" showErrorMessage="1" sqref="Z9:Z21 Z40:Z47 V9:V21 Z70:Z71 V24:V47 Z85 Z67 Z24:Z25 Z27:Z31 Z33:Z38 Z73 Z50:Z64 Z75:Z83" xr:uid="{242DD4BD-CB31-4EAF-BB4B-28F91DAFBAA2}">
      <formula1>Port_List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C5AD00-F693-4CDC-8A5B-BD1B34D525BA}">
          <x14:formula1>
            <xm:f>Control!$AC$3:$AI$3</xm:f>
          </x14:formula1>
          <xm:sqref>Y70:Y71 Y85 Y40:Y47 Y67 Y24:Y25 Y27:Y31 Y33:Y38 Y73 Y50:Y64 Y75:Y83</xm:sqref>
        </x14:dataValidation>
        <x14:dataValidation type="list" allowBlank="1" showInputMessage="1" showErrorMessage="1" xr:uid="{C989FD48-BC50-45E0-823B-406299FB918F}">
          <x14:formula1>
            <xm:f>Control!$E$6:$E$9</xm:f>
          </x14:formula1>
          <xm:sqref>Y9:Y21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tabColor rgb="FFFF9900"/>
    <outlinePr summaryRight="0"/>
  </sheetPr>
  <dimension ref="A1:BO65"/>
  <sheetViews>
    <sheetView showGridLines="0" topLeftCell="A2" zoomScale="80" zoomScaleNormal="80" workbookViewId="0">
      <pane xSplit="1" ySplit="4" topLeftCell="B6" activePane="bottomRight" state="frozen"/>
      <selection pane="topRight" activeCell="B2" sqref="B2"/>
      <selection pane="bottomLeft" activeCell="A6" sqref="A6"/>
      <selection pane="bottomRight" activeCell="B2" sqref="B2"/>
    </sheetView>
  </sheetViews>
  <sheetFormatPr defaultColWidth="8.81640625" defaultRowHeight="15.5" outlineLevelCol="1" x14ac:dyDescent="0.35"/>
  <cols>
    <col min="1" max="1" width="2.54296875" style="2" customWidth="1"/>
    <col min="2" max="2" width="8.453125" style="2" bestFit="1" customWidth="1"/>
    <col min="3" max="3" width="7.54296875" style="2" bestFit="1" customWidth="1"/>
    <col min="4" max="4" width="1.1796875" customWidth="1"/>
    <col min="5" max="5" width="12.54296875" style="2" customWidth="1"/>
    <col min="6" max="6" width="5.54296875" style="2" customWidth="1" outlineLevel="1"/>
    <col min="7" max="8" width="9.453125" style="2" customWidth="1" outlineLevel="1"/>
    <col min="9" max="9" width="18" style="2" customWidth="1" outlineLevel="1"/>
    <col min="10" max="10" width="14" style="124" customWidth="1" outlineLevel="1"/>
    <col min="11" max="11" width="15.81640625" style="2" customWidth="1" outlineLevel="1"/>
    <col min="12" max="12" width="14.54296875" style="2" customWidth="1" outlineLevel="1"/>
    <col min="13" max="13" width="11.453125" style="133" customWidth="1"/>
    <col min="14" max="14" width="12.54296875" style="2" bestFit="1" customWidth="1"/>
    <col min="15" max="15" width="10.453125" style="2" bestFit="1" customWidth="1"/>
    <col min="16" max="16" width="12.54296875" style="2" customWidth="1"/>
    <col min="17" max="17" width="12.54296875" customWidth="1"/>
    <col min="18" max="18" width="2.54296875" customWidth="1" collapsed="1"/>
    <col min="19" max="19" width="6.54296875" hidden="1" customWidth="1" outlineLevel="1"/>
    <col min="20" max="20" width="9.453125" hidden="1" customWidth="1" outlineLevel="1"/>
    <col min="21" max="21" width="17.453125" hidden="1" customWidth="1" outlineLevel="1"/>
    <col min="22" max="23" width="7.54296875" hidden="1" customWidth="1" outlineLevel="1"/>
    <col min="24" max="24" width="18" style="2" hidden="1" customWidth="1" outlineLevel="1"/>
    <col min="25" max="25" width="12.54296875" hidden="1" customWidth="1" outlineLevel="1"/>
    <col min="26" max="26" width="11.453125" customWidth="1"/>
    <col min="27" max="27" width="18.54296875" customWidth="1"/>
    <col min="28" max="28" width="24.1796875" style="2" customWidth="1"/>
    <col min="29" max="29" width="13.453125" style="2" bestFit="1" customWidth="1"/>
    <col min="30" max="30" width="17.453125" style="124" bestFit="1" customWidth="1"/>
    <col min="31" max="31" width="17.453125" style="124" customWidth="1"/>
    <col min="32" max="32" width="15.453125" style="21" customWidth="1"/>
    <col min="33" max="33" width="12.54296875" style="2" customWidth="1"/>
    <col min="34" max="34" width="12.54296875" style="124" bestFit="1" customWidth="1"/>
    <col min="35" max="35" width="11.453125" style="2" customWidth="1"/>
    <col min="36" max="36" width="7.54296875" style="2" customWidth="1"/>
    <col min="37" max="37" width="7.54296875" style="2" bestFit="1" customWidth="1" collapsed="1"/>
    <col min="38" max="38" width="10.453125" style="2" hidden="1" customWidth="1" outlineLevel="1"/>
    <col min="39" max="39" width="16" style="2" hidden="1" customWidth="1" outlineLevel="1"/>
    <col min="40" max="40" width="11" style="2" hidden="1" customWidth="1" outlineLevel="1"/>
    <col min="41" max="41" width="11.54296875" style="2" hidden="1" customWidth="1" outlineLevel="1"/>
    <col min="42" max="42" width="17" style="2" hidden="1" customWidth="1" outlineLevel="1"/>
    <col min="43" max="43" width="9.54296875" style="2" hidden="1" customWidth="1" outlineLevel="1"/>
    <col min="44" max="44" width="11.54296875" style="2" hidden="1" customWidth="1" outlineLevel="1"/>
    <col min="45" max="45" width="12.54296875" style="2" hidden="1" customWidth="1" outlineLevel="1"/>
    <col min="46" max="46" width="11" style="21" customWidth="1"/>
    <col min="47" max="47" width="8.453125" style="21" customWidth="1"/>
    <col min="48" max="48" width="10.453125" style="21" customWidth="1"/>
    <col min="49" max="49" width="8.81640625" style="6" customWidth="1"/>
    <col min="50" max="50" width="1.1796875" style="2" customWidth="1"/>
    <col min="51" max="51" width="8.81640625" style="43" customWidth="1"/>
    <col min="52" max="52" width="1.1796875" style="2" customWidth="1"/>
    <col min="53" max="53" width="9" style="2" bestFit="1" customWidth="1"/>
    <col min="54" max="54" width="7.54296875" style="2" bestFit="1" customWidth="1"/>
    <col min="55" max="55" width="9.54296875" bestFit="1" customWidth="1"/>
    <col min="56" max="56" width="28.54296875" style="2" bestFit="1" customWidth="1"/>
    <col min="57" max="58" width="14.54296875" style="2" bestFit="1" customWidth="1"/>
    <col min="59" max="59" width="11.453125" style="2" bestFit="1" customWidth="1"/>
    <col min="60" max="60" width="8.81640625" style="2"/>
    <col min="61" max="61" width="12.54296875" style="2" bestFit="1" customWidth="1"/>
    <col min="62" max="62" width="10.453125" style="2" bestFit="1" customWidth="1"/>
    <col min="63" max="63" width="8.81640625" style="2"/>
    <col min="64" max="64" width="13.453125" style="2" bestFit="1" customWidth="1"/>
    <col min="65" max="65" width="10.453125" style="2" bestFit="1" customWidth="1"/>
    <col min="66" max="16384" width="8.81640625" style="2"/>
  </cols>
  <sheetData>
    <row r="1" spans="1:67" ht="15.65" hidden="1" customHeight="1" x14ac:dyDescent="0.35">
      <c r="Q1" s="20"/>
      <c r="R1" s="2"/>
      <c r="S1" s="2"/>
      <c r="T1" s="2"/>
      <c r="U1" s="2"/>
      <c r="V1" s="2"/>
      <c r="W1" s="2"/>
      <c r="X1" s="2" t="e">
        <f>INDEX(Vessel_Minimum_MT,MATCH(Z1,Control!$E$11:$E$15,0),MATCH(U1,Control!$E$11:$J$11,0))</f>
        <v>#N/A</v>
      </c>
      <c r="Y1" s="2"/>
      <c r="Z1" s="2"/>
      <c r="AA1" s="2"/>
      <c r="AI1" s="2" t="e">
        <f>AG1*VLOOKUP($Z1,$BH$7:$BJ$11,3,FALSE)/$AC1</f>
        <v>#N/A</v>
      </c>
    </row>
    <row r="2" spans="1:67" ht="28.5" x14ac:dyDescent="0.65">
      <c r="B2" s="363"/>
      <c r="C2" s="364"/>
      <c r="E2" s="1067" t="s">
        <v>351</v>
      </c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  <c r="AM2" s="1067"/>
      <c r="AN2" s="1067"/>
      <c r="AO2" s="1067"/>
      <c r="AP2" s="1067"/>
      <c r="AQ2" s="1067"/>
      <c r="AR2" s="1067"/>
      <c r="AS2" s="1067"/>
      <c r="AT2" s="1067"/>
      <c r="AU2" s="1067"/>
      <c r="AV2" s="1067"/>
      <c r="AW2" s="1067"/>
      <c r="AY2"/>
      <c r="BA2" s="195"/>
      <c r="BB2" s="201"/>
      <c r="BC2" s="114"/>
      <c r="BD2" s="51"/>
    </row>
    <row r="3" spans="1:67" ht="15.65" customHeight="1" x14ac:dyDescent="0.35">
      <c r="B3" s="388"/>
      <c r="C3" s="364"/>
      <c r="E3" s="203" t="s">
        <v>154</v>
      </c>
      <c r="F3" s="204"/>
      <c r="G3" s="204"/>
      <c r="H3" s="205"/>
      <c r="I3" s="206"/>
      <c r="J3" s="207"/>
      <c r="K3" s="206"/>
      <c r="L3" s="206"/>
      <c r="M3" s="208">
        <v>-4.5</v>
      </c>
      <c r="N3" s="11"/>
      <c r="O3" s="193"/>
      <c r="R3" s="37"/>
      <c r="S3" s="37"/>
      <c r="T3" s="126"/>
      <c r="U3" s="38"/>
      <c r="V3" s="126"/>
      <c r="W3" s="126"/>
      <c r="X3" s="126"/>
      <c r="Y3" s="37"/>
      <c r="Z3" s="193"/>
      <c r="AA3" s="109"/>
      <c r="AB3" s="36"/>
      <c r="AC3" s="22"/>
      <c r="AD3" s="193" t="s">
        <v>352</v>
      </c>
      <c r="AE3" s="36">
        <f>$M$3+VLOOKUP("Aframax",$M$7:$Q$13,5,FALSE)+$BI$16+AV3</f>
        <v>-3.5821000000000005</v>
      </c>
      <c r="AF3" s="193" t="s">
        <v>353</v>
      </c>
      <c r="AG3" s="36">
        <f>$M$3+VLOOKUP("Aframax",$M$21:$Q$30,5,FALSE)</f>
        <v>-4.2008000000000001</v>
      </c>
      <c r="AH3" s="24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46" t="s">
        <v>164</v>
      </c>
      <c r="AV3" s="46">
        <v>0.05</v>
      </c>
      <c r="AW3" s="46">
        <v>0.05</v>
      </c>
      <c r="AY3" s="194"/>
      <c r="BA3" s="198"/>
      <c r="BB3" s="114"/>
      <c r="BC3" s="114"/>
    </row>
    <row r="4" spans="1:67" ht="15" customHeight="1" thickBot="1" x14ac:dyDescent="0.4">
      <c r="B4" s="365"/>
      <c r="C4" s="365"/>
      <c r="E4" s="203" t="s">
        <v>229</v>
      </c>
      <c r="F4" s="204"/>
      <c r="G4" s="204"/>
      <c r="H4" s="205"/>
      <c r="I4" s="206"/>
      <c r="J4" s="207"/>
      <c r="K4" s="206"/>
      <c r="L4" s="206"/>
      <c r="M4" s="208">
        <v>-0.5</v>
      </c>
      <c r="Q4" s="20"/>
      <c r="R4" s="2"/>
      <c r="U4" s="2"/>
      <c r="V4" s="2"/>
      <c r="W4" s="2"/>
      <c r="Y4" s="2"/>
      <c r="Z4" s="2"/>
      <c r="AA4" s="2">
        <v>11.59</v>
      </c>
      <c r="AB4" s="52" t="s">
        <v>287</v>
      </c>
      <c r="AC4" s="52"/>
      <c r="AD4" s="1043" t="s">
        <v>288</v>
      </c>
      <c r="AE4" s="1043"/>
      <c r="AF4" s="1043"/>
      <c r="AG4" s="192"/>
      <c r="AH4" s="3">
        <f>IF(INDEX(Index,MATCH(AA7,TVM_PortList,0),MATCH("Type",Control!$Q$3:$U$3,0))="BL",INDEX(Index,MATCH(AA7,TVM_PortList,0),MATCH("Payment",Control!$Q$3:$U$3,0))-INDEX(Index,MATCH(U7,TVM_PortList,0),MATCH("Payment",Control!$Q$3:$U$3,0)),AY7+INDEX(Index,MATCH(AA7,TVM_PortList,0),MATCH("Payment",Control!$Q$3:$U$3,0))-INDEX(Index,MATCH(U7,TVM_PortList,0),MATCH("Payment",Control!$Q$3:$U$3,0)))</f>
        <v>15</v>
      </c>
      <c r="AT4" s="3"/>
      <c r="AY4" s="85"/>
      <c r="BA4" s="198"/>
      <c r="BB4" s="3"/>
    </row>
    <row r="5" spans="1:67" ht="19" thickBot="1" x14ac:dyDescent="0.5">
      <c r="B5"/>
      <c r="C5"/>
      <c r="E5" s="1064" t="s">
        <v>354</v>
      </c>
      <c r="F5" s="1065"/>
      <c r="G5" s="1065"/>
      <c r="H5" s="1065"/>
      <c r="I5" s="1065"/>
      <c r="J5" s="1065"/>
      <c r="K5" s="1065"/>
      <c r="L5" s="1065"/>
      <c r="M5" s="1065"/>
      <c r="N5" s="1065"/>
      <c r="O5" s="1065"/>
      <c r="P5" s="1065"/>
      <c r="Q5" s="1065"/>
      <c r="R5" s="2"/>
      <c r="S5" s="9"/>
      <c r="T5" s="9"/>
      <c r="U5" s="9"/>
      <c r="V5" s="9"/>
      <c r="W5" s="9"/>
      <c r="X5" s="9"/>
      <c r="Y5" s="9"/>
      <c r="Z5" s="1064" t="s">
        <v>290</v>
      </c>
      <c r="AA5" s="1065"/>
      <c r="AB5" s="1065"/>
      <c r="AC5" s="1065"/>
      <c r="AD5" s="1065"/>
      <c r="AE5" s="1065"/>
      <c r="AF5" s="1065"/>
      <c r="AG5" s="1065"/>
      <c r="AH5" s="1065"/>
      <c r="AI5" s="1065"/>
      <c r="AJ5" s="1065"/>
      <c r="AK5" s="1065"/>
      <c r="AL5" s="1065"/>
      <c r="AM5" s="1065"/>
      <c r="AN5" s="1065"/>
      <c r="AO5" s="1065"/>
      <c r="AP5" s="1065"/>
      <c r="AQ5" s="1065"/>
      <c r="AR5" s="1065"/>
      <c r="AS5" s="1065"/>
      <c r="AT5" s="1065"/>
      <c r="AU5" s="1065"/>
      <c r="AV5" s="1065"/>
      <c r="AW5" s="1066"/>
      <c r="AY5" s="112"/>
      <c r="BA5" s="78"/>
      <c r="BB5" s="76"/>
      <c r="BD5"/>
    </row>
    <row r="6" spans="1:67" ht="29.5" customHeight="1" thickBot="1" x14ac:dyDescent="0.4">
      <c r="B6" s="1005" t="s">
        <v>167</v>
      </c>
      <c r="C6" s="1005"/>
      <c r="E6" s="120" t="s">
        <v>276</v>
      </c>
      <c r="F6" s="152" t="s">
        <v>172</v>
      </c>
      <c r="G6" s="152" t="s">
        <v>2</v>
      </c>
      <c r="H6" s="152" t="s">
        <v>173</v>
      </c>
      <c r="I6" s="152" t="s">
        <v>174</v>
      </c>
      <c r="J6" s="125" t="s">
        <v>175</v>
      </c>
      <c r="K6" s="152" t="s">
        <v>177</v>
      </c>
      <c r="L6" s="152" t="s">
        <v>178</v>
      </c>
      <c r="M6" s="122" t="s">
        <v>176</v>
      </c>
      <c r="N6" s="120" t="s">
        <v>200</v>
      </c>
      <c r="O6" s="120" t="s">
        <v>277</v>
      </c>
      <c r="P6" s="121" t="s">
        <v>202</v>
      </c>
      <c r="Q6" s="123" t="s">
        <v>278</v>
      </c>
      <c r="R6" s="2"/>
      <c r="S6" s="120" t="s">
        <v>172</v>
      </c>
      <c r="T6" s="120" t="s">
        <v>2</v>
      </c>
      <c r="U6" s="120" t="s">
        <v>173</v>
      </c>
      <c r="V6" s="120" t="s">
        <v>167</v>
      </c>
      <c r="W6" s="120"/>
      <c r="X6" s="152" t="s">
        <v>174</v>
      </c>
      <c r="Y6" s="120" t="s">
        <v>175</v>
      </c>
      <c r="Z6" s="120" t="s">
        <v>176</v>
      </c>
      <c r="AA6" s="120" t="s">
        <v>177</v>
      </c>
      <c r="AB6" s="120" t="s">
        <v>178</v>
      </c>
      <c r="AC6" s="120" t="s">
        <v>179</v>
      </c>
      <c r="AD6" s="146" t="s">
        <v>180</v>
      </c>
      <c r="AE6" s="128" t="s">
        <v>181</v>
      </c>
      <c r="AF6" s="150" t="s">
        <v>182</v>
      </c>
      <c r="AG6" s="136" t="s">
        <v>183</v>
      </c>
      <c r="AH6" s="146" t="s">
        <v>279</v>
      </c>
      <c r="AI6" s="136" t="s">
        <v>184</v>
      </c>
      <c r="AJ6" s="136" t="s">
        <v>140</v>
      </c>
      <c r="AK6" s="136" t="s">
        <v>98</v>
      </c>
      <c r="AL6" s="136" t="s">
        <v>186</v>
      </c>
      <c r="AM6" s="136" t="s">
        <v>187</v>
      </c>
      <c r="AN6" s="136" t="s">
        <v>141</v>
      </c>
      <c r="AO6" s="136" t="s">
        <v>188</v>
      </c>
      <c r="AP6" s="136" t="s">
        <v>17</v>
      </c>
      <c r="AQ6" s="136" t="s">
        <v>207</v>
      </c>
      <c r="AR6" s="136" t="s">
        <v>189</v>
      </c>
      <c r="AS6" s="136" t="s">
        <v>152</v>
      </c>
      <c r="AT6" s="150" t="s">
        <v>190</v>
      </c>
      <c r="AU6" s="150" t="s">
        <v>191</v>
      </c>
      <c r="AV6" s="150" t="s">
        <v>192</v>
      </c>
      <c r="AW6" s="137" t="s">
        <v>194</v>
      </c>
      <c r="AY6" s="137" t="s">
        <v>195</v>
      </c>
      <c r="BA6" s="1011" t="s">
        <v>196</v>
      </c>
      <c r="BB6" s="1011"/>
      <c r="BD6" s="118" t="s">
        <v>135</v>
      </c>
      <c r="BL6" s="132"/>
      <c r="BM6" s="127"/>
      <c r="BN6" s="132"/>
      <c r="BO6" s="132"/>
    </row>
    <row r="7" spans="1:67" ht="16" thickBot="1" x14ac:dyDescent="0.4">
      <c r="B7" s="83">
        <v>44654</v>
      </c>
      <c r="C7" s="84">
        <f>B7+2</f>
        <v>44656</v>
      </c>
      <c r="E7" s="16"/>
      <c r="F7" s="138">
        <f>INDEX('[2]Flat Rates 2023'!$A:$DB,MATCH(H7,'[2]Flat Rates 2023'!$A:$A,0),MATCH(K7,'[2]Flat Rates 2023'!$A$1:$DB$1,0))</f>
        <v>3.74</v>
      </c>
      <c r="G7" s="138">
        <f>INDEX(Control!$E$17:$J$21,MATCH(M7,Control!$E$17:$E$21,0),MATCH(H7,Control!$E$17:$J$17,0))</f>
        <v>0</v>
      </c>
      <c r="H7" s="138" t="s">
        <v>62</v>
      </c>
      <c r="I7" s="116">
        <f>INDEX(Vessel_Minimum_MT,MATCH(M7,Control!$E$11:$E$15,0),MATCH(H7,Control!$E$11:$J$11,0))</f>
        <v>70000</v>
      </c>
      <c r="J7" s="116">
        <f t="shared" ref="J7:J13" si="0">N7/$BF$15</f>
        <v>90096.96796338672</v>
      </c>
      <c r="K7" s="138" t="s">
        <v>55</v>
      </c>
      <c r="L7" s="138" t="str">
        <f t="shared" ref="L7:L13" si="1">IF(K7=H7,"",CONCATENATE(CONCATENATE(VLOOKUP(H7,Zones,2,FALSE),"/",VLOOKUP(K7,Zones,2,FALSE))))</f>
        <v>CARIBS/CARIBS</v>
      </c>
      <c r="M7" s="147" t="s">
        <v>23</v>
      </c>
      <c r="N7" s="15">
        <v>700000</v>
      </c>
      <c r="O7" s="17">
        <v>180</v>
      </c>
      <c r="P7" s="18">
        <v>85</v>
      </c>
      <c r="Q7" s="149">
        <f t="shared" ref="Q7:Q13" si="2">IF($H7="Esmeraldas",IF(O7&gt;1000,IF(P7=0,O7,P7)/N7*1.1,((I7*F7*(IF(P7=0,O7,P7)/100))+IF(J7&lt;I7,0,(J7-I7)*F7*IF(P7=0,O7,P7)/100*G7))/N7*1.1),IF(O7&gt;1000,IF(P7=0,O7,P7)/N7,((I7*F7*(IF(P7=0,O7,P7)/100))+IF(J7&lt;I7,0,(J7-I7)*F7*IF(P7=0,O7,P7)/100*G7)))/N7)</f>
        <v>0.31790000000000002</v>
      </c>
      <c r="R7" s="2"/>
      <c r="S7" s="165">
        <f>INDEX('[2]Flat Rates 2023'!$A:$DB,MATCH(U7,'[2]Flat Rates 2023'!$A:$A,0),MATCH(AA7,'[2]Flat Rates 2023'!$A$1:$DB$1,0))</f>
        <v>10.63</v>
      </c>
      <c r="T7" s="138">
        <f>INDEX(Control!$E$17:$J$21,MATCH(Z7,Control!$E$17:$E$21,0),MATCH(U7,Control!$E$17:$J$17,0))</f>
        <v>0.5</v>
      </c>
      <c r="U7" s="138" t="s">
        <v>63</v>
      </c>
      <c r="V7" s="139">
        <v>43430</v>
      </c>
      <c r="W7" s="139">
        <f t="shared" ref="W7:W13" si="3">+V7+4</f>
        <v>43434</v>
      </c>
      <c r="X7" s="116">
        <f>INDEX(Vessel_Minimum_MT,MATCH(Z7,Control!$E$11:$E$15,0),MATCH(U7,Control!$E$11:$J$11,0))</f>
        <v>50000</v>
      </c>
      <c r="Y7" s="140">
        <f t="shared" ref="Y7:Y13" si="4">AC7/$BF$15</f>
        <v>62424.327803203661</v>
      </c>
      <c r="Z7" s="147" t="s">
        <v>22</v>
      </c>
      <c r="AA7" s="164" t="s">
        <v>110</v>
      </c>
      <c r="AB7" s="142" t="str">
        <f t="shared" ref="AB7:AB13" si="5">IF(AA7=U7,"",CONCATENATE(CONCATENATE(VLOOKUP(U7,Zones,2,FALSE),"/",VLOOKUP(AA7,Zones,2,FALSE))))</f>
        <v>Panama WC/LATAM WEST</v>
      </c>
      <c r="AC7" s="141">
        <v>485000</v>
      </c>
      <c r="AD7" s="141">
        <v>245</v>
      </c>
      <c r="AE7" s="151"/>
      <c r="AF7" s="149">
        <f t="shared" ref="AF7:AF13" si="6">IF($U7="Esmeraldas",IF(AD7&gt;1000,IF(AE7=0,AD7,AE7)/AC7*1.1,((X7*S7*(IF(AE7=0,AD7,AE7)/100))+IF(Y7&lt;X7,0,(Y7-X7)*S7*IF(AE7=0,AD7,AE7)/100*T7))/AC7*1.1),IF(AD7&gt;1000,IF(AE7=0,AD7,AE7)/AC7,((X7*S7*(IF(AE7=0,AD7,AE7)/100))+IF(Y7&lt;X7,0,(Y7-X7)*S7*IF(AE7=0,AD7,AE7)/100*T7))/AC7))</f>
        <v>3.0184773001471492</v>
      </c>
      <c r="AG7" s="144">
        <v>5</v>
      </c>
      <c r="AH7" s="155">
        <f>IF(INDEX(Index,MATCH(AA7,TVM_PortList,0),MATCH("Type",Control!$Q$3:$U$3,0))="BL",INDEX(Index,MATCH(AA7,TVM_PortList,0),MATCH("Payment",Control!$Q$3:$U$3,0))-INDEX(Index,MATCH(U7,TVM_PortList,0),MATCH("Payment",Control!$Q$3:$U$3,0)),AY7+INDEX(Index,MATCH(AA7,TVM_PortList,0),MATCH("Payment",Control!$Q$3:$U$3,0))-INDEX(Index,MATCH(U7,TVM_PortList,0),MATCH("Payment",Control!$Q$3:$U$3,0)))</f>
        <v>15</v>
      </c>
      <c r="AI7" s="143">
        <f t="shared" ref="AI7:AI13" si="7">AG7*VLOOKUP($Z7,$BH$7:$BJ$11,3,FALSE)/$AC7</f>
        <v>0.18041237113402062</v>
      </c>
      <c r="AJ7" s="143">
        <f t="shared" ref="AJ7:AJ13" si="8">IF(AH7&lt;0,0,$AH7*$BF$9)</f>
        <v>7.0273972602739723E-2</v>
      </c>
      <c r="AK7" s="143">
        <f>INDEX(Lightering,MATCH($U7,Control!$AB$3:$AB$29,0),MATCH(CASTILLA!$Z7,Control!$AB$3:$AF$3,0))*($AC7/$BF$16)*$BJ$13/$AC7</f>
        <v>0</v>
      </c>
      <c r="AL7" s="143">
        <f t="shared" ref="AL7:AL13" si="9">IF(H7="Corpus Christi",$BF$8,0)</f>
        <v>0</v>
      </c>
      <c r="AM7" s="143">
        <v>0</v>
      </c>
      <c r="AN7" s="143">
        <f t="shared" ref="AN7:AN13" si="10">$BF$10</f>
        <v>0.01</v>
      </c>
      <c r="AO7" s="143">
        <f t="shared" ref="AO7:AO13" si="11">$BF$11</f>
        <v>0.01</v>
      </c>
      <c r="AP7" s="143">
        <f>IF(INDEX(Control!$Q$3:$S$62,MATCH($AA7,Control!$Q$3:$Q$62,0),MATCH(AP$6,Control!$Q$3:$S$3,0))=1,$BF$12*$BG$12,0)</f>
        <v>0</v>
      </c>
      <c r="AQ7" s="143" t="e">
        <f>IF(INDEX(Control!$Q$3:$S$62,MATCH($AA7,Control!$Q$3:$Q$62,0),MATCH(AQ$6,Control!$Q$3:$S$3,0))=1,$BF$13/$AC7,0)</f>
        <v>#N/A</v>
      </c>
      <c r="AR7" s="143">
        <f t="shared" ref="AR7:AR13" si="12">$BF$14</f>
        <v>0</v>
      </c>
      <c r="AS7" s="143">
        <f t="shared" ref="AS7:AS13" si="13">IF(AND(K7="Chiriqui Grande",U7="Puerto Armuelles"),$BI$16,0)</f>
        <v>0.55000000000000004</v>
      </c>
      <c r="AT7" s="149" t="e">
        <f>SUM(AI7:AS7)</f>
        <v>#N/A</v>
      </c>
      <c r="AU7" s="149" t="e">
        <f t="shared" ref="AU7:AU13" si="14">+Q7+AF7+AT7</f>
        <v>#N/A</v>
      </c>
      <c r="AV7" s="149">
        <f t="shared" ref="AV7:AV13" si="15">IF(MONTH(BB7)-MONTH(B7)=1,$AV$3,IF(MONTH(BB7)-MONTH(B7)=0,0,$AV$3+$AW$3))</f>
        <v>0</v>
      </c>
      <c r="AW7" s="135" t="e">
        <f t="shared" ref="AW7:AW13" si="16">$M$3+AU7+AV7</f>
        <v>#N/A</v>
      </c>
      <c r="AY7" s="153">
        <f>INDEX('[1]Transit Time'!$A:$DC,MATCH(H7,'[1]Transit Time'!$A:$A,0),MATCH(K7,'[1]Transit Time'!$A$1:$DC$1,0))+INDEX('[1]Transit Time'!$A:$DC,MATCH(K7,'[1]Transit Time'!$A:$A,0),MATCH(U7,'[1]Transit Time'!$A$1:$DC$1,0))+INDEX('[1]Transit Time'!$A:$DC,MATCH(U7,'[1]Transit Time'!$A:$A,0),MATCH(AA7,'[1]Transit Time'!$A$1:$DC$1,0))</f>
        <v>21.5</v>
      </c>
      <c r="BA7" s="163">
        <f t="shared" ref="BA7:BA13" si="17">IF(ISBLANK(B7),"",B7+$AY7)</f>
        <v>44675.5</v>
      </c>
      <c r="BB7" s="163">
        <f t="shared" ref="BB7:BB13" si="18">IFERROR(IF(ISBLANK(C7),"",C7+$AY7),"")</f>
        <v>44677.5</v>
      </c>
      <c r="BD7" s="118" t="s">
        <v>136</v>
      </c>
      <c r="BE7"/>
      <c r="BF7" s="2">
        <v>43.3</v>
      </c>
      <c r="BG7"/>
      <c r="BH7" s="185" t="s">
        <v>137</v>
      </c>
      <c r="BI7" s="185"/>
      <c r="BJ7" s="186" t="s">
        <v>138</v>
      </c>
      <c r="BL7" s="118" t="s">
        <v>102</v>
      </c>
    </row>
    <row r="8" spans="1:67" s="165" customFormat="1" x14ac:dyDescent="0.35">
      <c r="A8" s="2"/>
      <c r="B8" s="209">
        <f>+$B$7</f>
        <v>44654</v>
      </c>
      <c r="C8" s="209">
        <f t="shared" ref="C8:C13" si="19">IF(ISBLANK(B8),"",B8+2)</f>
        <v>44656</v>
      </c>
      <c r="D8" s="210"/>
      <c r="E8" s="211"/>
      <c r="F8" s="212">
        <f>INDEX('[2]Flat Rates 2023'!$A:$DB,MATCH(H8,'[2]Flat Rates 2023'!$A:$A,0),MATCH(K8,'[2]Flat Rates 2023'!$A$1:$DB$1,0))</f>
        <v>3.74</v>
      </c>
      <c r="G8" s="212">
        <f>INDEX(Control!$E$17:$J$21,MATCH(M8,Control!$E$17:$E$21,0),MATCH(H8,Control!$E$17:$J$17,0))</f>
        <v>0</v>
      </c>
      <c r="H8" s="212" t="s">
        <v>62</v>
      </c>
      <c r="I8" s="213">
        <f>INDEX(Vessel_Minimum_MT,MATCH(M8,Control!$E$11:$E$15,0),MATCH(H8,Control!$E$11:$J$11,0))</f>
        <v>70000</v>
      </c>
      <c r="J8" s="214">
        <f t="shared" si="0"/>
        <v>90096.96796338672</v>
      </c>
      <c r="K8" s="212" t="s">
        <v>55</v>
      </c>
      <c r="L8" s="212" t="str">
        <f t="shared" si="1"/>
        <v>CARIBS/CARIBS</v>
      </c>
      <c r="M8" s="215" t="s">
        <v>23</v>
      </c>
      <c r="N8" s="216">
        <v>700000</v>
      </c>
      <c r="O8" s="217">
        <v>180</v>
      </c>
      <c r="P8" s="218">
        <v>85</v>
      </c>
      <c r="Q8" s="219">
        <f t="shared" si="2"/>
        <v>0.31790000000000002</v>
      </c>
      <c r="R8" s="2"/>
      <c r="S8" s="220">
        <f>INDEX('[2]Flat Rates 2023'!$A:$DB,MATCH(U8,'[2]Flat Rates 2023'!$A:$A,0),MATCH(AA8,'[2]Flat Rates 2023'!$A$1:$DB$1,0))</f>
        <v>10.63</v>
      </c>
      <c r="T8" s="220">
        <f>INDEX(Control!$E$17:$J$21,MATCH(Z8,Control!$E$17:$E$21,0),MATCH(U8,Control!$E$17:$J$17,0))</f>
        <v>0.5</v>
      </c>
      <c r="U8" s="220" t="s">
        <v>63</v>
      </c>
      <c r="V8" s="221">
        <v>43430</v>
      </c>
      <c r="W8" s="221">
        <f t="shared" si="3"/>
        <v>43434</v>
      </c>
      <c r="X8" s="213">
        <f>INDEX(Vessel_Minimum_MT,MATCH(Z8,Control!$E$11:$E$15,0),MATCH(U8,Control!$E$11:$J$11,0))</f>
        <v>70000</v>
      </c>
      <c r="Y8" s="222">
        <f t="shared" si="4"/>
        <v>96532.465675057203</v>
      </c>
      <c r="Z8" s="215" t="s">
        <v>23</v>
      </c>
      <c r="AA8" s="223" t="s">
        <v>110</v>
      </c>
      <c r="AB8" s="212" t="str">
        <f t="shared" si="5"/>
        <v>Panama WC/LATAM WEST</v>
      </c>
      <c r="AC8" s="214">
        <v>750000</v>
      </c>
      <c r="AD8" s="214">
        <v>155</v>
      </c>
      <c r="AE8" s="224"/>
      <c r="AF8" s="225">
        <f t="shared" si="6"/>
        <v>1.82924811379672</v>
      </c>
      <c r="AG8" s="226">
        <v>0</v>
      </c>
      <c r="AH8" s="214">
        <f>IF(INDEX(Index,MATCH(AA8,TVM_PortList,0),MATCH("Type",Control!$Q$3:$U$3,0))="BL",INDEX(Index,MATCH(AA8,TVM_PortList,0),MATCH("Payment",Control!$Q$3:$U$3,0))-INDEX(Index,MATCH(U8,TVM_PortList,0),MATCH("Payment",Control!$Q$3:$U$3,0)),AY8+INDEX(Index,MATCH(AA8,TVM_PortList,0),MATCH("Payment",Control!$Q$3:$U$3,0))-INDEX(Index,MATCH(U8,TVM_PortList,0),MATCH("Payment",Control!$Q$3:$U$3,0)))</f>
        <v>15</v>
      </c>
      <c r="AI8" s="227">
        <f t="shared" si="7"/>
        <v>0</v>
      </c>
      <c r="AJ8" s="227">
        <f t="shared" si="8"/>
        <v>7.0273972602739723E-2</v>
      </c>
      <c r="AK8" s="227">
        <f>INDEX(Lightering,MATCH($U8,Control!$AB$3:$AB$29,0),MATCH(CASTILLA!$Z8,Control!$AB$3:$AF$3,0))*($AC8/$BF$16)*$BJ$13/$AC8</f>
        <v>0</v>
      </c>
      <c r="AL8" s="227">
        <f t="shared" si="9"/>
        <v>0</v>
      </c>
      <c r="AM8" s="227">
        <v>0</v>
      </c>
      <c r="AN8" s="227">
        <f t="shared" si="10"/>
        <v>0.01</v>
      </c>
      <c r="AO8" s="227">
        <f t="shared" si="11"/>
        <v>0.01</v>
      </c>
      <c r="AP8" s="227">
        <f>IF(INDEX(Control!$Q$3:$S$62,MATCH($AA8,Control!$Q$3:$Q$62,0),MATCH(AP$6,Control!$Q$3:$S$3,0))=1,$BF$12*$BG$12,0)</f>
        <v>0</v>
      </c>
      <c r="AQ8" s="227" t="e">
        <f>IF(INDEX(Control!$Q$3:$S$62,MATCH($AA8,Control!$Q$3:$Q$62,0),MATCH(AQ$6,Control!$Q$3:$S$3,0))=1,$BF$13/$AC8,0)</f>
        <v>#N/A</v>
      </c>
      <c r="AR8" s="227">
        <f t="shared" si="12"/>
        <v>0</v>
      </c>
      <c r="AS8" s="227">
        <f t="shared" si="13"/>
        <v>0.55000000000000004</v>
      </c>
      <c r="AT8" s="225" t="e">
        <f t="shared" ref="AT8:AT13" si="20">SUM(AI8:AS8)</f>
        <v>#N/A</v>
      </c>
      <c r="AU8" s="225" t="e">
        <f t="shared" si="14"/>
        <v>#N/A</v>
      </c>
      <c r="AV8" s="225">
        <f t="shared" si="15"/>
        <v>0</v>
      </c>
      <c r="AW8" s="228" t="e">
        <f t="shared" si="16"/>
        <v>#N/A</v>
      </c>
      <c r="AX8" s="220"/>
      <c r="AY8" s="229">
        <f>INDEX('[1]Transit Time'!$A:$DC,MATCH(H8,'[1]Transit Time'!$A:$A,0),MATCH(K8,'[1]Transit Time'!$A$1:$DC$1,0))+INDEX('[1]Transit Time'!$A:$DC,MATCH(K8,'[1]Transit Time'!$A:$A,0),MATCH(U8,'[1]Transit Time'!$A$1:$DC$1,0))+INDEX('[1]Transit Time'!$A:$DC,MATCH(U8,'[1]Transit Time'!$A:$A,0),MATCH(AA8,'[1]Transit Time'!$A$1:$DC$1,0))</f>
        <v>21.5</v>
      </c>
      <c r="AZ8" s="220"/>
      <c r="BA8" s="230">
        <f t="shared" si="17"/>
        <v>44675.5</v>
      </c>
      <c r="BB8" s="230">
        <f t="shared" si="18"/>
        <v>44677.5</v>
      </c>
      <c r="BC8"/>
      <c r="BD8" s="183" t="s">
        <v>292</v>
      </c>
      <c r="BE8" s="183"/>
      <c r="BF8" s="184">
        <v>0.09</v>
      </c>
      <c r="BG8" s="181"/>
      <c r="BH8" s="133" t="s">
        <v>22</v>
      </c>
      <c r="BI8" s="133"/>
      <c r="BJ8" s="154">
        <v>17500</v>
      </c>
      <c r="BL8" s="2" t="s">
        <v>22</v>
      </c>
      <c r="BM8" s="267">
        <v>490000</v>
      </c>
    </row>
    <row r="9" spans="1:67" x14ac:dyDescent="0.35">
      <c r="B9" s="163">
        <f t="shared" ref="B9:B13" si="21">+$B$7</f>
        <v>44654</v>
      </c>
      <c r="C9" s="163">
        <f t="shared" si="19"/>
        <v>44656</v>
      </c>
      <c r="E9" s="8"/>
      <c r="F9" s="142">
        <f>INDEX('[2]Flat Rates 2023'!$A:$DB,MATCH(H9,'[2]Flat Rates 2023'!$A:$A,0),MATCH(K9,'[2]Flat Rates 2023'!$A$1:$DB$1,0))</f>
        <v>3.74</v>
      </c>
      <c r="G9" s="142">
        <f>INDEX(Control!$E$17:$J$21,MATCH(M9,Control!$E$17:$E$21,0),MATCH(H9,Control!$E$17:$J$17,0))</f>
        <v>0</v>
      </c>
      <c r="H9" s="142" t="str">
        <f>$H$7</f>
        <v>Covenas</v>
      </c>
      <c r="I9" s="116">
        <f>INDEX(Vessel_Minimum_MT,MATCH(M9,Control!$E$11:$E$15,0),MATCH(H9,Control!$E$11:$J$11,0))</f>
        <v>70000</v>
      </c>
      <c r="J9" s="141">
        <f t="shared" si="0"/>
        <v>90096.96796338672</v>
      </c>
      <c r="K9" s="142" t="s">
        <v>55</v>
      </c>
      <c r="L9" s="142" t="str">
        <f t="shared" si="1"/>
        <v>CARIBS/CARIBS</v>
      </c>
      <c r="M9" s="147" t="s">
        <v>23</v>
      </c>
      <c r="N9" s="15">
        <v>700000</v>
      </c>
      <c r="O9" s="13">
        <v>180</v>
      </c>
      <c r="P9" s="14">
        <v>85</v>
      </c>
      <c r="Q9" s="259">
        <f t="shared" si="2"/>
        <v>0.31790000000000002</v>
      </c>
      <c r="R9" s="2"/>
      <c r="S9" s="191">
        <f>INDEX('[2]Flat Rates 2023'!$A:$DB,MATCH(U9,'[2]Flat Rates 2023'!$A:$A,0),MATCH(AA9,'[2]Flat Rates 2023'!$A$1:$DB$1,0))</f>
        <v>10.63</v>
      </c>
      <c r="T9" s="138">
        <f>INDEX(Control!$E$17:$J$21,MATCH(Z9,Control!$E$17:$E$21,0),MATCH(U9,Control!$E$17:$J$17,0))</f>
        <v>0.5</v>
      </c>
      <c r="U9" s="138" t="s">
        <v>63</v>
      </c>
      <c r="V9" s="139">
        <v>43430</v>
      </c>
      <c r="W9" s="139">
        <f t="shared" si="3"/>
        <v>43434</v>
      </c>
      <c r="X9" s="116">
        <f>INDEX(Vessel_Minimum_MT,MATCH(Z9,Control!$E$11:$E$15,0),MATCH(U9,Control!$E$11:$J$11,0))</f>
        <v>145000</v>
      </c>
      <c r="Y9" s="140">
        <f t="shared" si="4"/>
        <v>128709.9542334096</v>
      </c>
      <c r="Z9" s="147" t="s">
        <v>24</v>
      </c>
      <c r="AA9" s="164" t="s">
        <v>110</v>
      </c>
      <c r="AB9" s="142" t="str">
        <f t="shared" si="5"/>
        <v>Panama WC/LATAM WEST</v>
      </c>
      <c r="AC9" s="141">
        <v>1000000</v>
      </c>
      <c r="AD9" s="141">
        <v>110</v>
      </c>
      <c r="AE9" s="151"/>
      <c r="AF9" s="149">
        <f t="shared" si="6"/>
        <v>1.6954850000000001</v>
      </c>
      <c r="AG9" s="144">
        <v>0</v>
      </c>
      <c r="AH9" s="141">
        <f>IF(INDEX(Index,MATCH(AA9,TVM_PortList,0),MATCH("Type",Control!$Q$3:$U$3,0))="BL",INDEX(Index,MATCH(AA9,TVM_PortList,0),MATCH("Payment",Control!$Q$3:$U$3,0))-INDEX(Index,MATCH(U9,TVM_PortList,0),MATCH("Payment",Control!$Q$3:$U$3,0)),AY9+INDEX(Index,MATCH(AA9,TVM_PortList,0),MATCH("Payment",Control!$Q$3:$U$3,0))-INDEX(Index,MATCH(U9,TVM_PortList,0),MATCH("Payment",Control!$Q$3:$U$3,0)))</f>
        <v>15</v>
      </c>
      <c r="AI9" s="143">
        <f t="shared" si="7"/>
        <v>0</v>
      </c>
      <c r="AJ9" s="143">
        <f t="shared" si="8"/>
        <v>7.0273972602739723E-2</v>
      </c>
      <c r="AK9" s="143">
        <f>INDEX(Lightering,MATCH($U9,Control!$AB$3:$AB$29,0),MATCH(CASTILLA!$Z9,Control!$AB$3:$AF$3,0))*($AC9/$BF$16)*$BJ$13/$AC9</f>
        <v>0</v>
      </c>
      <c r="AL9" s="143">
        <f t="shared" si="9"/>
        <v>0</v>
      </c>
      <c r="AM9" s="143">
        <v>0</v>
      </c>
      <c r="AN9" s="143">
        <f t="shared" si="10"/>
        <v>0.01</v>
      </c>
      <c r="AO9" s="143">
        <f t="shared" si="11"/>
        <v>0.01</v>
      </c>
      <c r="AP9" s="143">
        <f>IF(INDEX(Control!$Q$3:$S$62,MATCH($AA9,Control!$Q$3:$Q$62,0),MATCH(AP$6,Control!$Q$3:$S$3,0))=1,$BF$12*$BG$12,0)</f>
        <v>0</v>
      </c>
      <c r="AQ9" s="143" t="e">
        <f>IF(INDEX(Control!$Q$3:$S$62,MATCH($AA9,Control!$Q$3:$Q$62,0),MATCH(AQ$6,Control!$Q$3:$S$3,0))=1,$BF$13/$AC9,0)</f>
        <v>#N/A</v>
      </c>
      <c r="AR9" s="143">
        <f t="shared" si="12"/>
        <v>0</v>
      </c>
      <c r="AS9" s="143">
        <f t="shared" si="13"/>
        <v>0.55000000000000004</v>
      </c>
      <c r="AT9" s="149" t="e">
        <f t="shared" si="20"/>
        <v>#N/A</v>
      </c>
      <c r="AU9" s="149" t="e">
        <f t="shared" si="14"/>
        <v>#N/A</v>
      </c>
      <c r="AV9" s="149">
        <f t="shared" si="15"/>
        <v>0</v>
      </c>
      <c r="AW9" s="145" t="e">
        <f t="shared" si="16"/>
        <v>#N/A</v>
      </c>
      <c r="AY9" s="153">
        <f>INDEX('[1]Transit Time'!$A:$DC,MATCH(H9,'[1]Transit Time'!$A:$A,0),MATCH(K9,'[1]Transit Time'!$A$1:$DC$1,0))+INDEX('[1]Transit Time'!$A:$DC,MATCH(K9,'[1]Transit Time'!$A:$A,0),MATCH(U9,'[1]Transit Time'!$A$1:$DC$1,0))+INDEX('[1]Transit Time'!$A:$DC,MATCH(U9,'[1]Transit Time'!$A:$A,0),MATCH(AA9,'[1]Transit Time'!$A$1:$DC$1,0))</f>
        <v>21.5</v>
      </c>
      <c r="BA9" s="163">
        <f t="shared" si="17"/>
        <v>44675.5</v>
      </c>
      <c r="BB9" s="163">
        <f t="shared" si="18"/>
        <v>44677.5</v>
      </c>
      <c r="BD9" s="133" t="s">
        <v>140</v>
      </c>
      <c r="BE9" s="133"/>
      <c r="BF9" s="119">
        <f>BF20</f>
        <v>4.6849315068493149E-3</v>
      </c>
      <c r="BG9"/>
      <c r="BH9" s="133" t="s">
        <v>23</v>
      </c>
      <c r="BI9" s="133"/>
      <c r="BJ9" s="154">
        <v>19500</v>
      </c>
      <c r="BL9" s="2" t="s">
        <v>23</v>
      </c>
      <c r="BM9" s="267">
        <v>750000</v>
      </c>
    </row>
    <row r="10" spans="1:67" s="165" customFormat="1" x14ac:dyDescent="0.35">
      <c r="A10" s="2"/>
      <c r="B10" s="230">
        <f t="shared" si="21"/>
        <v>44654</v>
      </c>
      <c r="C10" s="230">
        <f t="shared" si="19"/>
        <v>44656</v>
      </c>
      <c r="D10" s="210"/>
      <c r="E10" s="211"/>
      <c r="F10" s="212">
        <f>INDEX('[2]Flat Rates 2023'!$A:$DB,MATCH(H10,'[2]Flat Rates 2023'!$A:$A,0),MATCH(K10,'[2]Flat Rates 2023'!$A$1:$DB$1,0))</f>
        <v>3.74</v>
      </c>
      <c r="G10" s="212">
        <f>INDEX(Control!$E$17:$J$21,MATCH(M10,Control!$E$17:$E$21,0),MATCH(H10,Control!$E$17:$J$17,0))</f>
        <v>0</v>
      </c>
      <c r="H10" s="212" t="str">
        <f>$H$7</f>
        <v>Covenas</v>
      </c>
      <c r="I10" s="213">
        <f>INDEX(Vessel_Minimum_MT,MATCH(M10,Control!$E$11:$E$15,0),MATCH(H10,Control!$E$11:$J$11,0))</f>
        <v>70000</v>
      </c>
      <c r="J10" s="214">
        <f t="shared" si="0"/>
        <v>90096.96796338672</v>
      </c>
      <c r="K10" s="212" t="s">
        <v>55</v>
      </c>
      <c r="L10" s="212" t="str">
        <f t="shared" si="1"/>
        <v>CARIBS/CARIBS</v>
      </c>
      <c r="M10" s="215" t="s">
        <v>23</v>
      </c>
      <c r="N10" s="216">
        <v>700000</v>
      </c>
      <c r="O10" s="217">
        <v>180</v>
      </c>
      <c r="P10" s="218">
        <v>85</v>
      </c>
      <c r="Q10" s="219">
        <f t="shared" si="2"/>
        <v>0.31790000000000002</v>
      </c>
      <c r="R10" s="2"/>
      <c r="S10" s="220">
        <f>INDEX('[2]Flat Rates 2023'!$A:$DB,MATCH(U10,'[2]Flat Rates 2023'!$A:$A,0),MATCH(AA10,'[2]Flat Rates 2023'!$A$1:$DB$1,0))</f>
        <v>5.93</v>
      </c>
      <c r="T10" s="220">
        <f>INDEX(Control!$E$17:$J$21,MATCH(Z10,Control!$E$17:$E$21,0),MATCH(U10,Control!$E$17:$J$17,0))</f>
        <v>0.5</v>
      </c>
      <c r="U10" s="220" t="s">
        <v>63</v>
      </c>
      <c r="V10" s="221">
        <v>43430</v>
      </c>
      <c r="W10" s="221">
        <f t="shared" si="3"/>
        <v>43434</v>
      </c>
      <c r="X10" s="213">
        <f>INDEX(Vessel_Minimum_MT,MATCH(Z10,Control!$E$11:$E$15,0),MATCH(U10,Control!$E$11:$J$11,0))</f>
        <v>50000</v>
      </c>
      <c r="Y10" s="222">
        <f t="shared" si="4"/>
        <v>61137.22826086956</v>
      </c>
      <c r="Z10" s="215" t="s">
        <v>22</v>
      </c>
      <c r="AA10" s="223" t="s">
        <v>94</v>
      </c>
      <c r="AB10" s="212" t="str">
        <f t="shared" si="5"/>
        <v>Panama WC/PAMPILLA</v>
      </c>
      <c r="AC10" s="214">
        <v>475000</v>
      </c>
      <c r="AD10" s="214">
        <v>1001</v>
      </c>
      <c r="AE10" s="224">
        <v>700000</v>
      </c>
      <c r="AF10" s="225">
        <f t="shared" si="6"/>
        <v>1.4736842105263157</v>
      </c>
      <c r="AG10" s="226">
        <v>0</v>
      </c>
      <c r="AH10" s="214">
        <f>IF(INDEX(Index,MATCH(AA10,TVM_PortList,0),MATCH("Type",Control!$Q$3:$U$3,0))="BL",INDEX(Index,MATCH(AA10,TVM_PortList,0),MATCH("Payment",Control!$Q$3:$U$3,0))-INDEX(Index,MATCH(U10,TVM_PortList,0),MATCH("Payment",Control!$Q$3:$U$3,0)),AY10+INDEX(Index,MATCH(AA10,TVM_PortList,0),MATCH("Payment",Control!$Q$3:$U$3,0))-INDEX(Index,MATCH(U10,TVM_PortList,0),MATCH("Payment",Control!$Q$3:$U$3,0)))</f>
        <v>15.5</v>
      </c>
      <c r="AI10" s="227">
        <f t="shared" si="7"/>
        <v>0</v>
      </c>
      <c r="AJ10" s="227">
        <f t="shared" si="8"/>
        <v>7.2616438356164381E-2</v>
      </c>
      <c r="AK10" s="227">
        <f>INDEX(Lightering,MATCH($U10,Control!$AB$3:$AB$29,0),MATCH(CASTILLA!$Z10,Control!$AB$3:$AF$3,0))*($AC10/$BF$16)*$BJ$13/$AC10</f>
        <v>0</v>
      </c>
      <c r="AL10" s="227">
        <f t="shared" si="9"/>
        <v>0</v>
      </c>
      <c r="AM10" s="227">
        <v>0</v>
      </c>
      <c r="AN10" s="227">
        <f t="shared" si="10"/>
        <v>0.01</v>
      </c>
      <c r="AO10" s="227">
        <f t="shared" si="11"/>
        <v>0.01</v>
      </c>
      <c r="AP10" s="227">
        <f>IF(INDEX(Control!$Q$3:$S$62,MATCH($AA10,Control!$Q$3:$Q$62,0),MATCH(AP$6,Control!$Q$3:$S$3,0))=1,$BF$12*$BG$12,0)</f>
        <v>0</v>
      </c>
      <c r="AQ10" s="227" t="e">
        <f>IF(INDEX(Control!$Q$3:$S$62,MATCH($AA10,Control!$Q$3:$Q$62,0),MATCH(AQ$6,Control!$Q$3:$S$3,0))=1,$BF$13/$AC10,0)</f>
        <v>#N/A</v>
      </c>
      <c r="AR10" s="227">
        <f t="shared" si="12"/>
        <v>0</v>
      </c>
      <c r="AS10" s="227">
        <f t="shared" si="13"/>
        <v>0.55000000000000004</v>
      </c>
      <c r="AT10" s="225" t="e">
        <f t="shared" si="20"/>
        <v>#N/A</v>
      </c>
      <c r="AU10" s="225" t="e">
        <f t="shared" si="14"/>
        <v>#N/A</v>
      </c>
      <c r="AV10" s="225">
        <f t="shared" si="15"/>
        <v>0</v>
      </c>
      <c r="AW10" s="228" t="e">
        <f t="shared" si="16"/>
        <v>#N/A</v>
      </c>
      <c r="AX10" s="220"/>
      <c r="AY10" s="229">
        <f>INDEX('[1]Transit Time'!$A:$DC,MATCH(H10,'[1]Transit Time'!$A:$A,0),MATCH(K10,'[1]Transit Time'!$A$1:$DC$1,0))+INDEX('[1]Transit Time'!$A:$DC,MATCH(K10,'[1]Transit Time'!$A:$A,0),MATCH(U10,'[1]Transit Time'!$A$1:$DC$1,0))+INDEX('[1]Transit Time'!$A:$DC,MATCH(U10,'[1]Transit Time'!$A:$A,0),MATCH(AA10,'[1]Transit Time'!$A$1:$DC$1,0))</f>
        <v>17.5</v>
      </c>
      <c r="AZ10" s="220"/>
      <c r="BA10" s="230">
        <f t="shared" si="17"/>
        <v>44671.5</v>
      </c>
      <c r="BB10" s="230">
        <f t="shared" si="18"/>
        <v>44673.5</v>
      </c>
      <c r="BC10"/>
      <c r="BD10" s="183" t="s">
        <v>141</v>
      </c>
      <c r="BE10" s="183"/>
      <c r="BF10" s="184">
        <v>0.01</v>
      </c>
      <c r="BG10" s="181"/>
      <c r="BH10" s="118" t="s">
        <v>24</v>
      </c>
      <c r="BI10" s="2"/>
      <c r="BJ10" s="154">
        <v>25000</v>
      </c>
      <c r="BL10" s="165" t="s">
        <v>24</v>
      </c>
      <c r="BM10" s="267">
        <v>1000000</v>
      </c>
    </row>
    <row r="11" spans="1:67" x14ac:dyDescent="0.35">
      <c r="B11" s="163">
        <f t="shared" si="21"/>
        <v>44654</v>
      </c>
      <c r="C11" s="163">
        <f t="shared" si="19"/>
        <v>44656</v>
      </c>
      <c r="E11" s="8"/>
      <c r="F11" s="142">
        <f>INDEX('[2]Flat Rates 2023'!$A:$DB,MATCH(H11,'[2]Flat Rates 2023'!$A:$A,0),MATCH(K11,'[2]Flat Rates 2023'!$A$1:$DB$1,0))</f>
        <v>3.74</v>
      </c>
      <c r="G11" s="142">
        <f>INDEX(Control!$E$17:$J$21,MATCH(M11,Control!$E$17:$E$21,0),MATCH(H11,Control!$E$17:$J$17,0))</f>
        <v>0</v>
      </c>
      <c r="H11" s="142" t="str">
        <f>$H$7</f>
        <v>Covenas</v>
      </c>
      <c r="I11" s="116">
        <f>INDEX(Vessel_Minimum_MT,MATCH(M11,Control!$E$11:$E$15,0),MATCH(H11,Control!$E$11:$J$11,0))</f>
        <v>70000</v>
      </c>
      <c r="J11" s="141">
        <f t="shared" si="0"/>
        <v>90096.96796338672</v>
      </c>
      <c r="K11" s="142" t="s">
        <v>55</v>
      </c>
      <c r="L11" s="142" t="str">
        <f t="shared" si="1"/>
        <v>CARIBS/CARIBS</v>
      </c>
      <c r="M11" s="147" t="s">
        <v>23</v>
      </c>
      <c r="N11" s="15">
        <v>700000</v>
      </c>
      <c r="O11" s="13">
        <v>180</v>
      </c>
      <c r="P11" s="14">
        <v>85</v>
      </c>
      <c r="Q11" s="148">
        <f t="shared" si="2"/>
        <v>0.31790000000000002</v>
      </c>
      <c r="R11" s="2"/>
      <c r="S11" s="138">
        <f>INDEX('[2]Flat Rates 2023'!$A:$DB,MATCH(U11,'[2]Flat Rates 2023'!$A:$A,0),MATCH(AA11,'[2]Flat Rates 2023'!$A$1:$DB$1,0))</f>
        <v>5.93</v>
      </c>
      <c r="T11" s="138">
        <f>INDEX(Control!$E$17:$J$21,MATCH(Z11,Control!$E$17:$E$21,0),MATCH(U11,Control!$E$17:$J$17,0))</f>
        <v>0.5</v>
      </c>
      <c r="U11" s="138" t="s">
        <v>63</v>
      </c>
      <c r="V11" s="139">
        <v>43430</v>
      </c>
      <c r="W11" s="139">
        <f t="shared" si="3"/>
        <v>43434</v>
      </c>
      <c r="X11" s="116">
        <f>INDEX(Vessel_Minimum_MT,MATCH(Z11,Control!$E$11:$E$15,0),MATCH(U11,Control!$E$11:$J$11,0))</f>
        <v>70000</v>
      </c>
      <c r="Y11" s="140">
        <f t="shared" si="4"/>
        <v>84948.569794050345</v>
      </c>
      <c r="Z11" s="147" t="s">
        <v>23</v>
      </c>
      <c r="AA11" s="164" t="s">
        <v>94</v>
      </c>
      <c r="AB11" s="142" t="str">
        <f t="shared" si="5"/>
        <v>Panama WC/PAMPILLA</v>
      </c>
      <c r="AC11" s="141">
        <v>660000</v>
      </c>
      <c r="AD11" s="141">
        <v>205</v>
      </c>
      <c r="AE11" s="151">
        <v>0</v>
      </c>
      <c r="AF11" s="149">
        <f t="shared" si="6"/>
        <v>1.4269941581071006</v>
      </c>
      <c r="AG11" s="144">
        <v>0</v>
      </c>
      <c r="AH11" s="141">
        <f>IF(INDEX(Index,MATCH(AA11,TVM_PortList,0),MATCH("Type",Control!$Q$3:$U$3,0))="BL",INDEX(Index,MATCH(AA11,TVM_PortList,0),MATCH("Payment",Control!$Q$3:$U$3,0))-INDEX(Index,MATCH(U11,TVM_PortList,0),MATCH("Payment",Control!$Q$3:$U$3,0)),AY11+INDEX(Index,MATCH(AA11,TVM_PortList,0),MATCH("Payment",Control!$Q$3:$U$3,0))-INDEX(Index,MATCH(U11,TVM_PortList,0),MATCH("Payment",Control!$Q$3:$U$3,0)))</f>
        <v>15.5</v>
      </c>
      <c r="AI11" s="143">
        <f t="shared" si="7"/>
        <v>0</v>
      </c>
      <c r="AJ11" s="143">
        <f t="shared" si="8"/>
        <v>7.2616438356164381E-2</v>
      </c>
      <c r="AK11" s="143">
        <f>INDEX(Lightering,MATCH($U11,Control!$AB$3:$AB$29,0),MATCH(CASTILLA!$Z11,Control!$AB$3:$AF$3,0))*($AC11/$BF$16)*$BJ$13/$AC11</f>
        <v>0</v>
      </c>
      <c r="AL11" s="143">
        <f t="shared" si="9"/>
        <v>0</v>
      </c>
      <c r="AM11" s="143">
        <v>0</v>
      </c>
      <c r="AN11" s="143">
        <f t="shared" si="10"/>
        <v>0.01</v>
      </c>
      <c r="AO11" s="143">
        <f t="shared" si="11"/>
        <v>0.01</v>
      </c>
      <c r="AP11" s="143">
        <f>IF(INDEX(Control!$Q$3:$S$62,MATCH($AA11,Control!$Q$3:$Q$62,0),MATCH(AP$6,Control!$Q$3:$S$3,0))=1,$BF$12*$BG$12,0)</f>
        <v>0</v>
      </c>
      <c r="AQ11" s="143" t="e">
        <f>IF(INDEX(Control!$Q$3:$S$62,MATCH($AA11,Control!$Q$3:$Q$62,0),MATCH(AQ$6,Control!$Q$3:$S$3,0))=1,$BF$13/$AC11,0)</f>
        <v>#N/A</v>
      </c>
      <c r="AR11" s="143">
        <f t="shared" si="12"/>
        <v>0</v>
      </c>
      <c r="AS11" s="143">
        <f t="shared" si="13"/>
        <v>0.55000000000000004</v>
      </c>
      <c r="AT11" s="149" t="e">
        <f t="shared" si="20"/>
        <v>#N/A</v>
      </c>
      <c r="AU11" s="149" t="e">
        <f t="shared" si="14"/>
        <v>#N/A</v>
      </c>
      <c r="AV11" s="149">
        <f t="shared" si="15"/>
        <v>0</v>
      </c>
      <c r="AW11" s="145" t="e">
        <f t="shared" si="16"/>
        <v>#N/A</v>
      </c>
      <c r="AY11" s="153">
        <f>INDEX('[1]Transit Time'!$A:$DC,MATCH(H11,'[1]Transit Time'!$A:$A,0),MATCH(K11,'[1]Transit Time'!$A$1:$DC$1,0))+INDEX('[1]Transit Time'!$A:$DC,MATCH(K11,'[1]Transit Time'!$A:$A,0),MATCH(U11,'[1]Transit Time'!$A$1:$DC$1,0))+INDEX('[1]Transit Time'!$A:$DC,MATCH(U11,'[1]Transit Time'!$A:$A,0),MATCH(AA11,'[1]Transit Time'!$A$1:$DC$1,0))</f>
        <v>17.5</v>
      </c>
      <c r="BA11" s="163">
        <f t="shared" si="17"/>
        <v>44671.5</v>
      </c>
      <c r="BB11" s="163">
        <f t="shared" si="18"/>
        <v>44673.5</v>
      </c>
      <c r="BD11" s="2" t="s">
        <v>188</v>
      </c>
      <c r="BE11"/>
      <c r="BF11" s="117">
        <v>0.01</v>
      </c>
      <c r="BG11"/>
      <c r="BH11" s="133" t="s">
        <v>25</v>
      </c>
      <c r="BI11" s="133"/>
      <c r="BJ11" s="154">
        <v>34000</v>
      </c>
      <c r="BL11" s="2" t="s">
        <v>25</v>
      </c>
      <c r="BM11" s="267">
        <v>2000000</v>
      </c>
    </row>
    <row r="12" spans="1:67" s="165" customFormat="1" x14ac:dyDescent="0.35">
      <c r="A12" s="2"/>
      <c r="B12" s="230">
        <f t="shared" si="21"/>
        <v>44654</v>
      </c>
      <c r="C12" s="230">
        <f t="shared" si="19"/>
        <v>44656</v>
      </c>
      <c r="D12" s="210"/>
      <c r="E12" s="211"/>
      <c r="F12" s="212">
        <f>INDEX('[2]Flat Rates 2023'!$A:$DB,MATCH(H12,'[2]Flat Rates 2023'!$A:$A,0),MATCH(K12,'[2]Flat Rates 2023'!$A$1:$DB$1,0))</f>
        <v>3.74</v>
      </c>
      <c r="G12" s="212">
        <f>INDEX(Control!$E$17:$J$21,MATCH(M12,Control!$E$17:$E$21,0),MATCH(H12,Control!$E$17:$J$17,0))</f>
        <v>0</v>
      </c>
      <c r="H12" s="212" t="str">
        <f>$H$7</f>
        <v>Covenas</v>
      </c>
      <c r="I12" s="213">
        <f>INDEX(Vessel_Minimum_MT,MATCH(M12,Control!$E$11:$E$15,0),MATCH(H12,Control!$E$11:$J$11,0))</f>
        <v>70000</v>
      </c>
      <c r="J12" s="214">
        <f t="shared" si="0"/>
        <v>90096.96796338672</v>
      </c>
      <c r="K12" s="212" t="s">
        <v>55</v>
      </c>
      <c r="L12" s="212" t="str">
        <f t="shared" si="1"/>
        <v>CARIBS/CARIBS</v>
      </c>
      <c r="M12" s="215" t="s">
        <v>23</v>
      </c>
      <c r="N12" s="216">
        <v>700000</v>
      </c>
      <c r="O12" s="217">
        <v>180</v>
      </c>
      <c r="P12" s="218">
        <v>85</v>
      </c>
      <c r="Q12" s="219">
        <f t="shared" si="2"/>
        <v>0.31790000000000002</v>
      </c>
      <c r="R12" s="2"/>
      <c r="S12" s="220" t="e">
        <f>INDEX('[2]Flat Rates 2023'!$A:$DB,MATCH(U12,'[2]Flat Rates 2023'!$A:$A,0),MATCH(AA12,'[2]Flat Rates 2023'!$A$1:$DB$1,0))</f>
        <v>#N/A</v>
      </c>
      <c r="T12" s="220">
        <f>INDEX(Control!$E$17:$J$21,MATCH(Z12,Control!$E$17:$E$21,0),MATCH(U12,Control!$E$17:$J$17,0))</f>
        <v>0.5</v>
      </c>
      <c r="U12" s="220" t="s">
        <v>63</v>
      </c>
      <c r="V12" s="221">
        <v>43430</v>
      </c>
      <c r="W12" s="221">
        <f t="shared" si="3"/>
        <v>43434</v>
      </c>
      <c r="X12" s="213">
        <f>INDEX(Vessel_Minimum_MT,MATCH(Z12,Control!$E$11:$E$15,0),MATCH(U12,Control!$E$11:$J$11,0))</f>
        <v>50000</v>
      </c>
      <c r="Y12" s="222">
        <f t="shared" si="4"/>
        <v>51355.271739130432</v>
      </c>
      <c r="Z12" s="215" t="s">
        <v>22</v>
      </c>
      <c r="AA12" s="223" t="s">
        <v>199</v>
      </c>
      <c r="AB12" s="212" t="e">
        <f t="shared" si="5"/>
        <v>#N/A</v>
      </c>
      <c r="AC12" s="214">
        <v>399000</v>
      </c>
      <c r="AD12" s="214">
        <v>1001</v>
      </c>
      <c r="AE12" s="224">
        <v>700000</v>
      </c>
      <c r="AF12" s="225">
        <f t="shared" si="6"/>
        <v>1.7543859649122806</v>
      </c>
      <c r="AG12" s="226">
        <v>0</v>
      </c>
      <c r="AH12" s="214" t="e">
        <f>IF(INDEX(Index,MATCH(AA12,TVM_PortList,0),MATCH("Type",Control!$Q$3:$U$3,0))="BL",INDEX(Index,MATCH(AA12,TVM_PortList,0),MATCH("Payment",Control!$Q$3:$U$3,0))-INDEX(Index,MATCH(U12,TVM_PortList,0),MATCH("Payment",Control!$Q$3:$U$3,0)),AY12+INDEX(Index,MATCH(AA12,TVM_PortList,0),MATCH("Payment",Control!$Q$3:$U$3,0))-INDEX(Index,MATCH(U12,TVM_PortList,0),MATCH("Payment",Control!$Q$3:$U$3,0)))</f>
        <v>#N/A</v>
      </c>
      <c r="AI12" s="227">
        <f t="shared" si="7"/>
        <v>0</v>
      </c>
      <c r="AJ12" s="227" t="e">
        <f t="shared" si="8"/>
        <v>#N/A</v>
      </c>
      <c r="AK12" s="227">
        <f>INDEX(Lightering,MATCH($U12,Control!$AB$3:$AB$29,0),MATCH(CASTILLA!$Z12,Control!$AB$3:$AF$3,0))*($AC12/$BF$16)*$BJ$13/$AC12</f>
        <v>0</v>
      </c>
      <c r="AL12" s="227">
        <f t="shared" si="9"/>
        <v>0</v>
      </c>
      <c r="AM12" s="227">
        <v>0</v>
      </c>
      <c r="AN12" s="227">
        <f t="shared" si="10"/>
        <v>0.01</v>
      </c>
      <c r="AO12" s="227">
        <f t="shared" si="11"/>
        <v>0.01</v>
      </c>
      <c r="AP12" s="227" t="e">
        <f>IF(INDEX(Control!$Q$3:$S$62,MATCH($AA12,Control!$Q$3:$Q$62,0),MATCH(AP$6,Control!$Q$3:$S$3,0))=1,$BF$12*$BG$12,0)</f>
        <v>#N/A</v>
      </c>
      <c r="AQ12" s="227" t="e">
        <f>IF(INDEX(Control!$Q$3:$S$62,MATCH($AA12,Control!$Q$3:$Q$62,0),MATCH(AQ$6,Control!$Q$3:$S$3,0))=1,$BF$13/$AC12,0)</f>
        <v>#N/A</v>
      </c>
      <c r="AR12" s="227">
        <f t="shared" si="12"/>
        <v>0</v>
      </c>
      <c r="AS12" s="227">
        <f t="shared" si="13"/>
        <v>0.55000000000000004</v>
      </c>
      <c r="AT12" s="225" t="e">
        <f t="shared" si="20"/>
        <v>#N/A</v>
      </c>
      <c r="AU12" s="225" t="e">
        <f t="shared" si="14"/>
        <v>#N/A</v>
      </c>
      <c r="AV12" s="225" t="e">
        <f t="shared" si="15"/>
        <v>#VALUE!</v>
      </c>
      <c r="AW12" s="228" t="e">
        <f t="shared" si="16"/>
        <v>#N/A</v>
      </c>
      <c r="AX12" s="220"/>
      <c r="AY12" s="229" t="e">
        <f>INDEX('[1]Transit Time'!$A:$DC,MATCH(H12,'[1]Transit Time'!$A:$A,0),MATCH(K12,'[1]Transit Time'!$A$1:$DC$1,0))+INDEX('[1]Transit Time'!$A:$DC,MATCH(K12,'[1]Transit Time'!$A:$A,0),MATCH(U12,'[1]Transit Time'!$A$1:$DC$1,0))+INDEX('[1]Transit Time'!$A:$DC,MATCH(U12,'[1]Transit Time'!$A:$A,0),MATCH(AA12,'[1]Transit Time'!$A$1:$DC$1,0))</f>
        <v>#N/A</v>
      </c>
      <c r="AZ12" s="220"/>
      <c r="BA12" s="230" t="e">
        <f t="shared" si="17"/>
        <v>#N/A</v>
      </c>
      <c r="BB12" s="230" t="str">
        <f t="shared" si="18"/>
        <v/>
      </c>
      <c r="BC12"/>
      <c r="BD12" s="183" t="s">
        <v>17</v>
      </c>
      <c r="BE12" s="183"/>
      <c r="BF12" s="182">
        <v>50</v>
      </c>
      <c r="BG12" s="190">
        <v>2E-3</v>
      </c>
      <c r="BH12" s="185" t="s">
        <v>149</v>
      </c>
      <c r="BI12" s="185"/>
      <c r="BJ12" s="186" t="s">
        <v>138</v>
      </c>
      <c r="BK12" s="166"/>
      <c r="BM12" s="78">
        <f t="shared" ref="BM12" si="22">BM9</f>
        <v>750000</v>
      </c>
      <c r="BO12" s="166"/>
    </row>
    <row r="13" spans="1:67" ht="16" thickBot="1" x14ac:dyDescent="0.4">
      <c r="B13" s="163">
        <f t="shared" si="21"/>
        <v>44654</v>
      </c>
      <c r="C13" s="163">
        <f t="shared" si="19"/>
        <v>44656</v>
      </c>
      <c r="E13" s="8"/>
      <c r="F13" s="142">
        <f>INDEX('[2]Flat Rates 2023'!$A:$DB,MATCH(H13,'[2]Flat Rates 2023'!$A:$A,0),MATCH(K13,'[2]Flat Rates 2023'!$A$1:$DB$1,0))</f>
        <v>3.74</v>
      </c>
      <c r="G13" s="142">
        <f>INDEX(Control!$E$17:$J$21,MATCH(M13,Control!$E$17:$E$21,0),MATCH(H13,Control!$E$17:$J$17,0))</f>
        <v>0</v>
      </c>
      <c r="H13" s="142" t="str">
        <f>$H$7</f>
        <v>Covenas</v>
      </c>
      <c r="I13" s="116">
        <f>INDEX(Vessel_Minimum_MT,MATCH(M13,Control!$E$11:$E$15,0),MATCH(H13,Control!$E$11:$J$11,0))</f>
        <v>70000</v>
      </c>
      <c r="J13" s="141">
        <f t="shared" si="0"/>
        <v>90096.96796338672</v>
      </c>
      <c r="K13" s="142" t="s">
        <v>55</v>
      </c>
      <c r="L13" s="142" t="str">
        <f t="shared" si="1"/>
        <v>CARIBS/CARIBS</v>
      </c>
      <c r="M13" s="147" t="s">
        <v>23</v>
      </c>
      <c r="N13" s="15">
        <v>700000</v>
      </c>
      <c r="O13" s="13">
        <v>180</v>
      </c>
      <c r="P13" s="14">
        <v>85</v>
      </c>
      <c r="Q13" s="148">
        <f t="shared" si="2"/>
        <v>0.31790000000000002</v>
      </c>
      <c r="R13" s="2"/>
      <c r="S13" s="138">
        <f>INDEX('[2]Flat Rates 2023'!$A:$DB,MATCH(U13,'[2]Flat Rates 2023'!$A:$A,0),MATCH(AA13,'[2]Flat Rates 2023'!$A$1:$DB$1,0))</f>
        <v>3.99</v>
      </c>
      <c r="T13" s="138">
        <f>INDEX(Control!$E$17:$J$21,MATCH(Z13,Control!$E$17:$E$21,0),MATCH(U13,Control!$E$17:$J$17,0))</f>
        <v>0</v>
      </c>
      <c r="U13" s="138" t="s">
        <v>55</v>
      </c>
      <c r="V13" s="139">
        <v>43430</v>
      </c>
      <c r="W13" s="139">
        <f t="shared" si="3"/>
        <v>43434</v>
      </c>
      <c r="X13" s="116">
        <f>INDEX(Vessel_Minimum_MT,MATCH(Z13,Control!$E$11:$E$15,0),MATCH(U13,Control!$E$11:$J$11,0))</f>
        <v>70000</v>
      </c>
      <c r="Y13" s="140">
        <f t="shared" si="4"/>
        <v>64354.977116704802</v>
      </c>
      <c r="Z13" s="147" t="s">
        <v>23</v>
      </c>
      <c r="AA13" s="164" t="s">
        <v>112</v>
      </c>
      <c r="AB13" s="142" t="str">
        <f t="shared" si="5"/>
        <v>CARIBS/CARIBS</v>
      </c>
      <c r="AC13" s="141">
        <v>500000</v>
      </c>
      <c r="AD13" s="141">
        <v>180</v>
      </c>
      <c r="AE13" s="151">
        <v>325</v>
      </c>
      <c r="AF13" s="149">
        <f t="shared" si="6"/>
        <v>1.81545</v>
      </c>
      <c r="AG13" s="144">
        <v>0</v>
      </c>
      <c r="AH13" s="141">
        <f>IF(INDEX(Index,MATCH(AA13,TVM_PortList,0),MATCH("Type",Control!$Q$3:$U$3,0))="BL",INDEX(Index,MATCH(AA13,TVM_PortList,0),MATCH("Payment",Control!$Q$3:$U$3,0))-INDEX(Index,MATCH(U13,TVM_PortList,0),MATCH("Payment",Control!$Q$3:$U$3,0)),AY13+INDEX(Index,MATCH(AA13,TVM_PortList,0),MATCH("Payment",Control!$Q$3:$U$3,0))-INDEX(Index,MATCH(U13,TVM_PortList,0),MATCH("Payment",Control!$Q$3:$U$3,0)))</f>
        <v>3.5</v>
      </c>
      <c r="AI13" s="143">
        <f t="shared" si="7"/>
        <v>0</v>
      </c>
      <c r="AJ13" s="143">
        <f t="shared" si="8"/>
        <v>1.6397260273972602E-2</v>
      </c>
      <c r="AK13" s="143">
        <f>INDEX(Lightering,MATCH($U13,Control!$AB$3:$AB$29,0),MATCH(CASTILLA!$Z13,Control!$AB$3:$AF$3,0))*($AC13/$BF$16)*$BJ$13/$AC13</f>
        <v>0</v>
      </c>
      <c r="AL13" s="143">
        <f t="shared" si="9"/>
        <v>0</v>
      </c>
      <c r="AM13" s="143">
        <v>0</v>
      </c>
      <c r="AN13" s="143">
        <f t="shared" si="10"/>
        <v>0.01</v>
      </c>
      <c r="AO13" s="143">
        <f t="shared" si="11"/>
        <v>0.01</v>
      </c>
      <c r="AP13" s="143">
        <f>IF(INDEX(Control!$Q$3:$S$62,MATCH($AA13,Control!$Q$3:$Q$62,0),MATCH(AP$6,Control!$Q$3:$S$3,0))=1,$BF$12*$BG$12,0)</f>
        <v>0.1</v>
      </c>
      <c r="AQ13" s="143" t="e">
        <f>IF(INDEX(Control!$Q$3:$S$62,MATCH($AA13,Control!$Q$3:$Q$62,0),MATCH(AQ$6,Control!$Q$3:$S$3,0))=1,$BF$13/$AC13,0)</f>
        <v>#N/A</v>
      </c>
      <c r="AR13" s="143">
        <f t="shared" si="12"/>
        <v>0</v>
      </c>
      <c r="AS13" s="143">
        <f t="shared" si="13"/>
        <v>0</v>
      </c>
      <c r="AT13" s="149" t="e">
        <f t="shared" si="20"/>
        <v>#N/A</v>
      </c>
      <c r="AU13" s="149" t="e">
        <f t="shared" si="14"/>
        <v>#N/A</v>
      </c>
      <c r="AV13" s="149">
        <f t="shared" si="15"/>
        <v>0</v>
      </c>
      <c r="AW13" s="145" t="e">
        <f t="shared" si="16"/>
        <v>#N/A</v>
      </c>
      <c r="AY13" s="153">
        <f>INDEX('[1]Transit Time'!$A:$DC,MATCH(H13,'[1]Transit Time'!$A:$A,0),MATCH(K13,'[1]Transit Time'!$A$1:$DC$1,0))+INDEX('[1]Transit Time'!$A:$DC,MATCH(K13,'[1]Transit Time'!$A:$A,0),MATCH(U13,'[1]Transit Time'!$A$1:$DC$1,0))+INDEX('[1]Transit Time'!$A:$DC,MATCH(U13,'[1]Transit Time'!$A:$A,0),MATCH(AA13,'[1]Transit Time'!$A$1:$DC$1,0))</f>
        <v>3.5</v>
      </c>
      <c r="BA13" s="163">
        <f t="shared" si="17"/>
        <v>44657.5</v>
      </c>
      <c r="BB13" s="163">
        <f t="shared" si="18"/>
        <v>44659.5</v>
      </c>
      <c r="BD13" s="133" t="s">
        <v>207</v>
      </c>
      <c r="BE13" s="133"/>
      <c r="BF13" s="124">
        <v>20000</v>
      </c>
      <c r="BG13"/>
      <c r="BH13" s="167"/>
      <c r="BI13" s="168"/>
      <c r="BJ13" s="169">
        <v>0</v>
      </c>
      <c r="BK13" s="132"/>
    </row>
    <row r="14" spans="1:67" ht="17.25" customHeight="1" thickBot="1" x14ac:dyDescent="0.5">
      <c r="B14"/>
      <c r="C14"/>
      <c r="E14" s="1064" t="s">
        <v>293</v>
      </c>
      <c r="F14" s="1065"/>
      <c r="G14" s="1065"/>
      <c r="H14" s="1065"/>
      <c r="I14" s="1065"/>
      <c r="J14" s="1065"/>
      <c r="K14" s="1065"/>
      <c r="L14" s="1065"/>
      <c r="M14" s="1065"/>
      <c r="N14" s="1065"/>
      <c r="O14" s="1065"/>
      <c r="P14" s="1065"/>
      <c r="Q14" s="1065"/>
      <c r="R14" s="2"/>
      <c r="S14" s="9"/>
      <c r="T14" s="9"/>
      <c r="U14" s="9"/>
      <c r="V14" s="9"/>
      <c r="W14" s="9"/>
      <c r="X14" s="9"/>
      <c r="Y14" s="9"/>
      <c r="Z14" s="1064" t="s">
        <v>355</v>
      </c>
      <c r="AA14" s="1065"/>
      <c r="AB14" s="1065"/>
      <c r="AC14" s="1065"/>
      <c r="AD14" s="1065"/>
      <c r="AE14" s="1065"/>
      <c r="AF14" s="1065"/>
      <c r="AG14" s="1065"/>
      <c r="AH14" s="1065"/>
      <c r="AI14" s="1065"/>
      <c r="AJ14" s="1065"/>
      <c r="AK14" s="1065"/>
      <c r="AL14" s="1065"/>
      <c r="AM14" s="1065"/>
      <c r="AN14" s="1065"/>
      <c r="AO14" s="1065"/>
      <c r="AP14" s="1065"/>
      <c r="AQ14" s="1065"/>
      <c r="AR14" s="1065"/>
      <c r="AS14" s="1065"/>
      <c r="AT14" s="1065"/>
      <c r="AU14" s="1065"/>
      <c r="AV14" s="1065"/>
      <c r="AW14" s="1066"/>
      <c r="AY14"/>
      <c r="BA14"/>
      <c r="BB14"/>
      <c r="BD14" s="133" t="s">
        <v>282</v>
      </c>
      <c r="BE14" s="133"/>
      <c r="BF14" s="3"/>
      <c r="BG14"/>
      <c r="BH14"/>
      <c r="BI14"/>
      <c r="BJ14"/>
      <c r="BM14" s="3"/>
    </row>
    <row r="15" spans="1:67" ht="29.5" customHeight="1" thickBot="1" x14ac:dyDescent="0.4">
      <c r="B15" s="1005" t="s">
        <v>167</v>
      </c>
      <c r="C15" s="1005"/>
      <c r="E15" s="120" t="s">
        <v>276</v>
      </c>
      <c r="F15" s="152" t="s">
        <v>172</v>
      </c>
      <c r="G15" s="152" t="s">
        <v>2</v>
      </c>
      <c r="H15" s="152" t="s">
        <v>173</v>
      </c>
      <c r="I15" s="152" t="s">
        <v>174</v>
      </c>
      <c r="J15" s="125" t="s">
        <v>175</v>
      </c>
      <c r="K15" s="152" t="s">
        <v>177</v>
      </c>
      <c r="L15" s="152" t="s">
        <v>178</v>
      </c>
      <c r="M15" s="122" t="s">
        <v>176</v>
      </c>
      <c r="N15" s="120" t="s">
        <v>200</v>
      </c>
      <c r="O15" s="120" t="s">
        <v>277</v>
      </c>
      <c r="P15" s="121" t="s">
        <v>202</v>
      </c>
      <c r="Q15" s="123" t="s">
        <v>278</v>
      </c>
      <c r="R15" s="2"/>
      <c r="S15" s="120" t="s">
        <v>172</v>
      </c>
      <c r="T15" s="120" t="s">
        <v>2</v>
      </c>
      <c r="U15" s="120" t="s">
        <v>173</v>
      </c>
      <c r="V15" s="120" t="s">
        <v>167</v>
      </c>
      <c r="W15" s="120"/>
      <c r="X15" s="152" t="str">
        <f>$X$6</f>
        <v>Vessel MT</v>
      </c>
      <c r="Y15" s="120" t="s">
        <v>175</v>
      </c>
      <c r="Z15" s="120" t="s">
        <v>176</v>
      </c>
      <c r="AA15" s="120" t="s">
        <v>177</v>
      </c>
      <c r="AB15" s="120" t="s">
        <v>178</v>
      </c>
      <c r="AC15" s="120" t="s">
        <v>200</v>
      </c>
      <c r="AD15" s="146" t="s">
        <v>201</v>
      </c>
      <c r="AE15" s="128" t="s">
        <v>202</v>
      </c>
      <c r="AF15" s="150" t="s">
        <v>182</v>
      </c>
      <c r="AG15" s="136" t="s">
        <v>137</v>
      </c>
      <c r="AH15" s="146" t="s">
        <v>281</v>
      </c>
      <c r="AI15" s="136" t="s">
        <v>184</v>
      </c>
      <c r="AJ15" s="136" t="s">
        <v>140</v>
      </c>
      <c r="AK15" s="136" t="str">
        <f>AK6</f>
        <v>STS</v>
      </c>
      <c r="AL15" s="136" t="s">
        <v>186</v>
      </c>
      <c r="AM15" s="136" t="s">
        <v>187</v>
      </c>
      <c r="AN15" s="136" t="s">
        <v>141</v>
      </c>
      <c r="AO15" s="136" t="s">
        <v>188</v>
      </c>
      <c r="AP15" s="136" t="s">
        <v>17</v>
      </c>
      <c r="AQ15" s="136" t="s">
        <v>207</v>
      </c>
      <c r="AR15" s="136" t="s">
        <v>189</v>
      </c>
      <c r="AS15" s="136" t="s">
        <v>152</v>
      </c>
      <c r="AT15" s="150" t="s">
        <v>208</v>
      </c>
      <c r="AU15" s="150" t="s">
        <v>209</v>
      </c>
      <c r="AV15" s="150" t="s">
        <v>210</v>
      </c>
      <c r="AW15" s="137" t="s">
        <v>211</v>
      </c>
      <c r="AY15" s="137" t="s">
        <v>195</v>
      </c>
      <c r="BA15" s="1011" t="s">
        <v>196</v>
      </c>
      <c r="BB15" s="1011"/>
      <c r="BD15" s="118" t="s">
        <v>144</v>
      </c>
      <c r="BF15" s="2">
        <f>($BF$7+131.5)/(141.5*0.159)</f>
        <v>7.7694068493455122</v>
      </c>
      <c r="BH15"/>
      <c r="BI15"/>
      <c r="BJ15"/>
      <c r="BL15" s="132"/>
      <c r="BM15" s="127"/>
      <c r="BN15" s="132"/>
      <c r="BO15" s="132"/>
    </row>
    <row r="16" spans="1:67" ht="16" thickBot="1" x14ac:dyDescent="0.4">
      <c r="B16" s="230">
        <f t="shared" ref="B16:B22" si="23">+$B$7</f>
        <v>44654</v>
      </c>
      <c r="C16" s="230">
        <f t="shared" ref="C16:C22" si="24">IF(ISBLANK(B16),"",B16+2)</f>
        <v>44656</v>
      </c>
      <c r="D16" s="210"/>
      <c r="E16" s="211" t="s">
        <v>15</v>
      </c>
      <c r="F16" s="212">
        <f>IF(H16=K16,0,INDEX('[2]Flat Rates 2023'!$A:$DB,MATCH(H16,'[2]Flat Rates 2023'!$A:$A,0),MATCH(K16,'[2]Flat Rates 2023'!$A$1:$DB$1,0)))</f>
        <v>11.3</v>
      </c>
      <c r="G16" s="212" t="e">
        <f>INDEX(Control!$E$17:$J$21,MATCH(M16,Control!$E$17:$E$21,0),MATCH(H16,Control!$E$17:$J$17,0))</f>
        <v>#N/A</v>
      </c>
      <c r="H16" s="212" t="s">
        <v>81</v>
      </c>
      <c r="I16" s="213" t="e">
        <f>INDEX(Vessel_Minimum_MT,MATCH(M16,Control!$E$11:$E$15,0),MATCH(H16,Control!$E$11:$J$11,0))</f>
        <v>#N/A</v>
      </c>
      <c r="J16" s="214">
        <f>N16/$BF$15</f>
        <v>90096.96796338672</v>
      </c>
      <c r="K16" s="212" t="s">
        <v>45</v>
      </c>
      <c r="L16" s="212" t="e">
        <f>IF(K16=H16,"",CONCATENATE(CONCATENATE(VLOOKUP(H16,Zones,2,FALSE),"/",VLOOKUP(K16,Zones,2,FALSE))))</f>
        <v>#N/A</v>
      </c>
      <c r="M16" s="215" t="s">
        <v>22</v>
      </c>
      <c r="N16" s="216">
        <v>700000</v>
      </c>
      <c r="O16" s="217">
        <v>185</v>
      </c>
      <c r="P16" s="218">
        <v>0</v>
      </c>
      <c r="Q16" s="219" t="e">
        <f>IF($H16="Esmeraldas",IF(O16&gt;1000,IF(P16=0,O16,P16)/N16*1.1,((I16*F16*(IF(P16=0,O16,P16)/100))+IF(J16&lt;I16,0,(J16-I16)*F16*IF(P16=0,O16,P16)/100*G16))/N16*1.1),IF(O16&gt;1000,IF(P16=0,O16,P16)/N16,((I16*F16*(IF(P16=0,O16,P16)/100))+IF(J16&lt;I16,0,(J16-I16)*F16*IF(P16=0,O16,P16)/100*G16)))/N16)</f>
        <v>#N/A</v>
      </c>
      <c r="R16" s="2"/>
      <c r="S16" s="220">
        <f>INDEX('[2]Flat Rates 2023'!$A:$DB,MATCH(U16,'[2]Flat Rates 2023'!$A:$A,0),MATCH(AA16,'[2]Flat Rates 2023'!$A$1:$DB$1,0))</f>
        <v>0</v>
      </c>
      <c r="T16" s="220">
        <f>INDEX(Control!$E$17:$J$21,MATCH(Z16,Control!$E$17:$E$21,0),MATCH(U16,Control!$E$17:$J$17,0))</f>
        <v>0.5</v>
      </c>
      <c r="U16" s="220" t="s">
        <v>62</v>
      </c>
      <c r="V16" s="221">
        <v>43430</v>
      </c>
      <c r="W16" s="221">
        <f t="shared" ref="W16:W18" si="25">+V16+4</f>
        <v>43434</v>
      </c>
      <c r="X16" s="213">
        <f>INDEX(Vessel_Minimum_MT,MATCH(Z16,Control!$E$11:$E$15,0),MATCH(U16,Control!$E$11:$J$11,0))</f>
        <v>50000</v>
      </c>
      <c r="Y16" s="222">
        <f>AC16/$BF$15</f>
        <v>61137.22826086956</v>
      </c>
      <c r="Z16" s="215" t="s">
        <v>22</v>
      </c>
      <c r="AA16" s="223" t="s">
        <v>110</v>
      </c>
      <c r="AB16" s="212" t="str">
        <f>IF(AA16=U16,"",CONCATENATE(CONCATENATE(VLOOKUP(U16,Zones,2,FALSE),"/",VLOOKUP(AA16,Zones,2,FALSE))))</f>
        <v>CARIBS/LATAM WEST</v>
      </c>
      <c r="AC16" s="214">
        <v>475000</v>
      </c>
      <c r="AD16" s="214" t="e">
        <v>#N/A</v>
      </c>
      <c r="AE16" s="224"/>
      <c r="AF16" s="225" t="e">
        <f>IF($U16="Esmeraldas",IF(AD16&gt;1000,IF(AE16=0,AD16,AE16)/AC16*1.1,((X16*S16*(IF(AE16=0,AD16,AE16)/100))+IF(Y16&lt;X16,0,(Y16-X16)*S16*IF(AE16=0,AD16,AE16)/100*T16))/AC16*1.1),IF(AD16&gt;1000,IF(AE16=0,AD16,AE16)/AC16,((X16*S16*(IF(AE16=0,AD16,AE16)/100))+IF(Y16&lt;X16,0,(Y16-X16)*S16*IF(AE16=0,AD16,AE16)/100*T16))/AC16))</f>
        <v>#N/A</v>
      </c>
      <c r="AG16" s="226">
        <v>2</v>
      </c>
      <c r="AH16" s="214">
        <f>IF(INDEX(Index,MATCH(AA16,TVM_PortList,0),MATCH("Type",Control!$Q$3:$U$3,0))="BL",INDEX(Index,MATCH(AA16,TVM_PortList,0),MATCH("Payment",Control!$Q$3:$U$3,0))-INDEX(Index,MATCH(U16,TVM_PortList,0),MATCH("Payment",Control!$Q$3:$U$3,0)),AY16+INDEX(Index,MATCH(AA16,TVM_PortList,0),MATCH("Payment",Control!$Q$3:$U$3,0))-INDEX(Index,MATCH(U16,TVM_PortList,0),MATCH("Payment",Control!$Q$3:$U$3,0)))</f>
        <v>15</v>
      </c>
      <c r="AI16" s="227">
        <f>AG16*VLOOKUP($Z16,$BH$7:$BJ$11,3,FALSE)/$AC16</f>
        <v>7.3684210526315783E-2</v>
      </c>
      <c r="AJ16" s="227">
        <f>IF(AH16&lt;0,0,$AH16*$BF$9)</f>
        <v>7.0273972602739723E-2</v>
      </c>
      <c r="AK16" s="227">
        <f>INDEX(Lightering,MATCH($U16,Control!$AB$3:$AB$29,0),MATCH(CASTILLA!$Z16,Control!$AB$3:$AF$3,0))*($AC16/$BF$16)*$BJ$13/$AC16</f>
        <v>0</v>
      </c>
      <c r="AL16" s="227">
        <f>IF(H16="Corpus Christi",$BF$8,0)</f>
        <v>0</v>
      </c>
      <c r="AM16" s="227" t="e">
        <v>#N/A</v>
      </c>
      <c r="AN16" s="227">
        <f>$BF$10</f>
        <v>0.01</v>
      </c>
      <c r="AO16" s="227">
        <f>$BF$11</f>
        <v>0.01</v>
      </c>
      <c r="AP16" s="227">
        <f>IF(INDEX(Control!$Q$3:$S$62,MATCH($AA16,Control!$Q$3:$Q$62,0),MATCH(AP$6,Control!$Q$3:$S$3,0))=1,$BF$12*$BG$12,0)</f>
        <v>0</v>
      </c>
      <c r="AQ16" s="227" t="e">
        <f>IF(INDEX(Control!$Q$3:$S$62,MATCH($AA16,Control!$Q$3:$Q$62,0),MATCH(AQ$6,Control!$Q$3:$S$3,0))=1,$BF$13/$AC16,0)</f>
        <v>#N/A</v>
      </c>
      <c r="AR16" s="227">
        <f>$BF$14</f>
        <v>0</v>
      </c>
      <c r="AS16" s="227">
        <f>IF(AND(K16="Chiriqui Grande",U16="Puerto Armuelles"),$BI$16,0)</f>
        <v>0</v>
      </c>
      <c r="AT16" s="225" t="e">
        <f t="shared" ref="AT16:AT18" si="26">SUM(AI16:AS16)</f>
        <v>#N/A</v>
      </c>
      <c r="AU16" s="225" t="e">
        <f>+Q16+AF16+AT16</f>
        <v>#N/A</v>
      </c>
      <c r="AV16" s="225">
        <f>IF(MONTH(BB16)-MONTH(B16)=1,$AV$3,IF(MONTH(BB16)-MONTH(B16)=0,0,$AV$3+$AW$3))</f>
        <v>0</v>
      </c>
      <c r="AW16" s="228" t="e">
        <f>$M$3+AU16+AV16</f>
        <v>#N/A</v>
      </c>
      <c r="AX16" s="220"/>
      <c r="AY16" s="229">
        <f>INDEX('[1]Transit Time'!$A:$DC,MATCH(H16,'[1]Transit Time'!$A:$A,0),MATCH(K16,'[1]Transit Time'!$A$1:$DC$1,0))+INDEX('[1]Transit Time'!$A:$DC,MATCH(K16,'[1]Transit Time'!$A:$A,0),MATCH(U16,'[1]Transit Time'!$A$1:$DC$1,0))+INDEX('[1]Transit Time'!$A:$DC,MATCH(U16,'[1]Transit Time'!$A:$A,0),MATCH(AA16,'[1]Transit Time'!$A$1:$DC$1,0))</f>
        <v>20.7</v>
      </c>
      <c r="AZ16" s="220"/>
      <c r="BA16" s="230">
        <f>IF(ISBLANK(B16),"",B16+$AY16)</f>
        <v>44674.7</v>
      </c>
      <c r="BB16" s="230">
        <f>IFERROR(IF(ISBLANK(C16),"",C16+$AY16),"")</f>
        <v>44676.7</v>
      </c>
      <c r="BD16" s="133" t="s">
        <v>117</v>
      </c>
      <c r="BE16"/>
      <c r="BF16" s="130">
        <v>750000</v>
      </c>
      <c r="BG16"/>
      <c r="BH16" s="23" t="s">
        <v>152</v>
      </c>
      <c r="BI16" s="10">
        <v>0.55000000000000004</v>
      </c>
      <c r="BL16" s="3">
        <f>(2000000-BM11)/BM12</f>
        <v>0</v>
      </c>
    </row>
    <row r="17" spans="1:67" s="165" customFormat="1" x14ac:dyDescent="0.35">
      <c r="A17" s="2"/>
      <c r="B17" s="163">
        <f t="shared" si="23"/>
        <v>44654</v>
      </c>
      <c r="C17" s="163">
        <f t="shared" si="24"/>
        <v>44656</v>
      </c>
      <c r="D17"/>
      <c r="E17" s="8" t="s">
        <v>15</v>
      </c>
      <c r="F17" s="142">
        <f>IF(H17=K17,0,INDEX('[2]Flat Rates 2023'!$A:$DB,MATCH(H17,'[2]Flat Rates 2023'!$A:$A,0),MATCH(K17,'[2]Flat Rates 2023'!$A$1:$DB$1,0)))</f>
        <v>0</v>
      </c>
      <c r="G17" s="142">
        <f>INDEX(Control!$E$17:$J$21,MATCH(M17,Control!$E$17:$E$21,0),MATCH(H17,Control!$E$17:$J$17,0))</f>
        <v>0.5</v>
      </c>
      <c r="H17" s="142" t="s">
        <v>62</v>
      </c>
      <c r="I17" s="116">
        <f>INDEX(Vessel_Minimum_MT,MATCH(M17,Control!$E$11:$E$15,0),MATCH(H17,Control!$E$11:$J$11,0))</f>
        <v>50000</v>
      </c>
      <c r="J17" s="141">
        <f>N17/$BF$15</f>
        <v>90096.96796338672</v>
      </c>
      <c r="K17" s="142" t="s">
        <v>45</v>
      </c>
      <c r="L17" s="142" t="str">
        <f>IF(K17=H17,"",CONCATENATE(CONCATENATE(VLOOKUP(H17,Zones,2,FALSE),"/",VLOOKUP(K17,Zones,2,FALSE))))</f>
        <v>CARIBS/USGC</v>
      </c>
      <c r="M17" s="147" t="s">
        <v>22</v>
      </c>
      <c r="N17" s="15">
        <v>700000</v>
      </c>
      <c r="O17" s="13">
        <v>185</v>
      </c>
      <c r="P17" s="14">
        <v>0</v>
      </c>
      <c r="Q17" s="148">
        <f>IF($H17="Esmeraldas",IF(O17&gt;1000,IF(P17=0,O17,P17)/N17*1.1,((I17*F17*(IF(P17=0,O17,P17)/100))+IF(J17&lt;I17,0,(J17-I17)*F17*IF(P17=0,O17,P17)/100*G17))/N17*1.1),IF(O17&gt;1000,IF(P17=0,O17,P17)/N17,((I17*F17*(IF(P17=0,O17,P17)/100))+IF(J17&lt;I17,0,(J17-I17)*F17*IF(P17=0,O17,P17)/100*G17)))/N17)</f>
        <v>0</v>
      </c>
      <c r="R17" s="2"/>
      <c r="S17" s="138">
        <f>INDEX('[2]Flat Rates 2023'!$A:$DB,MATCH(U17,'[2]Flat Rates 2023'!$A:$A,0),MATCH(AA17,'[2]Flat Rates 2023'!$A$1:$DB$1,0))</f>
        <v>0</v>
      </c>
      <c r="T17" s="138">
        <f>INDEX(Control!$E$17:$J$21,MATCH(Z17,Control!$E$17:$E$21,0),MATCH(U17,Control!$E$17:$J$17,0))</f>
        <v>0</v>
      </c>
      <c r="U17" s="138" t="s">
        <v>62</v>
      </c>
      <c r="V17" s="139">
        <v>43430</v>
      </c>
      <c r="W17" s="139">
        <f t="shared" si="25"/>
        <v>43434</v>
      </c>
      <c r="X17" s="116">
        <f>INDEX(Vessel_Minimum_MT,MATCH(Z17,Control!$E$11:$E$15,0),MATCH(U17,Control!$E$11:$J$11,0))</f>
        <v>70000</v>
      </c>
      <c r="Y17" s="140">
        <f>AC17/$BF$15</f>
        <v>90096.96796338672</v>
      </c>
      <c r="Z17" s="147" t="s">
        <v>23</v>
      </c>
      <c r="AA17" s="164" t="s">
        <v>110</v>
      </c>
      <c r="AB17" s="142" t="str">
        <f>IF(AA17=U17,"",CONCATENATE(CONCATENATE(VLOOKUP(U17,Zones,2,FALSE),"/",VLOOKUP(AA17,Zones,2,FALSE))))</f>
        <v>CARIBS/LATAM WEST</v>
      </c>
      <c r="AC17" s="141">
        <v>700000</v>
      </c>
      <c r="AD17" s="141">
        <v>1001</v>
      </c>
      <c r="AE17" s="151">
        <v>1300000</v>
      </c>
      <c r="AF17" s="149">
        <f>IF($U17="Esmeraldas",IF(AD17&gt;1000,IF(AE17=0,AD17,AE17)/AC17*1.1,((X17*S17*(IF(AE17=0,AD17,AE17)/100))+IF(Y17&lt;X17,0,(Y17-X17)*S17*IF(AE17=0,AD17,AE17)/100*T17))/AC17*1.1),IF(AD17&gt;1000,IF(AE17=0,AD17,AE17)/AC17,((X17*S17*(IF(AE17=0,AD17,AE17)/100))+IF(Y17&lt;X17,0,(Y17-X17)*S17*IF(AE17=0,AD17,AE17)/100*T17))/AC17))</f>
        <v>1.8571428571428572</v>
      </c>
      <c r="AG17" s="144">
        <v>5</v>
      </c>
      <c r="AH17" s="141">
        <f>IF(INDEX(Index,MATCH(AA17,TVM_PortList,0),MATCH("Type",Control!$Q$3:$U$3,0))="BL",INDEX(Index,MATCH(AA17,TVM_PortList,0),MATCH("Payment",Control!$Q$3:$U$3,0))-INDEX(Index,MATCH(U17,TVM_PortList,0),MATCH("Payment",Control!$Q$3:$U$3,0)),AY17+INDEX(Index,MATCH(AA17,TVM_PortList,0),MATCH("Payment",Control!$Q$3:$U$3,0))-INDEX(Index,MATCH(U17,TVM_PortList,0),MATCH("Payment",Control!$Q$3:$U$3,0)))</f>
        <v>15</v>
      </c>
      <c r="AI17" s="143">
        <f>AG17*VLOOKUP($Z17,$BH$7:$BJ$11,3,FALSE)/$AC17</f>
        <v>0.13928571428571429</v>
      </c>
      <c r="AJ17" s="143">
        <f>IF(AH17&lt;0,0,$AH17*$BF$9)</f>
        <v>7.0273972602739723E-2</v>
      </c>
      <c r="AK17" s="143">
        <f>INDEX(Lightering,MATCH($U17,Control!$AB$3:$AB$29,0),MATCH(CASTILLA!$Z17,Control!$AB$3:$AF$3,0))*($AC17/$BF$16)*$BJ$13/$AC17</f>
        <v>0</v>
      </c>
      <c r="AL17" s="143">
        <f>IF(H17="Corpus Christi",$BF$8,0)</f>
        <v>0</v>
      </c>
      <c r="AM17" s="143">
        <v>0</v>
      </c>
      <c r="AN17" s="143">
        <f>$BF$10</f>
        <v>0.01</v>
      </c>
      <c r="AO17" s="143">
        <f>$BF$11</f>
        <v>0.01</v>
      </c>
      <c r="AP17" s="143">
        <f>IF(INDEX(Control!$Q$3:$S$62,MATCH($AA17,Control!$Q$3:$Q$62,0),MATCH(AP$6,Control!$Q$3:$S$3,0))=1,$BF$12*$BG$12,0)</f>
        <v>0</v>
      </c>
      <c r="AQ17" s="143" t="e">
        <f>IF(INDEX(Control!$Q$3:$S$62,MATCH($AA17,Control!$Q$3:$Q$62,0),MATCH(AQ$6,Control!$Q$3:$S$3,0))=1,$BF$13/$AC17,0)</f>
        <v>#N/A</v>
      </c>
      <c r="AR17" s="143">
        <f>$BF$14</f>
        <v>0</v>
      </c>
      <c r="AS17" s="143">
        <f>IF(AND(K17="Chiriqui Grande",U17="Puerto Armuelles"),$BI$16,0)</f>
        <v>0</v>
      </c>
      <c r="AT17" s="149" t="e">
        <f t="shared" si="26"/>
        <v>#N/A</v>
      </c>
      <c r="AU17" s="149" t="e">
        <f>+Q17+AF17+AT17</f>
        <v>#N/A</v>
      </c>
      <c r="AV17" s="149">
        <f>IF(MONTH(BB17)-MONTH(B17)=1,$AV$3,IF(MONTH(BB17)-MONTH(B17)=0,0,$AV$3+$AW$3))</f>
        <v>0</v>
      </c>
      <c r="AW17" s="145" t="e">
        <f>$M$3+AU17+AV17</f>
        <v>#N/A</v>
      </c>
      <c r="AX17" s="2"/>
      <c r="AY17" s="153">
        <f>INDEX('[1]Transit Time'!$A:$DC,MATCH(H17,'[1]Transit Time'!$A:$A,0),MATCH(K17,'[1]Transit Time'!$A$1:$DC$1,0))+INDEX('[1]Transit Time'!$A:$DC,MATCH(K17,'[1]Transit Time'!$A:$A,0),MATCH(U17,'[1]Transit Time'!$A$1:$DC$1,0))+INDEX('[1]Transit Time'!$A:$DC,MATCH(U17,'[1]Transit Time'!$A:$A,0),MATCH(AA17,'[1]Transit Time'!$A$1:$DC$1,0))</f>
        <v>9.6999999999999993</v>
      </c>
      <c r="AZ17" s="2"/>
      <c r="BA17" s="163">
        <f>IF(ISBLANK(B17),"",B17+$AY17)</f>
        <v>44663.7</v>
      </c>
      <c r="BB17" s="163">
        <f>IFERROR(IF(ISBLANK(C17),"",C17+$AY17),"")</f>
        <v>44665.7</v>
      </c>
      <c r="BC17"/>
      <c r="BL17" s="165">
        <f>IF(AC25-VLOOKUP(Z25,$BL$8:$BM$12,2,FALSE)/$BM$12&gt;0,BJ13/AC25,0)</f>
        <v>0</v>
      </c>
    </row>
    <row r="18" spans="1:67" ht="16" thickBot="1" x14ac:dyDescent="0.4">
      <c r="B18" s="230">
        <f t="shared" si="23"/>
        <v>44654</v>
      </c>
      <c r="C18" s="230">
        <f t="shared" si="24"/>
        <v>44656</v>
      </c>
      <c r="D18" s="210"/>
      <c r="E18" s="211"/>
      <c r="F18" s="212">
        <f>IF(H18=K18,0,INDEX('[2]Flat Rates 2023'!$A:$DB,MATCH(H18,'[2]Flat Rates 2023'!$A:$A,0),MATCH(K18,'[2]Flat Rates 2023'!$A$1:$DB$1,0)))</f>
        <v>0</v>
      </c>
      <c r="G18" s="212">
        <f>INDEX(Control!$E$17:$J$21,MATCH(M18,Control!$E$17:$E$21,0),MATCH(H18,Control!$E$17:$J$17,0))</f>
        <v>0</v>
      </c>
      <c r="H18" s="212" t="s">
        <v>62</v>
      </c>
      <c r="I18" s="213">
        <f>INDEX(Vessel_Minimum_MT,MATCH(M18,Control!$E$11:$E$15,0),MATCH(H18,Control!$E$11:$J$11,0))</f>
        <v>70000</v>
      </c>
      <c r="J18" s="214">
        <f>N18/$BF$15</f>
        <v>90096.96796338672</v>
      </c>
      <c r="K18" s="212" t="s">
        <v>45</v>
      </c>
      <c r="L18" s="212" t="str">
        <f>IF(K18=H18,"",CONCATENATE(CONCATENATE(VLOOKUP(H18,Zones,2,FALSE),"/",VLOOKUP(K18,Zones,2,FALSE))))</f>
        <v>CARIBS/USGC</v>
      </c>
      <c r="M18" s="215" t="s">
        <v>23</v>
      </c>
      <c r="N18" s="216">
        <v>700000</v>
      </c>
      <c r="O18" s="217">
        <v>175</v>
      </c>
      <c r="P18" s="218">
        <v>0</v>
      </c>
      <c r="Q18" s="219">
        <f>IF($H18="Esmeraldas",IF(O18&gt;1000,IF(P18=0,O18,P18)/N18*1.1,((I18*F18*(IF(P18=0,O18,P18)/100))+IF(J18&lt;I18,0,(J18-I18)*F18*IF(P18=0,O18,P18)/100*G18))/N18*1.1),IF(O18&gt;1000,IF(P18=0,O18,P18)/N18,((I18*F18*(IF(P18=0,O18,P18)/100))+IF(J18&lt;I18,0,(J18-I18)*F18*IF(P18=0,O18,P18)/100*G18)))/N18)</f>
        <v>0</v>
      </c>
      <c r="R18" s="2"/>
      <c r="S18" s="220">
        <f>INDEX('[2]Flat Rates 2023'!$A:$DB,MATCH(U18,'[2]Flat Rates 2023'!$A:$A,0),MATCH(AA18,'[2]Flat Rates 2023'!$A$1:$DB$1,0))</f>
        <v>8.6199999999999992</v>
      </c>
      <c r="T18" s="220">
        <f>INDEX(Control!$E$17:$J$21,MATCH(Z18,Control!$E$17:$E$21,0),MATCH(U18,Control!$E$17:$J$17,0))</f>
        <v>0</v>
      </c>
      <c r="U18" s="220" t="s">
        <v>62</v>
      </c>
      <c r="V18" s="221">
        <v>43430</v>
      </c>
      <c r="W18" s="221">
        <f t="shared" si="25"/>
        <v>43434</v>
      </c>
      <c r="X18" s="213">
        <f>INDEX(Vessel_Minimum_MT,MATCH(Z18,Control!$E$11:$E$15,0),MATCH(U18,Control!$E$11:$J$11,0))</f>
        <v>70000</v>
      </c>
      <c r="Y18" s="222">
        <f>AC18/$BF$15</f>
        <v>64354.977116704802</v>
      </c>
      <c r="Z18" s="215" t="s">
        <v>23</v>
      </c>
      <c r="AA18" s="223" t="s">
        <v>57</v>
      </c>
      <c r="AB18" s="212" t="str">
        <f>IF(AA18=U18,"",CONCATENATE(CONCATENATE(VLOOKUP(U18,Zones,2,FALSE),"/",VLOOKUP(AA18,Zones,2,FALSE))))</f>
        <v>CARIBS/USGC</v>
      </c>
      <c r="AC18" s="214">
        <v>500000</v>
      </c>
      <c r="AD18" s="214">
        <v>175</v>
      </c>
      <c r="AE18" s="224">
        <v>150</v>
      </c>
      <c r="AF18" s="225">
        <f>IF($U18="Esmeraldas",IF(AD18&gt;1000,IF(AE18=0,AD18,AE18)/AC18*1.1,((X18*S18*(IF(AE18=0,AD18,AE18)/100))+IF(Y18&lt;X18,0,(Y18-X18)*S18*IF(AE18=0,AD18,AE18)/100*T18))/AC18*1.1),IF(AD18&gt;1000,IF(AE18=0,AD18,AE18)/AC18,((X18*S18*(IF(AE18=0,AD18,AE18)/100))+IF(Y18&lt;X18,0,(Y18-X18)*S18*IF(AE18=0,AD18,AE18)/100*T18))/AC18))</f>
        <v>1.8102</v>
      </c>
      <c r="AG18" s="226">
        <v>2</v>
      </c>
      <c r="AH18" s="214">
        <f>IF(INDEX(Index,MATCH(AA18,TVM_PortList,0),MATCH("Type",Control!$Q$3:$U$3,0))="BL",INDEX(Index,MATCH(AA18,TVM_PortList,0),MATCH("Payment",Control!$Q$3:$U$3,0))-INDEX(Index,MATCH(U18,TVM_PortList,0),MATCH("Payment",Control!$Q$3:$U$3,0)),AY18+INDEX(Index,MATCH(AA18,TVM_PortList,0),MATCH("Payment",Control!$Q$3:$U$3,0))-INDEX(Index,MATCH(U18,TVM_PortList,0),MATCH("Payment",Control!$Q$3:$U$3,0)))</f>
        <v>15</v>
      </c>
      <c r="AI18" s="227">
        <f>AG18*VLOOKUP($Z18,$BH$7:$BJ$11,3,FALSE)/$AC18</f>
        <v>7.8E-2</v>
      </c>
      <c r="AJ18" s="227">
        <f>IF(AH18&lt;0,0,$AH18*$BF$9)</f>
        <v>7.0273972602739723E-2</v>
      </c>
      <c r="AK18" s="227">
        <f>INDEX(Lightering,MATCH($U18,Control!$AB$3:$AB$29,0),MATCH(CASTILLA!$Z18,Control!$AB$3:$AF$3,0))*($AC18/$BF$16)*$BJ$13/$AC18</f>
        <v>0</v>
      </c>
      <c r="AL18" s="227">
        <f>IF(H18="Corpus Christi",$BF$8,0)</f>
        <v>0</v>
      </c>
      <c r="AM18" s="227">
        <v>0</v>
      </c>
      <c r="AN18" s="227">
        <f>$BF$10</f>
        <v>0.01</v>
      </c>
      <c r="AO18" s="227">
        <f>$BF$11</f>
        <v>0.01</v>
      </c>
      <c r="AP18" s="227">
        <f>IF(INDEX(Control!$Q$3:$S$62,MATCH($AA18,Control!$Q$3:$Q$62,0),MATCH(AP$6,Control!$Q$3:$S$3,0))=1,$BF$12*$BG$12,0)</f>
        <v>0.1</v>
      </c>
      <c r="AQ18" s="227" t="e">
        <f>IF(INDEX(Control!$Q$3:$S$62,MATCH($AA18,Control!$Q$3:$Q$62,0),MATCH(AQ$6,Control!$Q$3:$S$3,0))=1,$BF$13/$AC18,0)</f>
        <v>#N/A</v>
      </c>
      <c r="AR18" s="227">
        <f>$BF$14</f>
        <v>0</v>
      </c>
      <c r="AS18" s="227">
        <f>IF(AND(K18="Chiriqui Grande",U18="Puerto Armuelles"),$BI$16,0)</f>
        <v>0</v>
      </c>
      <c r="AT18" s="225" t="e">
        <f t="shared" si="26"/>
        <v>#N/A</v>
      </c>
      <c r="AU18" s="225" t="e">
        <f>+Q18+AF18+AT18</f>
        <v>#N/A</v>
      </c>
      <c r="AV18" s="225">
        <f>IF(MONTH(BB18)-MONTH(B18)=1,$AV$3,IF(MONTH(BB18)-MONTH(B18)=0,0,$AV$3+$AW$3))</f>
        <v>0</v>
      </c>
      <c r="AW18" s="228" t="e">
        <f>$M$3+AU18+AV18</f>
        <v>#N/A</v>
      </c>
      <c r="AX18" s="220"/>
      <c r="AY18" s="229">
        <f>INDEX('[1]Transit Time'!$A:$DC,MATCH(H18,'[1]Transit Time'!$A:$A,0),MATCH(K18,'[1]Transit Time'!$A$1:$DC$1,0))+INDEX('[1]Transit Time'!$A:$DC,MATCH(K18,'[1]Transit Time'!$A:$A,0),MATCH(U18,'[1]Transit Time'!$A$1:$DC$1,0))+INDEX('[1]Transit Time'!$A:$DC,MATCH(U18,'[1]Transit Time'!$A:$A,0),MATCH(AA18,'[1]Transit Time'!$A$1:$DC$1,0))</f>
        <v>5</v>
      </c>
      <c r="AZ18" s="220"/>
      <c r="BA18" s="230">
        <f>IF(ISBLANK(B18),"",B18+$AY18)</f>
        <v>44659</v>
      </c>
      <c r="BB18" s="230">
        <f>IFERROR(IF(ISBLANK(C18),"",C18+$AY18),"")</f>
        <v>44661</v>
      </c>
      <c r="BD18" s="133" t="s">
        <v>283</v>
      </c>
      <c r="BK18" s="34"/>
    </row>
    <row r="19" spans="1:67" ht="19.5" customHeight="1" thickBot="1" x14ac:dyDescent="0.5">
      <c r="B19"/>
      <c r="C19"/>
      <c r="E19" s="1064" t="str">
        <f>E5</f>
        <v>COVENAS-PTP</v>
      </c>
      <c r="F19" s="1065"/>
      <c r="G19" s="1065"/>
      <c r="H19" s="1065"/>
      <c r="I19" s="1065"/>
      <c r="J19" s="1065"/>
      <c r="K19" s="1065"/>
      <c r="L19" s="1065"/>
      <c r="M19" s="1065"/>
      <c r="N19" s="1065"/>
      <c r="O19" s="1065"/>
      <c r="P19" s="1065"/>
      <c r="Q19" s="1065"/>
      <c r="R19" s="2"/>
      <c r="S19" s="9"/>
      <c r="T19" s="9"/>
      <c r="U19" s="9"/>
      <c r="V19" s="9"/>
      <c r="W19" s="9"/>
      <c r="X19" s="9"/>
      <c r="Y19" s="9"/>
      <c r="Z19" s="1064" t="s">
        <v>280</v>
      </c>
      <c r="AA19" s="1065"/>
      <c r="AB19" s="1065"/>
      <c r="AC19" s="1065"/>
      <c r="AD19" s="1065"/>
      <c r="AE19" s="1065"/>
      <c r="AF19" s="1065"/>
      <c r="AG19" s="1065"/>
      <c r="AH19" s="1065"/>
      <c r="AI19" s="1065"/>
      <c r="AJ19" s="1065"/>
      <c r="AK19" s="1065"/>
      <c r="AL19" s="1065"/>
      <c r="AM19" s="1065"/>
      <c r="AN19" s="1065"/>
      <c r="AO19" s="1065"/>
      <c r="AP19" s="1065"/>
      <c r="AQ19" s="1065"/>
      <c r="AR19" s="1065"/>
      <c r="AS19" s="1065"/>
      <c r="AT19" s="1065"/>
      <c r="AU19" s="1065"/>
      <c r="AV19" s="1065"/>
      <c r="AW19" s="1066"/>
      <c r="AY19"/>
      <c r="BA19"/>
      <c r="BB19"/>
      <c r="BD19" s="133" t="s">
        <v>148</v>
      </c>
      <c r="BE19" s="2">
        <v>2.85</v>
      </c>
      <c r="BF19" s="268">
        <f>$BE$19*$BF$12/365/100</f>
        <v>3.9041095890410961E-3</v>
      </c>
    </row>
    <row r="20" spans="1:67" ht="29.5" customHeight="1" x14ac:dyDescent="0.35">
      <c r="B20" s="1005" t="s">
        <v>167</v>
      </c>
      <c r="C20" s="1005"/>
      <c r="E20" s="120" t="s">
        <v>276</v>
      </c>
      <c r="F20" s="152" t="s">
        <v>172</v>
      </c>
      <c r="G20" s="152" t="s">
        <v>2</v>
      </c>
      <c r="H20" s="152" t="s">
        <v>173</v>
      </c>
      <c r="I20" s="152" t="s">
        <v>174</v>
      </c>
      <c r="J20" s="125" t="s">
        <v>175</v>
      </c>
      <c r="K20" s="152" t="s">
        <v>177</v>
      </c>
      <c r="L20" s="152" t="s">
        <v>178</v>
      </c>
      <c r="M20" s="122" t="s">
        <v>176</v>
      </c>
      <c r="N20" s="120" t="s">
        <v>200</v>
      </c>
      <c r="O20" s="120" t="s">
        <v>277</v>
      </c>
      <c r="P20" s="121"/>
      <c r="Q20" s="123" t="s">
        <v>278</v>
      </c>
      <c r="R20" s="2"/>
      <c r="S20" s="120" t="s">
        <v>172</v>
      </c>
      <c r="T20" s="120" t="e">
        <f>INDEX(Control!$E$17:$J$21,MATCH(Z20,Control!$E$17:$E$21,0),MATCH(U20,Control!$E$17:$J$17,0))</f>
        <v>#N/A</v>
      </c>
      <c r="U20" s="120" t="s">
        <v>173</v>
      </c>
      <c r="V20" s="120" t="s">
        <v>167</v>
      </c>
      <c r="W20" s="120"/>
      <c r="X20" s="152" t="str">
        <f>$X$6</f>
        <v>Vessel MT</v>
      </c>
      <c r="Y20" s="120" t="s">
        <v>175</v>
      </c>
      <c r="Z20" s="120" t="s">
        <v>176</v>
      </c>
      <c r="AA20" s="120" t="s">
        <v>177</v>
      </c>
      <c r="AB20" s="120" t="s">
        <v>178</v>
      </c>
      <c r="AC20" s="120" t="s">
        <v>200</v>
      </c>
      <c r="AD20" s="146" t="s">
        <v>201</v>
      </c>
      <c r="AE20" s="128" t="s">
        <v>202</v>
      </c>
      <c r="AF20" s="150" t="s">
        <v>182</v>
      </c>
      <c r="AG20" s="136" t="s">
        <v>137</v>
      </c>
      <c r="AH20" s="146" t="s">
        <v>281</v>
      </c>
      <c r="AI20" s="136" t="s">
        <v>184</v>
      </c>
      <c r="AJ20" s="136" t="s">
        <v>140</v>
      </c>
      <c r="AK20" s="136" t="str">
        <f>AK15</f>
        <v>STS</v>
      </c>
      <c r="AL20" s="136" t="s">
        <v>186</v>
      </c>
      <c r="AM20" s="136" t="s">
        <v>187</v>
      </c>
      <c r="AN20" s="136" t="s">
        <v>141</v>
      </c>
      <c r="AO20" s="136" t="s">
        <v>188</v>
      </c>
      <c r="AP20" s="136" t="s">
        <v>17</v>
      </c>
      <c r="AQ20" s="136" t="s">
        <v>207</v>
      </c>
      <c r="AR20" s="136" t="s">
        <v>189</v>
      </c>
      <c r="AS20" s="136" t="s">
        <v>152</v>
      </c>
      <c r="AT20" s="150" t="s">
        <v>208</v>
      </c>
      <c r="AU20" s="150" t="s">
        <v>209</v>
      </c>
      <c r="AV20" s="150" t="s">
        <v>210</v>
      </c>
      <c r="AW20" s="137" t="s">
        <v>211</v>
      </c>
      <c r="AY20" s="137" t="s">
        <v>195</v>
      </c>
      <c r="BA20" s="1011" t="s">
        <v>196</v>
      </c>
      <c r="BB20" s="1011"/>
      <c r="BD20" s="133" t="s">
        <v>151</v>
      </c>
      <c r="BE20" s="2">
        <f>BE19*$BE$21</f>
        <v>3.42</v>
      </c>
      <c r="BF20" s="268">
        <f>$BE$20*$BF$12/365/100</f>
        <v>4.6849315068493149E-3</v>
      </c>
      <c r="BL20" s="132"/>
      <c r="BM20" s="127"/>
      <c r="BN20" s="132"/>
      <c r="BO20" s="132"/>
    </row>
    <row r="21" spans="1:67" x14ac:dyDescent="0.35">
      <c r="B21" s="163">
        <f t="shared" si="23"/>
        <v>44654</v>
      </c>
      <c r="C21" s="163">
        <f t="shared" si="24"/>
        <v>44656</v>
      </c>
      <c r="E21" s="8"/>
      <c r="F21" s="138">
        <f>INDEX('[2]Flat Rates 2023'!$A:$DB,MATCH(H21,'[2]Flat Rates 2023'!$A:$A,0),MATCH(K21,'[2]Flat Rates 2023'!$A$1:$DB$1,0))</f>
        <v>3.74</v>
      </c>
      <c r="G21" s="138">
        <f>INDEX(Control!$E$17:$J$21,MATCH(M21,Control!$E$17:$E$21,0),MATCH(H21,Control!$E$17:$J$17,0))</f>
        <v>0</v>
      </c>
      <c r="H21" s="138" t="s">
        <v>62</v>
      </c>
      <c r="I21" s="116">
        <f>INDEX(Vessel_Minimum_MT,MATCH(M21,Control!$E$11:$E$15,0),MATCH(H21,Control!$E$11:$J$11,0))</f>
        <v>70000</v>
      </c>
      <c r="J21" s="116">
        <f>N21/$BF$15</f>
        <v>90096.96796338672</v>
      </c>
      <c r="K21" s="142" t="s">
        <v>55</v>
      </c>
      <c r="L21" s="138" t="str">
        <f t="shared" ref="L21:L22" si="27">IF(K21=H21,"",CONCATENATE(CONCATENATE(VLOOKUP(H21,Zones,2,FALSE),"/",VLOOKUP(K21,Zones,2,FALSE))))</f>
        <v>CARIBS/CARIBS</v>
      </c>
      <c r="M21" s="147" t="s">
        <v>23</v>
      </c>
      <c r="N21" s="141">
        <v>700000</v>
      </c>
      <c r="O21" s="17">
        <v>180</v>
      </c>
      <c r="P21" s="18">
        <v>80</v>
      </c>
      <c r="Q21" s="148">
        <f t="shared" ref="Q21:Q22" si="28">IF($H21="Esmeraldas",IF(O21&gt;1000,IF(P21=0,O21,P21)/N21*1.1,((I21*F21*(IF(P21=0,O21,P21)/100))+IF(J21&lt;I21,0,(J21-I21)*F21*IF(P21=0,O21,P21)/100*G21))/N21*1.1),IF(O21&gt;1000,IF(P21=0,O21,P21)/N21,((I21*F21*(IF(P21=0,O21,P21)/100))+IF(J21&lt;I21,0,(J21-I21)*F21*IF(P21=0,O21,P21)/100*G21)))/N21)</f>
        <v>0.29920000000000002</v>
      </c>
      <c r="R21" s="2"/>
      <c r="S21" s="138">
        <f>INDEX('[2]Flat Rates 2023'!$A:$DB,MATCH(U21,'[2]Flat Rates 2023'!$A:$A,0),MATCH(AA21,'[2]Flat Rates 2023'!$A$1:$DB$1,0))</f>
        <v>25.45</v>
      </c>
      <c r="T21" s="138">
        <f>INDEX(Control!$E$17:$J$21,MATCH(Z21,Control!$E$17:$E$21,0),MATCH(U21,Control!$E$17:$J$17,0))</f>
        <v>0.5</v>
      </c>
      <c r="U21" s="138" t="s">
        <v>63</v>
      </c>
      <c r="V21" s="139">
        <v>43430</v>
      </c>
      <c r="W21" s="139">
        <f t="shared" ref="W21:W22" si="29">+V21+4</f>
        <v>43434</v>
      </c>
      <c r="X21" s="116">
        <f>INDEX(Vessel_Minimum_MT,MATCH(Z21,Control!$E$11:$E$15,0),MATCH(U21,Control!$E$11:$J$11,0))</f>
        <v>145000</v>
      </c>
      <c r="Y21" s="140">
        <f t="shared" ref="Y21:Y22" si="30">AC21/$BF$15</f>
        <v>135145.45194508007</v>
      </c>
      <c r="Z21" s="147" t="s">
        <v>24</v>
      </c>
      <c r="AA21" s="164" t="s">
        <v>100</v>
      </c>
      <c r="AB21" s="142" t="str">
        <f t="shared" ref="AB21:AB22" si="31">IF(AA21=U21,"",CONCATENATE(CONCATENATE(VLOOKUP(U21,Zones,2,FALSE),"/",VLOOKUP(AA21,Zones,2,FALSE))))</f>
        <v>Panama WC/KOREA</v>
      </c>
      <c r="AC21" s="141">
        <v>1050000</v>
      </c>
      <c r="AD21" s="141">
        <v>3750000</v>
      </c>
      <c r="AE21" s="151"/>
      <c r="AF21" s="148">
        <f>IF($U21="Esmeraldas",IF(AD21&gt;1000,IF(AE21=0,AD21,AE21)/AC21*1.1,((X21*S21*(IF(AE21=0,AD21,AE21)/100))+IF(Y21&lt;X21,0,(Y21-X21)*S21*IF(AE21=0,AD21,AE21)/100*T21))/AC21*1.1),IF(AD21&gt;1000,IF(AE21=0,AD21,AE21)/AC21,((X21*S21*(IF(AE21=0,AD21,AE21)/100))+IF(Y21&lt;X21,0,(Y21-X21)*S21*IF(AE21=0,AD21,AE21)/100*T21))/AC21))</f>
        <v>3.5714285714285716</v>
      </c>
      <c r="AG21" s="144">
        <v>2</v>
      </c>
      <c r="AH21" s="155">
        <f>INDEX('[1]Transit Time'!$A:$DC,MATCH(H21,'[1]Transit Time'!$A:$A,0),MATCH(K21,'[1]Transit Time'!$A$1:$DC$1,0))+INDEX('[1]Transit Time'!$A:$DC,MATCH(K21,'[1]Transit Time'!$A:$A,0),MATCH(U21,'[1]Transit Time'!$A$1:$DC$1,0))+INDEX('[1]Transit Time'!$A:$DC,MATCH(U21,'[1]Transit Time'!$A:$A,0),MATCH(AA21,'[1]Transit Time'!$A$1:$DC$1,0))-VLOOKUP($H21,Port_Info,4,FALSE)+VLOOKUP($AA21,Port_Info,4,FALSE)</f>
        <v>37.5</v>
      </c>
      <c r="AI21" s="143">
        <f>AG21*VLOOKUP($Z21,$BH$7:$BJ$11,3,FALSE)/$AC21</f>
        <v>4.7619047619047616E-2</v>
      </c>
      <c r="AJ21" s="143">
        <f t="shared" ref="AJ21:AJ22" si="32">IF(AH21&lt;0,0,$AH21*$BF$9)</f>
        <v>0.1756849315068493</v>
      </c>
      <c r="AK21" s="143"/>
      <c r="AL21" s="143">
        <f>IF(H21="Corpus Christi",$BF$8,0)</f>
        <v>0</v>
      </c>
      <c r="AM21" s="143">
        <v>0</v>
      </c>
      <c r="AN21" s="143">
        <f t="shared" ref="AN21:AN22" si="33">$BF$10</f>
        <v>0.01</v>
      </c>
      <c r="AO21" s="143">
        <f t="shared" ref="AO21:AO22" si="34">$BF$11</f>
        <v>0.01</v>
      </c>
      <c r="AP21" s="143">
        <f>IF(INDEX(Control!$Q$3:$S$62,MATCH($AA21,Control!$Q$3:$Q$62,0),MATCH(AP$6,Control!$Q$3:$S$3,0))=1,$BF$12*$BG$12,0)</f>
        <v>0.1</v>
      </c>
      <c r="AQ21" s="143" t="e">
        <f>IF(INDEX(Control!$Q$3:$S$62,MATCH($AA21,Control!$Q$3:$Q$62,0),MATCH(AQ$6,Control!$Q$3:$S$3,0))=1,$BF$13/$AC21,0)</f>
        <v>#N/A</v>
      </c>
      <c r="AR21" s="143">
        <f t="shared" ref="AR21:AR22" si="35">$BF$14</f>
        <v>0</v>
      </c>
      <c r="AS21" s="143">
        <f>IF(AND(K21="Chiriqui Grande",U21="Puerto Armuelles"),$BI$16,0)</f>
        <v>0.55000000000000004</v>
      </c>
      <c r="AT21" s="149" t="e">
        <f t="shared" ref="AT21:AT22" si="36">SUM(AI21:AS21)</f>
        <v>#N/A</v>
      </c>
      <c r="AU21" s="149" t="e">
        <f>+Q21+AF21+AT21</f>
        <v>#N/A</v>
      </c>
      <c r="AV21" s="149">
        <f>IF(MONTH(BB21)-MONTH(B21)=1,$AV$3,IF(MONTH(BB21)-MONTH(B21)=0,0,$AV$3+$AW$3))</f>
        <v>0.05</v>
      </c>
      <c r="AW21" s="261" t="e">
        <f>$M$3+AU21+AV21</f>
        <v>#N/A</v>
      </c>
      <c r="AY21" s="153">
        <f>INDEX('[1]Transit Time'!$A:$DC,MATCH(H21,'[1]Transit Time'!$A:$A,0),MATCH(K21,'[1]Transit Time'!$A$1:$DC$1,0))+INDEX('[1]Transit Time'!$A:$DC,MATCH(K21,'[1]Transit Time'!$A:$A,0),MATCH(U21,'[1]Transit Time'!$A$1:$DC$1,0))+INDEX('[1]Transit Time'!$A:$DC,MATCH(U21,'[1]Transit Time'!$A:$A,0),MATCH(AA21,'[1]Transit Time'!$A$1:$DC$1,0))</f>
        <v>42.5</v>
      </c>
      <c r="BA21" s="163">
        <f>IF(ISBLANK(B21),"",B21+$AY21)</f>
        <v>44696.5</v>
      </c>
      <c r="BB21" s="163">
        <f>IFERROR(IF(ISBLANK(C21),"",C21+$AY21),"")</f>
        <v>44698.5</v>
      </c>
      <c r="BE21" s="2">
        <v>1.2</v>
      </c>
    </row>
    <row r="22" spans="1:67" s="165" customFormat="1" ht="16" thickBot="1" x14ac:dyDescent="0.4">
      <c r="A22" s="2"/>
      <c r="B22" s="230">
        <f t="shared" si="23"/>
        <v>44654</v>
      </c>
      <c r="C22" s="230">
        <f t="shared" si="24"/>
        <v>44656</v>
      </c>
      <c r="D22" s="210"/>
      <c r="E22" s="211"/>
      <c r="F22" s="212">
        <f>INDEX('[2]Flat Rates 2023'!$A:$DB,MATCH(H22,'[2]Flat Rates 2023'!$A:$A,0),MATCH(K22,'[2]Flat Rates 2023'!$A$1:$DB$1,0))</f>
        <v>3.74</v>
      </c>
      <c r="G22" s="212">
        <f>INDEX(Control!$E$17:$J$21,MATCH(M22,Control!$E$17:$E$21,0),MATCH(H22,Control!$E$17:$J$17,0))</f>
        <v>0</v>
      </c>
      <c r="H22" s="212" t="s">
        <v>62</v>
      </c>
      <c r="I22" s="213">
        <f>INDEX(Vessel_Minimum_MT,MATCH(M22,Control!$E$11:$E$15,0),MATCH(H22,Control!$E$11:$J$11,0))</f>
        <v>70000</v>
      </c>
      <c r="J22" s="214">
        <f>N22/$BF$15</f>
        <v>90096.96796338672</v>
      </c>
      <c r="K22" s="212" t="s">
        <v>55</v>
      </c>
      <c r="L22" s="212" t="str">
        <f t="shared" si="27"/>
        <v>CARIBS/CARIBS</v>
      </c>
      <c r="M22" s="215" t="s">
        <v>23</v>
      </c>
      <c r="N22" s="214">
        <v>700000</v>
      </c>
      <c r="O22" s="217">
        <v>180</v>
      </c>
      <c r="P22" s="218">
        <v>80</v>
      </c>
      <c r="Q22" s="219">
        <f t="shared" si="28"/>
        <v>0.29920000000000002</v>
      </c>
      <c r="R22" s="2"/>
      <c r="S22" s="220">
        <f>INDEX('[2]Flat Rates 2023'!$A:$DB,MATCH(U22,'[2]Flat Rates 2023'!$A:$A,0),MATCH(AA22,'[2]Flat Rates 2023'!$A$1:$DB$1,0))</f>
        <v>25.45</v>
      </c>
      <c r="T22" s="220">
        <f>INDEX(Control!$E$17:$J$21,MATCH(Z22,Control!$E$17:$E$21,0),MATCH(U22,Control!$E$17:$J$17,0))</f>
        <v>0.5</v>
      </c>
      <c r="U22" s="220" t="s">
        <v>63</v>
      </c>
      <c r="V22" s="221">
        <v>43430</v>
      </c>
      <c r="W22" s="221">
        <f t="shared" si="29"/>
        <v>43434</v>
      </c>
      <c r="X22" s="213">
        <f>INDEX(Vessel_Minimum_MT,MATCH(Z22,Control!$E$11:$E$15,0),MATCH(U22,Control!$E$11:$J$11,0))</f>
        <v>270000</v>
      </c>
      <c r="Y22" s="222">
        <f t="shared" si="30"/>
        <v>257419.90846681921</v>
      </c>
      <c r="Z22" s="215" t="s">
        <v>25</v>
      </c>
      <c r="AA22" s="223" t="s">
        <v>100</v>
      </c>
      <c r="AB22" s="212" t="str">
        <f t="shared" si="31"/>
        <v>Panama WC/KOREA</v>
      </c>
      <c r="AC22" s="214">
        <v>2000000</v>
      </c>
      <c r="AD22" s="214">
        <v>1001</v>
      </c>
      <c r="AE22" s="224">
        <v>2800000</v>
      </c>
      <c r="AF22" s="225">
        <f>IF($U22="Esmeraldas",IF(AD22&gt;1000,IF(AE22=0,AD22,AE22)/AC22*1.1,((X22*S22*(IF(AE22=0,AD22,AE22)/100))+IF(Y22&lt;X22,0,(Y22-X22)*S22*IF(AE22=0,AD22,AE22)/100*T22))/AC22*1.1),IF(AD22&gt;1000,IF(AE22=0,AD22,AE22)/AC22,((X22*S22*(IF(AE22=0,AD22,AE22)/100))+IF(Y22&lt;X22,0,(Y22-X22)*S22*IF(AE22=0,AD22,AE22)/100*T22))/AC22))</f>
        <v>1.4</v>
      </c>
      <c r="AG22" s="226">
        <v>2</v>
      </c>
      <c r="AH22" s="214">
        <f>INDEX('[1]Transit Time'!$A:$DC,MATCH(H22,'[1]Transit Time'!$A:$A,0),MATCH(K22,'[1]Transit Time'!$A$1:$DC$1,0))+INDEX('[1]Transit Time'!$A:$DC,MATCH(K22,'[1]Transit Time'!$A:$A,0),MATCH(U22,'[1]Transit Time'!$A$1:$DC$1,0))+INDEX('[1]Transit Time'!$A:$DC,MATCH(U22,'[1]Transit Time'!$A:$A,0),MATCH(AA22,'[1]Transit Time'!$A$1:$DC$1,0))-VLOOKUP($H22,Port_Info,4,FALSE)+VLOOKUP($AA22,Port_Info,4,FALSE)</f>
        <v>37.5</v>
      </c>
      <c r="AI22" s="227">
        <f>AG22*VLOOKUP($Z22,$BH$7:$BJ$11,3,FALSE)/$AC22</f>
        <v>3.4000000000000002E-2</v>
      </c>
      <c r="AJ22" s="227">
        <f t="shared" si="32"/>
        <v>0.1756849315068493</v>
      </c>
      <c r="AK22" s="227"/>
      <c r="AL22" s="227">
        <f>IF(H22="Corpus Christi",$BF$8,0)</f>
        <v>0</v>
      </c>
      <c r="AM22" s="227">
        <v>0</v>
      </c>
      <c r="AN22" s="227">
        <f t="shared" si="33"/>
        <v>0.01</v>
      </c>
      <c r="AO22" s="227">
        <f t="shared" si="34"/>
        <v>0.01</v>
      </c>
      <c r="AP22" s="227">
        <f>IF(INDEX(Control!$Q$3:$S$62,MATCH($AA22,Control!$Q$3:$Q$62,0),MATCH(AP$6,Control!$Q$3:$S$3,0))=1,$BF$12*$BG$12,0)</f>
        <v>0.1</v>
      </c>
      <c r="AQ22" s="227" t="e">
        <f>IF(INDEX(Control!$Q$3:$S$62,MATCH($AA22,Control!$Q$3:$Q$62,0),MATCH(AQ$6,Control!$Q$3:$S$3,0))=1,$BF$13/$AC22,0)</f>
        <v>#N/A</v>
      </c>
      <c r="AR22" s="227">
        <f t="shared" si="35"/>
        <v>0</v>
      </c>
      <c r="AS22" s="227">
        <f>IF(AND(K22="Chiriqui Grande",U22="Puerto Armuelles"),$BI$16,0)</f>
        <v>0.55000000000000004</v>
      </c>
      <c r="AT22" s="225" t="e">
        <f t="shared" si="36"/>
        <v>#N/A</v>
      </c>
      <c r="AU22" s="225" t="e">
        <f>+Q22+AF22+AT22</f>
        <v>#N/A</v>
      </c>
      <c r="AV22" s="225">
        <f>IF(MONTH(BB22)-MONTH(B22)=1,$AV$3,IF(MONTH(BB22)-MONTH(B22)=0,0,$AV$3+$AW$3))</f>
        <v>0.05</v>
      </c>
      <c r="AW22" s="135" t="e">
        <f t="shared" ref="AW22" si="37">$M$3+AU22+AV22</f>
        <v>#N/A</v>
      </c>
      <c r="AX22" s="220"/>
      <c r="AY22" s="229">
        <f>INDEX('[1]Transit Time'!$A:$DC,MATCH(H22,'[1]Transit Time'!$A:$A,0),MATCH(K22,'[1]Transit Time'!$A$1:$DC$1,0))+INDEX('[1]Transit Time'!$A:$DC,MATCH(K22,'[1]Transit Time'!$A:$A,0),MATCH(U22,'[1]Transit Time'!$A$1:$DC$1,0))+INDEX('[1]Transit Time'!$A:$DC,MATCH(U22,'[1]Transit Time'!$A:$A,0),MATCH(AA22,'[1]Transit Time'!$A$1:$DC$1,0))</f>
        <v>42.5</v>
      </c>
      <c r="AZ22" s="220"/>
      <c r="BA22" s="230">
        <f>IF(ISBLANK(B22),"",B22+$AY22)</f>
        <v>44696.5</v>
      </c>
      <c r="BB22" s="230">
        <f>IFERROR(IF(ISBLANK(C22),"",C22+$AY22),"")</f>
        <v>44698.5</v>
      </c>
      <c r="BC22"/>
    </row>
    <row r="23" spans="1:67" ht="17.25" customHeight="1" thickBot="1" x14ac:dyDescent="0.5">
      <c r="B23"/>
      <c r="C23"/>
      <c r="E23" s="1064"/>
      <c r="F23" s="1065"/>
      <c r="G23" s="1065"/>
      <c r="H23" s="1065"/>
      <c r="I23" s="1065"/>
      <c r="J23" s="1065"/>
      <c r="K23" s="1065"/>
      <c r="L23" s="1065"/>
      <c r="M23" s="1065"/>
      <c r="N23" s="1065"/>
      <c r="O23" s="1065"/>
      <c r="P23" s="1065"/>
      <c r="Q23" s="1065"/>
      <c r="R23" s="2"/>
      <c r="S23" s="9"/>
      <c r="T23" s="9"/>
      <c r="U23" s="9"/>
      <c r="V23" s="9"/>
      <c r="W23" s="9"/>
      <c r="X23" s="129"/>
      <c r="Y23" s="9"/>
      <c r="Z23" s="1064" t="s">
        <v>356</v>
      </c>
      <c r="AA23" s="1065"/>
      <c r="AB23" s="1065"/>
      <c r="AC23" s="1065"/>
      <c r="AD23" s="1065"/>
      <c r="AE23" s="1065"/>
      <c r="AF23" s="1065"/>
      <c r="AG23" s="1065"/>
      <c r="AH23" s="1065"/>
      <c r="AI23" s="1065"/>
      <c r="AJ23" s="1065"/>
      <c r="AK23" s="1065"/>
      <c r="AL23" s="1065"/>
      <c r="AM23" s="1065"/>
      <c r="AN23" s="1065"/>
      <c r="AO23" s="1065"/>
      <c r="AP23" s="1065"/>
      <c r="AQ23" s="1065"/>
      <c r="AR23" s="1065"/>
      <c r="AS23" s="1065"/>
      <c r="AT23" s="1065"/>
      <c r="AU23" s="1065"/>
      <c r="AV23" s="1065"/>
      <c r="AW23" s="1066"/>
      <c r="AY23"/>
      <c r="BA23"/>
      <c r="BB23"/>
    </row>
    <row r="24" spans="1:67" ht="29.5" customHeight="1" x14ac:dyDescent="0.35">
      <c r="B24" s="1005" t="s">
        <v>167</v>
      </c>
      <c r="C24" s="1005"/>
      <c r="E24" s="120" t="s">
        <v>276</v>
      </c>
      <c r="F24" s="152" t="s">
        <v>172</v>
      </c>
      <c r="G24" s="152" t="s">
        <v>2</v>
      </c>
      <c r="H24" s="152" t="s">
        <v>173</v>
      </c>
      <c r="I24" s="152" t="s">
        <v>174</v>
      </c>
      <c r="J24" s="125" t="s">
        <v>175</v>
      </c>
      <c r="K24" s="152" t="s">
        <v>177</v>
      </c>
      <c r="L24" s="152" t="s">
        <v>178</v>
      </c>
      <c r="M24" s="122" t="s">
        <v>176</v>
      </c>
      <c r="N24" s="120" t="s">
        <v>200</v>
      </c>
      <c r="O24" s="120" t="s">
        <v>277</v>
      </c>
      <c r="P24" s="121" t="s">
        <v>202</v>
      </c>
      <c r="Q24" s="123" t="s">
        <v>278</v>
      </c>
      <c r="R24" s="2"/>
      <c r="S24" s="120" t="s">
        <v>172</v>
      </c>
      <c r="T24" s="120" t="e">
        <f>INDEX(Control!$E$17:$J$21,MATCH(Z24,Control!$E$17:$E$21,0),MATCH(U24,Control!$E$17:$J$17,0))</f>
        <v>#N/A</v>
      </c>
      <c r="U24" s="120" t="s">
        <v>173</v>
      </c>
      <c r="V24" s="120" t="s">
        <v>167</v>
      </c>
      <c r="W24" s="120"/>
      <c r="X24" s="152" t="str">
        <f>$X$6</f>
        <v>Vessel MT</v>
      </c>
      <c r="Y24" s="120" t="s">
        <v>175</v>
      </c>
      <c r="Z24" s="120" t="s">
        <v>176</v>
      </c>
      <c r="AA24" s="120" t="s">
        <v>177</v>
      </c>
      <c r="AB24" s="120" t="s">
        <v>178</v>
      </c>
      <c r="AC24" s="120" t="s">
        <v>200</v>
      </c>
      <c r="AD24" s="146" t="s">
        <v>201</v>
      </c>
      <c r="AE24" s="128" t="s">
        <v>202</v>
      </c>
      <c r="AF24" s="150" t="s">
        <v>182</v>
      </c>
      <c r="AG24" s="136" t="s">
        <v>137</v>
      </c>
      <c r="AH24" s="146" t="s">
        <v>281</v>
      </c>
      <c r="AI24" s="136" t="s">
        <v>184</v>
      </c>
      <c r="AJ24" s="136" t="s">
        <v>140</v>
      </c>
      <c r="AK24" s="136" t="str">
        <f>AK20</f>
        <v>STS</v>
      </c>
      <c r="AL24" s="136" t="s">
        <v>186</v>
      </c>
      <c r="AM24" s="136" t="s">
        <v>187</v>
      </c>
      <c r="AN24" s="136" t="s">
        <v>141</v>
      </c>
      <c r="AO24" s="136" t="s">
        <v>188</v>
      </c>
      <c r="AP24" s="136" t="s">
        <v>17</v>
      </c>
      <c r="AQ24" s="136" t="s">
        <v>207</v>
      </c>
      <c r="AR24" s="136" t="s">
        <v>189</v>
      </c>
      <c r="AS24" s="136" t="s">
        <v>152</v>
      </c>
      <c r="AT24" s="150" t="s">
        <v>208</v>
      </c>
      <c r="AU24" s="150" t="s">
        <v>209</v>
      </c>
      <c r="AV24" s="150" t="s">
        <v>210</v>
      </c>
      <c r="AW24" s="137" t="s">
        <v>211</v>
      </c>
      <c r="AY24" s="137" t="s">
        <v>195</v>
      </c>
      <c r="BA24" s="1011" t="s">
        <v>196</v>
      </c>
      <c r="BB24" s="1011"/>
      <c r="BD24" s="118"/>
      <c r="BL24" s="132"/>
      <c r="BM24" s="127"/>
      <c r="BN24" s="132"/>
      <c r="BO24" s="132"/>
    </row>
    <row r="25" spans="1:67" x14ac:dyDescent="0.35">
      <c r="B25" s="163">
        <f t="shared" ref="B25:B34" si="38">+$B$7</f>
        <v>44654</v>
      </c>
      <c r="C25" s="163">
        <f t="shared" ref="C25:C34" si="39">IF(ISBLANK(B25),"",B25+2)</f>
        <v>44656</v>
      </c>
      <c r="E25" s="170"/>
      <c r="F25" s="171">
        <f>IF(H25=K25,0,INDEX('[2]Flat Rates 2023'!$A:$DB,MATCH(H25,'[2]Flat Rates 2023'!$A:$A,0),MATCH(K25,'[2]Flat Rates 2023'!$A$1:$DB$1,0)))</f>
        <v>0</v>
      </c>
      <c r="G25" s="171">
        <f>INDEX(Control!$E$17:$J$21,MATCH(M25,Control!$E$17:$E$21,0),MATCH(H25,Control!$E$17:$J$17,0))</f>
        <v>0</v>
      </c>
      <c r="H25" s="171" t="s">
        <v>62</v>
      </c>
      <c r="I25" s="172">
        <f>INDEX(Vessel_Minimum_MT,MATCH(M25,Control!$E$11:$E$15,0),MATCH(H25,Control!$E$11:$J$11,0))</f>
        <v>70000</v>
      </c>
      <c r="J25" s="172">
        <f t="shared" ref="J25:J34" si="40">N25/$BF$15</f>
        <v>90096.96796338672</v>
      </c>
      <c r="K25" s="173" t="s">
        <v>45</v>
      </c>
      <c r="L25" s="171" t="str">
        <f t="shared" ref="L25:L34" si="41">IF(K25=H25,"",CONCATENATE(CONCATENATE(VLOOKUP(H25,Zones,2,FALSE),"/",VLOOKUP(K25,Zones,2,FALSE))))</f>
        <v>CARIBS/USGC</v>
      </c>
      <c r="M25" s="174" t="s">
        <v>23</v>
      </c>
      <c r="N25" s="175">
        <v>700000</v>
      </c>
      <c r="O25" s="176">
        <v>175</v>
      </c>
      <c r="P25" s="177">
        <v>0</v>
      </c>
      <c r="Q25" s="178">
        <f t="shared" ref="Q25:Q34" si="42">IF($H25="Esmeraldas",IF(O25&gt;1000,IF(P25=0,O25,P25)/N25*1.1,((I25*F25*(IF(P25=0,O25,P25)/100))+IF(J25&lt;I25,0,(J25-I25)*F25*IF(P25=0,O25,P25)/100*G25))/N25*1.1),IF(O25&gt;1000,IF(P25=0,O25,P25)/N25,((I25*F25*(IF(P25=0,O25,P25)/100))+IF(J25&lt;I25,0,(J25-I25)*F25*IF(P25=0,O25,P25)/100*G25)))/N25)</f>
        <v>0</v>
      </c>
      <c r="R25" s="2"/>
      <c r="S25" s="138">
        <f>INDEX('[2]Flat Rates 2023'!$A:$DB,MATCH(U25,'[2]Flat Rates 2023'!$A:$A,0),MATCH(AA25,'[2]Flat Rates 2023'!$A$1:$DB$1,0))</f>
        <v>0</v>
      </c>
      <c r="T25" s="138">
        <f>INDEX(Control!$E$17:$J$21,MATCH(Z25,Control!$E$17:$E$21,0),MATCH(U25,Control!$E$17:$J$17,0))</f>
        <v>0.5</v>
      </c>
      <c r="U25" s="138" t="s">
        <v>62</v>
      </c>
      <c r="V25" s="139">
        <v>43430</v>
      </c>
      <c r="W25" s="139">
        <f t="shared" ref="W25:W34" si="43">+V25+4</f>
        <v>43434</v>
      </c>
      <c r="X25" s="116">
        <f>INDEX(Vessel_Minimum_MT,MATCH(Z25,Control!$E$11:$E$15,0),MATCH(U25,Control!$E$11:$J$11,0))</f>
        <v>150000</v>
      </c>
      <c r="Y25" s="140">
        <f t="shared" ref="Y25:Y34" si="44">AC25/$BF$15</f>
        <v>122274.45652173912</v>
      </c>
      <c r="Z25" s="147" t="s">
        <v>24</v>
      </c>
      <c r="AA25" s="164" t="s">
        <v>100</v>
      </c>
      <c r="AB25" s="142" t="str">
        <f t="shared" ref="AB25:AB34" si="45">IF(AA25=U25,"",CONCATENATE(CONCATENATE(VLOOKUP(U25,Zones,2,FALSE),"/",VLOOKUP(AA25,Zones,2,FALSE))))</f>
        <v>CARIBS/KOREA</v>
      </c>
      <c r="AC25" s="141">
        <v>950000</v>
      </c>
      <c r="AD25" s="141">
        <v>1001</v>
      </c>
      <c r="AE25" s="151">
        <f>AE29</f>
        <v>2900000</v>
      </c>
      <c r="AF25" s="148">
        <f t="shared" ref="AF25:AF34" si="46">IF($U25="Esmeraldas",IF(AD25&gt;1000,IF(AE25=0,AD25,AE25)/AC25*1.1,((X25*S25*(IF(AE25=0,AD25,AE25)/100))+IF(Y25&lt;X25,0,(Y25-X25)*S25*IF(AE25=0,AD25,AE25)/100*T25))/AC25*1.1),IF(AD25&gt;1000,IF(AE25=0,AD25,AE25)/AC25,((X25*S25*(IF(AE25=0,AD25,AE25)/100))+IF(Y25&lt;X25,0,(Y25-X25)*S25*IF(AE25=0,AD25,AE25)/100*T25))/AC25))</f>
        <v>3.0526315789473686</v>
      </c>
      <c r="AG25" s="144">
        <v>10</v>
      </c>
      <c r="AH25" s="155">
        <f>IF(INDEX(Index,MATCH(AA25,TVM_PortList,0),MATCH("Type",Control!$Q$3:$U$3,0))="BL",INDEX(Index,MATCH(AA25,TVM_PortList,0),MATCH("Payment",Control!$Q$3:$U$3,0))-INDEX(Index,MATCH(U25,TVM_PortList,0),MATCH("Payment",Control!$Q$3:$U$3,0)),AY25+INDEX(Index,MATCH(AA25,TVM_PortList,0),MATCH("Payment",Control!$Q$3:$U$3,0))-INDEX(Index,MATCH(U25,TVM_PortList,0),MATCH("Payment",Control!$Q$3:$U$3,0)))</f>
        <v>43</v>
      </c>
      <c r="AI25" s="143">
        <f t="shared" ref="AI25:AI34" si="47">AG25*VLOOKUP($Z25,$BH$7:$BJ$11,3,FALSE)/$AC25</f>
        <v>0.26315789473684209</v>
      </c>
      <c r="AJ25" s="143">
        <f t="shared" ref="AJ25:AJ34" si="48">IF(AH25&lt;0,0,$AH25*$BF$9)</f>
        <v>0.20145205479452055</v>
      </c>
      <c r="AK25" s="143">
        <f t="shared" ref="AK25" si="49">IF(((AC25-VLOOKUP(Z25,$BL$8:$BM$12,2,FALSE))/$BF$16)&lt;=0,0,ROUNDUP(((AC25-VLOOKUP(Z25,$BL$8:$BM$12,2,FALSE))/$BF$16),0)*$BJ$13/AC25)</f>
        <v>0</v>
      </c>
      <c r="AL25" s="143">
        <f t="shared" ref="AL25:AL34" si="50">IF(H25="Corpus Christi",$BF$8,0)</f>
        <v>0</v>
      </c>
      <c r="AM25" s="143">
        <v>0</v>
      </c>
      <c r="AN25" s="143">
        <f t="shared" ref="AN25:AN34" si="51">$BF$10</f>
        <v>0.01</v>
      </c>
      <c r="AO25" s="143">
        <f t="shared" ref="AO25:AO34" si="52">$BF$11</f>
        <v>0.01</v>
      </c>
      <c r="AP25" s="143">
        <f>IF(INDEX(Control!$Q$3:$S$62,MATCH($AA25,Control!$Q$3:$Q$62,0),MATCH(AP$6,Control!$Q$3:$S$3,0))=1,$BF$12*$BG$12,0)</f>
        <v>0.1</v>
      </c>
      <c r="AQ25" s="143" t="e">
        <f>IF(INDEX(Control!$Q$3:$S$62,MATCH($AA25,Control!$Q$3:$Q$62,0),MATCH(AQ$6,Control!$Q$3:$S$3,0))=1,$BF$13/$AC25,0)</f>
        <v>#N/A</v>
      </c>
      <c r="AR25" s="143">
        <f t="shared" ref="AR25:AR34" si="53">$BF$14</f>
        <v>0</v>
      </c>
      <c r="AS25" s="143">
        <f t="shared" ref="AS25:AS34" si="54">IF(AND(K25="Chiriqui Grande",U25="Puerto Armuelles"),$BI$16,0)</f>
        <v>0</v>
      </c>
      <c r="AT25" s="149" t="e">
        <f t="shared" ref="AT25:AT33" si="55">SUM(AI25:AS25)</f>
        <v>#N/A</v>
      </c>
      <c r="AU25" s="149" t="e">
        <f t="shared" ref="AU25:AU34" si="56">+Q25+AF25+AT25</f>
        <v>#N/A</v>
      </c>
      <c r="AV25" s="149">
        <f t="shared" ref="AV25:AV34" si="57">IF(MONTH(BB25)-MONTH(B25)=1,$AV$3,IF(MONTH(BB25)-MONTH(B25)=0,0,$AV$3+$AW$3))</f>
        <v>0.05</v>
      </c>
      <c r="AW25" s="110" t="e">
        <f t="shared" ref="AW25:AW34" si="58">$M$3+AU25+AV25</f>
        <v>#N/A</v>
      </c>
      <c r="AY25" s="153">
        <f>INDEX('[1]Transit Time'!$A:$DC,MATCH(H25,'[1]Transit Time'!$A:$A,0),MATCH(K25,'[1]Transit Time'!$A$1:$DC$1,0))+INDEX('[1]Transit Time'!$A:$DC,MATCH(K25,'[1]Transit Time'!$A:$A,0),MATCH(U25,'[1]Transit Time'!$A$1:$DC$1,0))+INDEX('[1]Transit Time'!$A:$DC,MATCH(U25,'[1]Transit Time'!$A:$A,0),MATCH(AA25,'[1]Transit Time'!$A$1:$DC$1,0))</f>
        <v>48</v>
      </c>
      <c r="BA25" s="163">
        <f t="shared" ref="BA25:BA34" si="59">IF(ISBLANK(B25),"",B25+$AY25)</f>
        <v>44702</v>
      </c>
      <c r="BB25" s="163">
        <f t="shared" ref="BB25:BB34" si="60">IFERROR(IF(ISBLANK(C25),"",C25+$AY25),"")</f>
        <v>44704</v>
      </c>
      <c r="BD25" s="133"/>
      <c r="BE25" s="133"/>
      <c r="BF25" s="154"/>
      <c r="BG25" s="154"/>
    </row>
    <row r="26" spans="1:67" s="165" customFormat="1" x14ac:dyDescent="0.35">
      <c r="A26" s="2"/>
      <c r="B26" s="230">
        <f t="shared" si="38"/>
        <v>44654</v>
      </c>
      <c r="C26" s="230">
        <f t="shared" si="39"/>
        <v>44656</v>
      </c>
      <c r="D26" s="210"/>
      <c r="E26" s="232"/>
      <c r="F26" s="233">
        <f>IF(H26=K26,0,INDEX('[2]Flat Rates 2023'!$A:$DB,MATCH(H26,'[2]Flat Rates 2023'!$A:$A,0),MATCH(K26,'[2]Flat Rates 2023'!$A$1:$DB$1,0)))</f>
        <v>0</v>
      </c>
      <c r="G26" s="233">
        <f>INDEX(Control!$E$17:$J$21,MATCH(M26,Control!$E$17:$E$21,0),MATCH(H26,Control!$E$17:$J$17,0))</f>
        <v>0</v>
      </c>
      <c r="H26" s="233" t="s">
        <v>62</v>
      </c>
      <c r="I26" s="234">
        <f>INDEX(Vessel_Minimum_MT,MATCH(M26,Control!$E$11:$E$15,0),MATCH(H26,Control!$E$11:$J$11,0))</f>
        <v>70000</v>
      </c>
      <c r="J26" s="235">
        <f t="shared" si="40"/>
        <v>90096.96796338672</v>
      </c>
      <c r="K26" s="233" t="s">
        <v>45</v>
      </c>
      <c r="L26" s="233" t="str">
        <f t="shared" si="41"/>
        <v>CARIBS/USGC</v>
      </c>
      <c r="M26" s="236" t="s">
        <v>23</v>
      </c>
      <c r="N26" s="235">
        <v>700000</v>
      </c>
      <c r="O26" s="237">
        <v>175</v>
      </c>
      <c r="P26" s="238">
        <v>0</v>
      </c>
      <c r="Q26" s="239">
        <f t="shared" si="42"/>
        <v>0</v>
      </c>
      <c r="R26" s="2"/>
      <c r="S26" s="220">
        <f>INDEX('[2]Flat Rates 2023'!$A:$DB,MATCH(U26,'[2]Flat Rates 2023'!$A:$A,0),MATCH(AA26,'[2]Flat Rates 2023'!$A$1:$DB$1,0))</f>
        <v>0</v>
      </c>
      <c r="T26" s="220">
        <f>INDEX(Control!$E$17:$J$21,MATCH(Z26,Control!$E$17:$E$21,0),MATCH(U26,Control!$E$17:$J$17,0))</f>
        <v>0.5</v>
      </c>
      <c r="U26" s="220" t="s">
        <v>62</v>
      </c>
      <c r="V26" s="221">
        <v>43430</v>
      </c>
      <c r="W26" s="221">
        <f t="shared" si="43"/>
        <v>43434</v>
      </c>
      <c r="X26" s="213">
        <f>INDEX(Vessel_Minimum_MT,MATCH(Z26,Control!$E$11:$E$15,0),MATCH(U26,Control!$E$11:$J$11,0))</f>
        <v>270000</v>
      </c>
      <c r="Y26" s="222">
        <f t="shared" si="44"/>
        <v>244548.91304347824</v>
      </c>
      <c r="Z26" s="215" t="s">
        <v>25</v>
      </c>
      <c r="AA26" s="223" t="s">
        <v>100</v>
      </c>
      <c r="AB26" s="212" t="str">
        <f t="shared" si="45"/>
        <v>CARIBS/KOREA</v>
      </c>
      <c r="AC26" s="214">
        <v>1900000</v>
      </c>
      <c r="AD26" s="214">
        <f>AD28</f>
        <v>1001</v>
      </c>
      <c r="AE26" s="224">
        <f>AE30</f>
        <v>4600000</v>
      </c>
      <c r="AF26" s="225">
        <f t="shared" si="46"/>
        <v>2.4210526315789473</v>
      </c>
      <c r="AG26" s="226">
        <v>6</v>
      </c>
      <c r="AH26" s="214">
        <f>IF(INDEX(Index,MATCH(AA26,TVM_PortList,0),MATCH("Type",Control!$Q$3:$U$3,0))="BL",INDEX(Index,MATCH(AA26,TVM_PortList,0),MATCH("Payment",Control!$Q$3:$U$3,0))-INDEX(Index,MATCH(U26,TVM_PortList,0),MATCH("Payment",Control!$Q$3:$U$3,0)),AY26+INDEX(Index,MATCH(AA26,TVM_PortList,0),MATCH("Payment",Control!$Q$3:$U$3,0))-INDEX(Index,MATCH(U26,TVM_PortList,0),MATCH("Payment",Control!$Q$3:$U$3,0)))</f>
        <v>43</v>
      </c>
      <c r="AI26" s="227">
        <f t="shared" si="47"/>
        <v>0.10736842105263159</v>
      </c>
      <c r="AJ26" s="227">
        <f t="shared" si="48"/>
        <v>0.20145205479452055</v>
      </c>
      <c r="AK26" s="227">
        <f>IF(((AC26-VLOOKUP(Z26,$BL$8:$BM$12,2,FALSE))/$BF$16)&lt;=0,0,ROUNDUP(((AC26-VLOOKUP(Z26,$BL$8:$BM$12,2,FALSE))/$BF$16),0)*$BJ$13/AC26)</f>
        <v>0</v>
      </c>
      <c r="AL26" s="227">
        <f t="shared" si="50"/>
        <v>0</v>
      </c>
      <c r="AM26" s="227">
        <v>0</v>
      </c>
      <c r="AN26" s="227">
        <f t="shared" si="51"/>
        <v>0.01</v>
      </c>
      <c r="AO26" s="227">
        <f t="shared" si="52"/>
        <v>0.01</v>
      </c>
      <c r="AP26" s="227">
        <f>IF(INDEX(Control!$Q$3:$S$62,MATCH($AA26,Control!$Q$3:$Q$62,0),MATCH(AP$6,Control!$Q$3:$S$3,0))=1,$BF$12*$BG$12,0)</f>
        <v>0.1</v>
      </c>
      <c r="AQ26" s="227" t="e">
        <f>IF(INDEX(Control!$Q$3:$S$62,MATCH($AA26,Control!$Q$3:$Q$62,0),MATCH(AQ$6,Control!$Q$3:$S$3,0))=1,$BF$13/$AC26,0)</f>
        <v>#N/A</v>
      </c>
      <c r="AR26" s="227">
        <f t="shared" si="53"/>
        <v>0</v>
      </c>
      <c r="AS26" s="227">
        <f t="shared" si="54"/>
        <v>0</v>
      </c>
      <c r="AT26" s="225" t="e">
        <f t="shared" si="55"/>
        <v>#N/A</v>
      </c>
      <c r="AU26" s="225" t="e">
        <f t="shared" si="56"/>
        <v>#N/A</v>
      </c>
      <c r="AV26" s="225">
        <f t="shared" si="57"/>
        <v>0.05</v>
      </c>
      <c r="AW26" s="135" t="e">
        <f t="shared" si="58"/>
        <v>#N/A</v>
      </c>
      <c r="AX26" s="220"/>
      <c r="AY26" s="229">
        <f>INDEX('[1]Transit Time'!$A:$DC,MATCH(H26,'[1]Transit Time'!$A:$A,0),MATCH(K26,'[1]Transit Time'!$A$1:$DC$1,0))+INDEX('[1]Transit Time'!$A:$DC,MATCH(K26,'[1]Transit Time'!$A:$A,0),MATCH(U26,'[1]Transit Time'!$A$1:$DC$1,0))+INDEX('[1]Transit Time'!$A:$DC,MATCH(U26,'[1]Transit Time'!$A:$A,0),MATCH(AA26,'[1]Transit Time'!$A$1:$DC$1,0))</f>
        <v>48</v>
      </c>
      <c r="AZ26" s="220"/>
      <c r="BA26" s="230">
        <f t="shared" si="59"/>
        <v>44702</v>
      </c>
      <c r="BB26" s="230">
        <f t="shared" si="60"/>
        <v>44704</v>
      </c>
      <c r="BC26">
        <f>IF(((AC26-VLOOKUP(Z26,$BL$8:$BM$12,2,FALSE))/$BF$16)&lt;=0,0,ROUNDUP(((AC26-VLOOKUP(Z26,$BL$8:$BM$12,2,FALSE))/$BF$16),0)*$BJ$13/AC26)</f>
        <v>0</v>
      </c>
    </row>
    <row r="27" spans="1:67" ht="16" thickBot="1" x14ac:dyDescent="0.4">
      <c r="B27" s="163">
        <f t="shared" si="38"/>
        <v>44654</v>
      </c>
      <c r="C27" s="163">
        <f t="shared" si="39"/>
        <v>44656</v>
      </c>
      <c r="E27" s="170"/>
      <c r="F27" s="173">
        <f>IF(H27=K27,0,INDEX('[2]Flat Rates 2023'!$A:$DB,MATCH(H27,'[2]Flat Rates 2023'!$A:$A,0),MATCH(K27,'[2]Flat Rates 2023'!$A$1:$DB$1,0)))</f>
        <v>0</v>
      </c>
      <c r="G27" s="173">
        <f>INDEX(Control!$E$17:$J$21,MATCH(M27,Control!$E$17:$E$21,0),MATCH(H27,Control!$E$17:$J$17,0))</f>
        <v>0</v>
      </c>
      <c r="H27" s="173" t="str">
        <f t="shared" ref="H27:H34" si="61">$H$7</f>
        <v>Covenas</v>
      </c>
      <c r="I27" s="172">
        <f>INDEX(Vessel_Minimum_MT,MATCH(M27,Control!$E$11:$E$15,0),MATCH(H27,Control!$E$11:$J$11,0))</f>
        <v>70000</v>
      </c>
      <c r="J27" s="175">
        <f t="shared" si="40"/>
        <v>90096.96796338672</v>
      </c>
      <c r="K27" s="173" t="s">
        <v>45</v>
      </c>
      <c r="L27" s="173" t="str">
        <f t="shared" si="41"/>
        <v>CARIBS/USGC</v>
      </c>
      <c r="M27" s="174" t="s">
        <v>23</v>
      </c>
      <c r="N27" s="175">
        <v>700000</v>
      </c>
      <c r="O27" s="179">
        <v>175</v>
      </c>
      <c r="P27" s="180">
        <v>0</v>
      </c>
      <c r="Q27" s="178">
        <f t="shared" si="42"/>
        <v>0</v>
      </c>
      <c r="R27" s="2"/>
      <c r="S27" s="138">
        <f>INDEX('[2]Flat Rates 2023'!$A:$DB,MATCH(U27,'[2]Flat Rates 2023'!$A:$A,0),MATCH(AA27,'[2]Flat Rates 2023'!$A$1:$DB$1,0))</f>
        <v>0</v>
      </c>
      <c r="T27" s="138">
        <f>INDEX(Control!$E$17:$J$21,MATCH(Z27,Control!$E$17:$E$21,0),MATCH(U27,Control!$E$17:$J$17,0))</f>
        <v>0.5</v>
      </c>
      <c r="U27" s="138" t="s">
        <v>62</v>
      </c>
      <c r="V27" s="139">
        <v>43430</v>
      </c>
      <c r="W27" s="139">
        <f t="shared" si="43"/>
        <v>43434</v>
      </c>
      <c r="X27" s="116">
        <f>INDEX(Vessel_Minimum_MT,MATCH(Z27,Control!$E$11:$E$15,0),MATCH(U27,Control!$E$11:$J$11,0))</f>
        <v>150000</v>
      </c>
      <c r="Y27" s="140">
        <f t="shared" si="44"/>
        <v>122274.45652173912</v>
      </c>
      <c r="Z27" s="147" t="s">
        <v>24</v>
      </c>
      <c r="AA27" s="164" t="s">
        <v>51</v>
      </c>
      <c r="AB27" s="142" t="str">
        <f t="shared" si="45"/>
        <v>CARIBS/JAPAN</v>
      </c>
      <c r="AC27" s="141">
        <v>950000</v>
      </c>
      <c r="AD27" s="141">
        <v>1001</v>
      </c>
      <c r="AE27" s="49">
        <f>AE29</f>
        <v>2900000</v>
      </c>
      <c r="AF27" s="149">
        <f t="shared" si="46"/>
        <v>3.0526315789473686</v>
      </c>
      <c r="AG27" s="144">
        <v>10</v>
      </c>
      <c r="AH27" s="141">
        <f>IF(INDEX(Index,MATCH(AA27,TVM_PortList,0),MATCH("Type",Control!$Q$3:$U$3,0))="BL",INDEX(Index,MATCH(AA27,TVM_PortList,0),MATCH("Payment",Control!$Q$3:$U$3,0))-INDEX(Index,MATCH(U27,TVM_PortList,0),MATCH("Payment",Control!$Q$3:$U$3,0)),AY27+INDEX(Index,MATCH(AA27,TVM_PortList,0),MATCH("Payment",Control!$Q$3:$U$3,0))-INDEX(Index,MATCH(U27,TVM_PortList,0),MATCH("Payment",Control!$Q$3:$U$3,0)))</f>
        <v>40</v>
      </c>
      <c r="AI27" s="143">
        <f t="shared" si="47"/>
        <v>0.26315789473684209</v>
      </c>
      <c r="AJ27" s="143">
        <f t="shared" si="48"/>
        <v>0.1873972602739726</v>
      </c>
      <c r="AK27" s="143">
        <f t="shared" ref="AK27:AK34" si="62">IF(((AC27-VLOOKUP(Z27,$BL$8:$BM$12,2,FALSE))/$BF$16)&lt;=0,0,ROUNDUP(((AC27-VLOOKUP(Z27,$BL$8:$BM$12,2,FALSE))/$BF$16),0)*$BJ$13/AC27)</f>
        <v>0</v>
      </c>
      <c r="AL27" s="143">
        <f t="shared" si="50"/>
        <v>0</v>
      </c>
      <c r="AM27" s="143">
        <v>0</v>
      </c>
      <c r="AN27" s="143">
        <f t="shared" si="51"/>
        <v>0.01</v>
      </c>
      <c r="AO27" s="143">
        <f t="shared" si="52"/>
        <v>0.01</v>
      </c>
      <c r="AP27" s="143">
        <f>IF(INDEX(Control!$Q$3:$S$62,MATCH($AA27,Control!$Q$3:$Q$62,0),MATCH(AP$6,Control!$Q$3:$S$3,0))=1,$BF$12*$BG$12,0)</f>
        <v>0.1</v>
      </c>
      <c r="AQ27" s="143" t="e">
        <f>IF(INDEX(Control!$Q$3:$S$62,MATCH($AA27,Control!$Q$3:$Q$62,0),MATCH(AQ$6,Control!$Q$3:$S$3,0))=1,$BF$13/$AC27,0)</f>
        <v>#N/A</v>
      </c>
      <c r="AR27" s="143">
        <f t="shared" si="53"/>
        <v>0</v>
      </c>
      <c r="AS27" s="143">
        <f t="shared" si="54"/>
        <v>0</v>
      </c>
      <c r="AT27" s="149" t="e">
        <f t="shared" si="55"/>
        <v>#N/A</v>
      </c>
      <c r="AU27" s="200" t="e">
        <f t="shared" si="56"/>
        <v>#N/A</v>
      </c>
      <c r="AV27" s="149">
        <f t="shared" si="57"/>
        <v>0.05</v>
      </c>
      <c r="AW27" s="145" t="e">
        <f t="shared" si="58"/>
        <v>#N/A</v>
      </c>
      <c r="AY27" s="153">
        <f>INDEX('[1]Transit Time'!$A:$DC,MATCH(H27,'[1]Transit Time'!$A:$A,0),MATCH(K27,'[1]Transit Time'!$A$1:$DC$1,0))+INDEX('[1]Transit Time'!$A:$DC,MATCH(K27,'[1]Transit Time'!$A:$A,0),MATCH(U27,'[1]Transit Time'!$A$1:$DC$1,0))+INDEX('[1]Transit Time'!$A:$DC,MATCH(U27,'[1]Transit Time'!$A:$A,0),MATCH(AA27,'[1]Transit Time'!$A$1:$DC$1,0))</f>
        <v>45</v>
      </c>
      <c r="BA27" s="163">
        <f t="shared" si="59"/>
        <v>44699</v>
      </c>
      <c r="BB27" s="163">
        <f t="shared" si="60"/>
        <v>44701</v>
      </c>
    </row>
    <row r="28" spans="1:67" s="165" customFormat="1" ht="16" thickBot="1" x14ac:dyDescent="0.4">
      <c r="A28" s="2"/>
      <c r="B28" s="230">
        <f t="shared" si="38"/>
        <v>44654</v>
      </c>
      <c r="C28" s="230">
        <f t="shared" si="39"/>
        <v>44656</v>
      </c>
      <c r="D28" s="210"/>
      <c r="E28" s="232"/>
      <c r="F28" s="233">
        <f>IF(H28=K28,0,INDEX('[2]Flat Rates 2023'!$A:$DB,MATCH(H28,'[2]Flat Rates 2023'!$A:$A,0),MATCH(K28,'[2]Flat Rates 2023'!$A$1:$DB$1,0)))</f>
        <v>0</v>
      </c>
      <c r="G28" s="233">
        <f>INDEX(Control!$E$17:$J$21,MATCH(M28,Control!$E$17:$E$21,0),MATCH(H28,Control!$E$17:$J$17,0))</f>
        <v>0</v>
      </c>
      <c r="H28" s="233" t="str">
        <f t="shared" si="61"/>
        <v>Covenas</v>
      </c>
      <c r="I28" s="234">
        <f>INDEX(Vessel_Minimum_MT,MATCH(M28,Control!$E$11:$E$15,0),MATCH(H28,Control!$E$11:$J$11,0))</f>
        <v>70000</v>
      </c>
      <c r="J28" s="235">
        <f t="shared" si="40"/>
        <v>90096.96796338672</v>
      </c>
      <c r="K28" s="233" t="s">
        <v>45</v>
      </c>
      <c r="L28" s="233" t="str">
        <f t="shared" si="41"/>
        <v>CARIBS/USGC</v>
      </c>
      <c r="M28" s="236" t="s">
        <v>23</v>
      </c>
      <c r="N28" s="235">
        <v>700000</v>
      </c>
      <c r="O28" s="237">
        <v>175</v>
      </c>
      <c r="P28" s="238">
        <v>0</v>
      </c>
      <c r="Q28" s="239">
        <f t="shared" si="42"/>
        <v>0</v>
      </c>
      <c r="R28" s="2"/>
      <c r="S28" s="220">
        <f>INDEX('[2]Flat Rates 2023'!$A:$DB,MATCH(U28,'[2]Flat Rates 2023'!$A:$A,0),MATCH(AA28,'[2]Flat Rates 2023'!$A$1:$DB$1,0))</f>
        <v>0</v>
      </c>
      <c r="T28" s="220">
        <f>INDEX(Control!$E$17:$J$21,MATCH(Z28,Control!$E$17:$E$21,0),MATCH(U28,Control!$E$17:$J$17,0))</f>
        <v>0.5</v>
      </c>
      <c r="U28" s="220" t="s">
        <v>62</v>
      </c>
      <c r="V28" s="221">
        <v>43430</v>
      </c>
      <c r="W28" s="221">
        <f t="shared" si="43"/>
        <v>43434</v>
      </c>
      <c r="X28" s="213">
        <f>INDEX(Vessel_Minimum_MT,MATCH(Z28,Control!$E$11:$E$15,0),MATCH(U28,Control!$E$11:$J$11,0))</f>
        <v>270000</v>
      </c>
      <c r="Y28" s="222">
        <f t="shared" si="44"/>
        <v>244548.91304347824</v>
      </c>
      <c r="Z28" s="215" t="s">
        <v>25</v>
      </c>
      <c r="AA28" s="223" t="s">
        <v>51</v>
      </c>
      <c r="AB28" s="212" t="str">
        <f t="shared" si="45"/>
        <v>CARIBS/JAPAN</v>
      </c>
      <c r="AC28" s="214">
        <v>1900000</v>
      </c>
      <c r="AD28" s="214">
        <v>1001</v>
      </c>
      <c r="AE28" s="264">
        <f>AE30</f>
        <v>4600000</v>
      </c>
      <c r="AF28" s="225">
        <f t="shared" si="46"/>
        <v>2.4210526315789473</v>
      </c>
      <c r="AG28" s="226">
        <v>6</v>
      </c>
      <c r="AH28" s="214">
        <f>IF(INDEX(Index,MATCH(AA28,TVM_PortList,0),MATCH("Type",Control!$Q$3:$U$3,0))="BL",INDEX(Index,MATCH(AA28,TVM_PortList,0),MATCH("Payment",Control!$Q$3:$U$3,0))-INDEX(Index,MATCH(U28,TVM_PortList,0),MATCH("Payment",Control!$Q$3:$U$3,0)),AY28+INDEX(Index,MATCH(AA28,TVM_PortList,0),MATCH("Payment",Control!$Q$3:$U$3,0))-INDEX(Index,MATCH(U28,TVM_PortList,0),MATCH("Payment",Control!$Q$3:$U$3,0)))</f>
        <v>40</v>
      </c>
      <c r="AI28" s="227">
        <f t="shared" si="47"/>
        <v>0.10736842105263159</v>
      </c>
      <c r="AJ28" s="227">
        <f t="shared" si="48"/>
        <v>0.1873972602739726</v>
      </c>
      <c r="AK28" s="227">
        <f t="shared" si="62"/>
        <v>0</v>
      </c>
      <c r="AL28" s="227">
        <f t="shared" si="50"/>
        <v>0</v>
      </c>
      <c r="AM28" s="227">
        <v>0</v>
      </c>
      <c r="AN28" s="227">
        <f t="shared" si="51"/>
        <v>0.01</v>
      </c>
      <c r="AO28" s="227">
        <f t="shared" si="52"/>
        <v>0.01</v>
      </c>
      <c r="AP28" s="227">
        <f>IF(INDEX(Control!$Q$3:$S$62,MATCH($AA28,Control!$Q$3:$Q$62,0),MATCH(AP$6,Control!$Q$3:$S$3,0))=1,$BF$12*$BG$12,0)</f>
        <v>0.1</v>
      </c>
      <c r="AQ28" s="227" t="e">
        <f>IF(INDEX(Control!$Q$3:$S$62,MATCH($AA28,Control!$Q$3:$Q$62,0),MATCH(AQ$6,Control!$Q$3:$S$3,0))=1,$BF$13/$AC28,0)</f>
        <v>#N/A</v>
      </c>
      <c r="AR28" s="227">
        <f t="shared" si="53"/>
        <v>0</v>
      </c>
      <c r="AS28" s="227">
        <f t="shared" si="54"/>
        <v>0</v>
      </c>
      <c r="AT28" s="225" t="e">
        <f t="shared" si="55"/>
        <v>#N/A</v>
      </c>
      <c r="AU28" s="231" t="e">
        <f t="shared" si="56"/>
        <v>#N/A</v>
      </c>
      <c r="AV28" s="225">
        <f t="shared" si="57"/>
        <v>0.05</v>
      </c>
      <c r="AW28" s="135" t="e">
        <f t="shared" si="58"/>
        <v>#N/A</v>
      </c>
      <c r="AX28" s="220"/>
      <c r="AY28" s="229">
        <f>INDEX('[1]Transit Time'!$A:$DC,MATCH(H28,'[1]Transit Time'!$A:$A,0),MATCH(K28,'[1]Transit Time'!$A$1:$DC$1,0))+INDEX('[1]Transit Time'!$A:$DC,MATCH(K28,'[1]Transit Time'!$A:$A,0),MATCH(U28,'[1]Transit Time'!$A$1:$DC$1,0))+INDEX('[1]Transit Time'!$A:$DC,MATCH(U28,'[1]Transit Time'!$A:$A,0),MATCH(AA28,'[1]Transit Time'!$A$1:$DC$1,0))</f>
        <v>45</v>
      </c>
      <c r="AZ28" s="220"/>
      <c r="BA28" s="230">
        <f t="shared" si="59"/>
        <v>44699</v>
      </c>
      <c r="BB28" s="230">
        <f t="shared" si="60"/>
        <v>44701</v>
      </c>
      <c r="BC28"/>
    </row>
    <row r="29" spans="1:67" x14ac:dyDescent="0.35">
      <c r="B29" s="163">
        <f t="shared" si="38"/>
        <v>44654</v>
      </c>
      <c r="C29" s="163">
        <f t="shared" si="39"/>
        <v>44656</v>
      </c>
      <c r="E29" s="170"/>
      <c r="F29" s="173">
        <f>IF(H29=K29,0,INDEX('[2]Flat Rates 2023'!$A:$DB,MATCH(H29,'[2]Flat Rates 2023'!$A:$A,0),MATCH(K29,'[2]Flat Rates 2023'!$A$1:$DB$1,0)))</f>
        <v>0</v>
      </c>
      <c r="G29" s="173">
        <f>INDEX(Control!$E$17:$J$21,MATCH(M29,Control!$E$17:$E$21,0),MATCH(H29,Control!$E$17:$J$17,0))</f>
        <v>0</v>
      </c>
      <c r="H29" s="173" t="str">
        <f t="shared" si="61"/>
        <v>Covenas</v>
      </c>
      <c r="I29" s="172">
        <f>INDEX(Vessel_Minimum_MT,MATCH(M29,Control!$E$11:$E$15,0),MATCH(H29,Control!$E$11:$J$11,0))</f>
        <v>70000</v>
      </c>
      <c r="J29" s="175">
        <f t="shared" si="40"/>
        <v>90096.96796338672</v>
      </c>
      <c r="K29" s="173" t="s">
        <v>45</v>
      </c>
      <c r="L29" s="173" t="str">
        <f t="shared" si="41"/>
        <v>CARIBS/USGC</v>
      </c>
      <c r="M29" s="174" t="s">
        <v>23</v>
      </c>
      <c r="N29" s="175">
        <v>700000</v>
      </c>
      <c r="O29" s="179">
        <v>175</v>
      </c>
      <c r="P29" s="180">
        <v>0</v>
      </c>
      <c r="Q29" s="178">
        <f t="shared" si="42"/>
        <v>0</v>
      </c>
      <c r="R29" s="2"/>
      <c r="S29" s="138">
        <f>INDEX('[2]Flat Rates 2023'!$A:$DB,MATCH(U29,'[2]Flat Rates 2023'!$A:$A,0),MATCH(AA29,'[2]Flat Rates 2023'!$A$1:$DB$1,0))</f>
        <v>0</v>
      </c>
      <c r="T29" s="138">
        <f>INDEX(Control!$E$17:$J$21,MATCH(Z29,Control!$E$17:$E$21,0),MATCH(U29,Control!$E$17:$J$17,0))</f>
        <v>0.5</v>
      </c>
      <c r="U29" s="138" t="s">
        <v>62</v>
      </c>
      <c r="V29" s="139">
        <v>43430</v>
      </c>
      <c r="W29" s="139">
        <f t="shared" si="43"/>
        <v>43434</v>
      </c>
      <c r="X29" s="116">
        <f>INDEX(Vessel_Minimum_MT,MATCH(Z29,Control!$E$11:$E$15,0),MATCH(U29,Control!$E$11:$J$11,0))</f>
        <v>150000</v>
      </c>
      <c r="Y29" s="140">
        <f t="shared" si="44"/>
        <v>122274.45652173912</v>
      </c>
      <c r="Z29" s="147" t="s">
        <v>24</v>
      </c>
      <c r="AA29" s="164" t="s">
        <v>106</v>
      </c>
      <c r="AB29" s="142" t="str">
        <f t="shared" si="45"/>
        <v>CARIBS/KOREA</v>
      </c>
      <c r="AC29" s="141">
        <v>950000</v>
      </c>
      <c r="AD29" s="141">
        <v>1001</v>
      </c>
      <c r="AE29" s="265">
        <v>2900000</v>
      </c>
      <c r="AF29" s="149">
        <f t="shared" si="46"/>
        <v>3.0526315789473686</v>
      </c>
      <c r="AG29" s="144">
        <v>10</v>
      </c>
      <c r="AH29" s="141">
        <f>IF(INDEX(Index,MATCH(AA29,TVM_PortList,0),MATCH("Type",Control!$Q$3:$U$3,0))="BL",INDEX(Index,MATCH(AA29,TVM_PortList,0),MATCH("Payment",Control!$Q$3:$U$3,0))-INDEX(Index,MATCH(U29,TVM_PortList,0),MATCH("Payment",Control!$Q$3:$U$3,0)),AY29+INDEX(Index,MATCH(AA29,TVM_PortList,0),MATCH("Payment",Control!$Q$3:$U$3,0))-INDEX(Index,MATCH(U29,TVM_PortList,0),MATCH("Payment",Control!$Q$3:$U$3,0)))</f>
        <v>-5</v>
      </c>
      <c r="AI29" s="143">
        <f t="shared" si="47"/>
        <v>0.26315789473684209</v>
      </c>
      <c r="AJ29" s="143">
        <f t="shared" si="48"/>
        <v>0</v>
      </c>
      <c r="AK29" s="143">
        <f t="shared" si="62"/>
        <v>0</v>
      </c>
      <c r="AL29" s="143">
        <f t="shared" si="50"/>
        <v>0</v>
      </c>
      <c r="AM29" s="143">
        <v>0</v>
      </c>
      <c r="AN29" s="143">
        <f t="shared" si="51"/>
        <v>0.01</v>
      </c>
      <c r="AO29" s="143">
        <f t="shared" si="52"/>
        <v>0.01</v>
      </c>
      <c r="AP29" s="143">
        <f>IF(INDEX(Control!$Q$3:$S$62,MATCH($AA29,Control!$Q$3:$Q$62,0),MATCH(AP$6,Control!$Q$3:$S$3,0))=1,$BF$12*$BG$12,0)</f>
        <v>0.1</v>
      </c>
      <c r="AQ29" s="143" t="e">
        <f>IF(INDEX(Control!$Q$3:$S$62,MATCH($AA29,Control!$Q$3:$Q$62,0),MATCH(AQ$6,Control!$Q$3:$S$3,0))=1,$BF$13/$AC29,0)</f>
        <v>#N/A</v>
      </c>
      <c r="AR29" s="143">
        <f t="shared" si="53"/>
        <v>0</v>
      </c>
      <c r="AS29" s="143">
        <f t="shared" si="54"/>
        <v>0</v>
      </c>
      <c r="AT29" s="149" t="e">
        <f t="shared" si="55"/>
        <v>#N/A</v>
      </c>
      <c r="AU29" s="199" t="e">
        <f t="shared" si="56"/>
        <v>#N/A</v>
      </c>
      <c r="AV29" s="149">
        <f t="shared" si="57"/>
        <v>0</v>
      </c>
      <c r="AW29" s="145" t="e">
        <f t="shared" si="58"/>
        <v>#N/A</v>
      </c>
      <c r="AY29" s="153">
        <f>INDEX('[1]Transit Time'!$A:$DC,MATCH(H29,'[1]Transit Time'!$A:$A,0),MATCH(K29,'[1]Transit Time'!$A$1:$DC$1,0))+INDEX('[1]Transit Time'!$A:$DC,MATCH(K29,'[1]Transit Time'!$A:$A,0),MATCH(U29,'[1]Transit Time'!$A$1:$DC$1,0))+INDEX('[1]Transit Time'!$A:$DC,MATCH(U29,'[1]Transit Time'!$A:$A,0),MATCH(AA29,'[1]Transit Time'!$A$1:$DC$1,0))</f>
        <v>0</v>
      </c>
      <c r="BA29" s="163">
        <f t="shared" si="59"/>
        <v>44654</v>
      </c>
      <c r="BB29" s="163">
        <f t="shared" si="60"/>
        <v>44656</v>
      </c>
    </row>
    <row r="30" spans="1:67" s="165" customFormat="1" ht="16" thickBot="1" x14ac:dyDescent="0.4">
      <c r="A30" s="2"/>
      <c r="B30" s="230">
        <f t="shared" si="38"/>
        <v>44654</v>
      </c>
      <c r="C30" s="230">
        <f t="shared" si="39"/>
        <v>44656</v>
      </c>
      <c r="D30" s="210"/>
      <c r="E30" s="232"/>
      <c r="F30" s="240">
        <f>IF(H30=K30,0,INDEX('[2]Flat Rates 2023'!$A:$DB,MATCH(H30,'[2]Flat Rates 2023'!$A:$A,0),MATCH(K30,'[2]Flat Rates 2023'!$A$1:$DB$1,0)))</f>
        <v>0</v>
      </c>
      <c r="G30" s="240">
        <f>INDEX(Control!$E$17:$J$21,MATCH(M30,Control!$E$17:$E$21,0),MATCH(H30,Control!$E$17:$J$17,0))</f>
        <v>0</v>
      </c>
      <c r="H30" s="240" t="str">
        <f t="shared" si="61"/>
        <v>Covenas</v>
      </c>
      <c r="I30" s="234">
        <f>INDEX(Vessel_Minimum_MT,MATCH(M30,Control!$E$11:$E$15,0),MATCH(H30,Control!$E$11:$J$11,0))</f>
        <v>70000</v>
      </c>
      <c r="J30" s="241">
        <f t="shared" si="40"/>
        <v>90096.96796338672</v>
      </c>
      <c r="K30" s="233" t="s">
        <v>45</v>
      </c>
      <c r="L30" s="240" t="str">
        <f t="shared" si="41"/>
        <v>CARIBS/USGC</v>
      </c>
      <c r="M30" s="236" t="s">
        <v>23</v>
      </c>
      <c r="N30" s="235">
        <v>700000</v>
      </c>
      <c r="O30" s="242">
        <v>175</v>
      </c>
      <c r="P30" s="243">
        <v>0</v>
      </c>
      <c r="Q30" s="239">
        <f t="shared" si="42"/>
        <v>0</v>
      </c>
      <c r="R30" s="2"/>
      <c r="S30" s="220">
        <f>INDEX('[2]Flat Rates 2023'!$A:$DB,MATCH(U30,'[2]Flat Rates 2023'!$A:$A,0),MATCH(AA30,'[2]Flat Rates 2023'!$A$1:$DB$1,0))</f>
        <v>0</v>
      </c>
      <c r="T30" s="220">
        <f>INDEX(Control!$E$17:$J$21,MATCH(Z30,Control!$E$17:$E$21,0),MATCH(U30,Control!$E$17:$J$17,0))</f>
        <v>0.5</v>
      </c>
      <c r="U30" s="220" t="s">
        <v>62</v>
      </c>
      <c r="V30" s="221">
        <v>43430</v>
      </c>
      <c r="W30" s="221">
        <f t="shared" si="43"/>
        <v>43434</v>
      </c>
      <c r="X30" s="213">
        <f>INDEX(Vessel_Minimum_MT,MATCH(Z30,Control!$E$11:$E$15,0),MATCH(U30,Control!$E$11:$J$11,0))</f>
        <v>270000</v>
      </c>
      <c r="Y30" s="222">
        <f t="shared" si="44"/>
        <v>244548.91304347824</v>
      </c>
      <c r="Z30" s="215" t="s">
        <v>25</v>
      </c>
      <c r="AA30" s="223" t="s">
        <v>106</v>
      </c>
      <c r="AB30" s="212" t="str">
        <f t="shared" si="45"/>
        <v>CARIBS/KOREA</v>
      </c>
      <c r="AC30" s="214">
        <v>1900000</v>
      </c>
      <c r="AD30" s="214">
        <v>1001</v>
      </c>
      <c r="AE30" s="266">
        <v>4600000</v>
      </c>
      <c r="AF30" s="225">
        <f t="shared" si="46"/>
        <v>2.4210526315789473</v>
      </c>
      <c r="AG30" s="226">
        <v>6</v>
      </c>
      <c r="AH30" s="214">
        <f>IF(INDEX(Index,MATCH(AA30,TVM_PortList,0),MATCH("Type",Control!$Q$3:$U$3,0))="BL",INDEX(Index,MATCH(AA30,TVM_PortList,0),MATCH("Payment",Control!$Q$3:$U$3,0))-INDEX(Index,MATCH(U30,TVM_PortList,0),MATCH("Payment",Control!$Q$3:$U$3,0)),AY30+INDEX(Index,MATCH(AA30,TVM_PortList,0),MATCH("Payment",Control!$Q$3:$U$3,0))-INDEX(Index,MATCH(U30,TVM_PortList,0),MATCH("Payment",Control!$Q$3:$U$3,0)))</f>
        <v>-5</v>
      </c>
      <c r="AI30" s="227">
        <f t="shared" si="47"/>
        <v>0.10736842105263159</v>
      </c>
      <c r="AJ30" s="227">
        <f t="shared" si="48"/>
        <v>0</v>
      </c>
      <c r="AK30" s="227">
        <f t="shared" si="62"/>
        <v>0</v>
      </c>
      <c r="AL30" s="227">
        <f t="shared" si="50"/>
        <v>0</v>
      </c>
      <c r="AM30" s="227">
        <v>0</v>
      </c>
      <c r="AN30" s="227">
        <f t="shared" si="51"/>
        <v>0.01</v>
      </c>
      <c r="AO30" s="227">
        <f t="shared" si="52"/>
        <v>0.01</v>
      </c>
      <c r="AP30" s="227">
        <f>IF(INDEX(Control!$Q$3:$S$62,MATCH($AA30,Control!$Q$3:$Q$62,0),MATCH(AP$6,Control!$Q$3:$S$3,0))=1,$BF$12*$BG$12,0)</f>
        <v>0.1</v>
      </c>
      <c r="AQ30" s="227" t="e">
        <f>IF(INDEX(Control!$Q$3:$S$62,MATCH($AA30,Control!$Q$3:$Q$62,0),MATCH(AQ$6,Control!$Q$3:$S$3,0))=1,$BF$13/$AC30,0)</f>
        <v>#N/A</v>
      </c>
      <c r="AR30" s="227">
        <f t="shared" si="53"/>
        <v>0</v>
      </c>
      <c r="AS30" s="227">
        <f t="shared" si="54"/>
        <v>0</v>
      </c>
      <c r="AT30" s="225" t="e">
        <f t="shared" si="55"/>
        <v>#N/A</v>
      </c>
      <c r="AU30" s="225" t="e">
        <f t="shared" si="56"/>
        <v>#N/A</v>
      </c>
      <c r="AV30" s="225">
        <f t="shared" si="57"/>
        <v>0</v>
      </c>
      <c r="AW30" s="260" t="e">
        <f t="shared" si="58"/>
        <v>#N/A</v>
      </c>
      <c r="AX30" s="220"/>
      <c r="AY30" s="229">
        <f>INDEX('[1]Transit Time'!$A:$DC,MATCH(H30,'[1]Transit Time'!$A:$A,0),MATCH(K30,'[1]Transit Time'!$A$1:$DC$1,0))+INDEX('[1]Transit Time'!$A:$DC,MATCH(K30,'[1]Transit Time'!$A:$A,0),MATCH(U30,'[1]Transit Time'!$A$1:$DC$1,0))+INDEX('[1]Transit Time'!$A:$DC,MATCH(U30,'[1]Transit Time'!$A:$A,0),MATCH(AA30,'[1]Transit Time'!$A$1:$DC$1,0))</f>
        <v>0</v>
      </c>
      <c r="AZ30" s="220"/>
      <c r="BA30" s="230">
        <f t="shared" si="59"/>
        <v>44654</v>
      </c>
      <c r="BB30" s="230">
        <f t="shared" si="60"/>
        <v>44656</v>
      </c>
      <c r="BC30"/>
    </row>
    <row r="31" spans="1:67" x14ac:dyDescent="0.35">
      <c r="B31" s="163">
        <f t="shared" si="38"/>
        <v>44654</v>
      </c>
      <c r="C31" s="163">
        <f t="shared" si="39"/>
        <v>44656</v>
      </c>
      <c r="E31" s="170"/>
      <c r="F31" s="173">
        <f>IF(H31=K31,0,INDEX('[2]Flat Rates 2023'!$A:$DB,MATCH(H31,'[2]Flat Rates 2023'!$A:$A,0),MATCH(K31,'[2]Flat Rates 2023'!$A$1:$DB$1,0)))</f>
        <v>0</v>
      </c>
      <c r="G31" s="173">
        <f>INDEX(Control!$E$17:$J$21,MATCH(M31,Control!$E$17:$E$21,0),MATCH(H31,Control!$E$17:$J$17,0))</f>
        <v>0</v>
      </c>
      <c r="H31" s="173" t="str">
        <f t="shared" si="61"/>
        <v>Covenas</v>
      </c>
      <c r="I31" s="172">
        <f>INDEX(Vessel_Minimum_MT,MATCH(M31,Control!$E$11:$E$15,0),MATCH(H31,Control!$E$11:$J$11,0))</f>
        <v>70000</v>
      </c>
      <c r="J31" s="175">
        <f t="shared" si="40"/>
        <v>90096.96796338672</v>
      </c>
      <c r="K31" s="173" t="s">
        <v>45</v>
      </c>
      <c r="L31" s="173" t="str">
        <f t="shared" si="41"/>
        <v>CARIBS/USGC</v>
      </c>
      <c r="M31" s="174" t="s">
        <v>23</v>
      </c>
      <c r="N31" s="175">
        <v>700000</v>
      </c>
      <c r="O31" s="179">
        <v>175</v>
      </c>
      <c r="P31" s="180">
        <v>0</v>
      </c>
      <c r="Q31" s="178">
        <f t="shared" si="42"/>
        <v>0</v>
      </c>
      <c r="R31" s="2"/>
      <c r="S31" s="138">
        <f>INDEX('[2]Flat Rates 2023'!$A:$DB,MATCH(U31,'[2]Flat Rates 2023'!$A:$A,0),MATCH(AA31,'[2]Flat Rates 2023'!$A$1:$DB$1,0))</f>
        <v>0</v>
      </c>
      <c r="T31" s="138">
        <f>INDEX(Control!$E$17:$J$21,MATCH(Z31,Control!$E$17:$E$21,0),MATCH(U31,Control!$E$17:$J$17,0))</f>
        <v>0.5</v>
      </c>
      <c r="U31" s="138" t="s">
        <v>62</v>
      </c>
      <c r="V31" s="139">
        <v>43430</v>
      </c>
      <c r="W31" s="139">
        <f t="shared" si="43"/>
        <v>43434</v>
      </c>
      <c r="X31" s="116">
        <f>INDEX(Vessel_Minimum_MT,MATCH(Z31,Control!$E$11:$E$15,0),MATCH(U31,Control!$E$11:$J$11,0))</f>
        <v>150000</v>
      </c>
      <c r="Y31" s="140">
        <f t="shared" si="44"/>
        <v>122274.45652173912</v>
      </c>
      <c r="Z31" s="147" t="s">
        <v>24</v>
      </c>
      <c r="AA31" s="164" t="s">
        <v>114</v>
      </c>
      <c r="AB31" s="142" t="str">
        <f t="shared" si="45"/>
        <v>CARIBS/Singapore</v>
      </c>
      <c r="AC31" s="141">
        <v>950000</v>
      </c>
      <c r="AD31" s="141">
        <v>1001</v>
      </c>
      <c r="AE31" s="202">
        <v>2350000</v>
      </c>
      <c r="AF31" s="149">
        <f t="shared" si="46"/>
        <v>2.4736842105263159</v>
      </c>
      <c r="AG31" s="144">
        <v>10</v>
      </c>
      <c r="AH31" s="141">
        <f>IF(INDEX(Index,MATCH(AA31,TVM_PortList,0),MATCH("Type",Control!$Q$3:$U$3,0))="BL",INDEX(Index,MATCH(AA31,TVM_PortList,0),MATCH("Payment",Control!$Q$3:$U$3,0))-INDEX(Index,MATCH(U31,TVM_PortList,0),MATCH("Payment",Control!$Q$3:$U$3,0)),AY31+INDEX(Index,MATCH(AA31,TVM_PortList,0),MATCH("Payment",Control!$Q$3:$U$3,0))-INDEX(Index,MATCH(U31,TVM_PortList,0),MATCH("Payment",Control!$Q$3:$U$3,0)))</f>
        <v>38</v>
      </c>
      <c r="AI31" s="143">
        <f t="shared" si="47"/>
        <v>0.26315789473684209</v>
      </c>
      <c r="AJ31" s="143">
        <f t="shared" si="48"/>
        <v>0.17802739726027397</v>
      </c>
      <c r="AK31" s="143">
        <f t="shared" si="62"/>
        <v>0</v>
      </c>
      <c r="AL31" s="143">
        <f t="shared" si="50"/>
        <v>0</v>
      </c>
      <c r="AM31" s="143">
        <v>0</v>
      </c>
      <c r="AN31" s="143">
        <f t="shared" si="51"/>
        <v>0.01</v>
      </c>
      <c r="AO31" s="143">
        <f t="shared" si="52"/>
        <v>0.01</v>
      </c>
      <c r="AP31" s="143">
        <f>IF(INDEX(Control!$Q$3:$S$62,MATCH($AA31,Control!$Q$3:$Q$62,0),MATCH(AP$6,Control!$Q$3:$S$3,0))=1,$BF$12*$BG$12,0)</f>
        <v>0.1</v>
      </c>
      <c r="AQ31" s="143" t="e">
        <f>IF(INDEX(Control!$Q$3:$S$62,MATCH($AA31,Control!$Q$3:$Q$62,0),MATCH(AQ$6,Control!$Q$3:$S$3,0))=1,$BF$13/$AC31,0)</f>
        <v>#N/A</v>
      </c>
      <c r="AR31" s="143">
        <f t="shared" si="53"/>
        <v>0</v>
      </c>
      <c r="AS31" s="143">
        <f t="shared" si="54"/>
        <v>0</v>
      </c>
      <c r="AT31" s="149" t="e">
        <f t="shared" si="55"/>
        <v>#N/A</v>
      </c>
      <c r="AU31" s="199" t="e">
        <f t="shared" si="56"/>
        <v>#N/A</v>
      </c>
      <c r="AV31" s="149">
        <f t="shared" si="57"/>
        <v>0.05</v>
      </c>
      <c r="AW31" s="145" t="e">
        <f t="shared" si="58"/>
        <v>#N/A</v>
      </c>
      <c r="AY31" s="153">
        <f>INDEX('[1]Transit Time'!$A:$DC,MATCH(H31,'[1]Transit Time'!$A:$A,0),MATCH(K31,'[1]Transit Time'!$A$1:$DC$1,0))+INDEX('[1]Transit Time'!$A:$DC,MATCH(K31,'[1]Transit Time'!$A:$A,0),MATCH(U31,'[1]Transit Time'!$A$1:$DC$1,0))+INDEX('[1]Transit Time'!$A:$DC,MATCH(U31,'[1]Transit Time'!$A:$A,0),MATCH(AA31,'[1]Transit Time'!$A$1:$DC$1,0))</f>
        <v>43</v>
      </c>
      <c r="BA31" s="163">
        <f t="shared" si="59"/>
        <v>44697</v>
      </c>
      <c r="BB31" s="163">
        <f t="shared" si="60"/>
        <v>44699</v>
      </c>
    </row>
    <row r="32" spans="1:67" s="165" customFormat="1" x14ac:dyDescent="0.35">
      <c r="A32" s="2"/>
      <c r="B32" s="230">
        <f t="shared" si="38"/>
        <v>44654</v>
      </c>
      <c r="C32" s="230">
        <f t="shared" si="39"/>
        <v>44656</v>
      </c>
      <c r="D32" s="210"/>
      <c r="E32" s="232"/>
      <c r="F32" s="240">
        <f>IF(H32=K32,0,INDEX('[2]Flat Rates 2023'!$A:$DB,MATCH(H32,'[2]Flat Rates 2023'!$A:$A,0),MATCH(K32,'[2]Flat Rates 2023'!$A$1:$DB$1,0)))</f>
        <v>0</v>
      </c>
      <c r="G32" s="240">
        <f>INDEX(Control!$E$17:$J$21,MATCH(M32,Control!$E$17:$E$21,0),MATCH(H32,Control!$E$17:$J$17,0))</f>
        <v>0</v>
      </c>
      <c r="H32" s="240" t="str">
        <f t="shared" si="61"/>
        <v>Covenas</v>
      </c>
      <c r="I32" s="234">
        <f>INDEX(Vessel_Minimum_MT,MATCH(M32,Control!$E$11:$E$15,0),MATCH(H32,Control!$E$11:$J$11,0))</f>
        <v>70000</v>
      </c>
      <c r="J32" s="241">
        <f t="shared" si="40"/>
        <v>90096.96796338672</v>
      </c>
      <c r="K32" s="233" t="s">
        <v>45</v>
      </c>
      <c r="L32" s="240" t="str">
        <f t="shared" si="41"/>
        <v>CARIBS/USGC</v>
      </c>
      <c r="M32" s="236" t="s">
        <v>23</v>
      </c>
      <c r="N32" s="235">
        <v>700000</v>
      </c>
      <c r="O32" s="242">
        <v>175</v>
      </c>
      <c r="P32" s="243">
        <v>0</v>
      </c>
      <c r="Q32" s="239">
        <f t="shared" si="42"/>
        <v>0</v>
      </c>
      <c r="R32" s="2"/>
      <c r="S32" s="220">
        <f>INDEX('[2]Flat Rates 2023'!$A:$DB,MATCH(U32,'[2]Flat Rates 2023'!$A:$A,0),MATCH(AA32,'[2]Flat Rates 2023'!$A$1:$DB$1,0))</f>
        <v>0</v>
      </c>
      <c r="T32" s="220">
        <f>INDEX(Control!$E$17:$J$21,MATCH(Z32,Control!$E$17:$E$21,0),MATCH(U32,Control!$E$17:$J$17,0))</f>
        <v>0.5</v>
      </c>
      <c r="U32" s="220" t="s">
        <v>62</v>
      </c>
      <c r="V32" s="221">
        <v>43430</v>
      </c>
      <c r="W32" s="221">
        <f t="shared" si="43"/>
        <v>43434</v>
      </c>
      <c r="X32" s="213">
        <f>INDEX(Vessel_Minimum_MT,MATCH(Z32,Control!$E$11:$E$15,0),MATCH(U32,Control!$E$11:$J$11,0))</f>
        <v>270000</v>
      </c>
      <c r="Y32" s="222">
        <f t="shared" si="44"/>
        <v>244548.91304347824</v>
      </c>
      <c r="Z32" s="215" t="s">
        <v>25</v>
      </c>
      <c r="AA32" s="223" t="s">
        <v>114</v>
      </c>
      <c r="AB32" s="212" t="str">
        <f t="shared" si="45"/>
        <v>CARIBS/Singapore</v>
      </c>
      <c r="AC32" s="214">
        <v>1900000</v>
      </c>
      <c r="AD32" s="214">
        <v>1001</v>
      </c>
      <c r="AE32" s="224">
        <f>AE30-1000000</f>
        <v>3600000</v>
      </c>
      <c r="AF32" s="225">
        <f t="shared" si="46"/>
        <v>1.8947368421052631</v>
      </c>
      <c r="AG32" s="226">
        <v>6</v>
      </c>
      <c r="AH32" s="214">
        <f>IF(INDEX(Index,MATCH(AA32,TVM_PortList,0),MATCH("Type",Control!$Q$3:$U$3,0))="BL",INDEX(Index,MATCH(AA32,TVM_PortList,0),MATCH("Payment",Control!$Q$3:$U$3,0))-INDEX(Index,MATCH(U32,TVM_PortList,0),MATCH("Payment",Control!$Q$3:$U$3,0)),AY32+INDEX(Index,MATCH(AA32,TVM_PortList,0),MATCH("Payment",Control!$Q$3:$U$3,0))-INDEX(Index,MATCH(U32,TVM_PortList,0),MATCH("Payment",Control!$Q$3:$U$3,0)))</f>
        <v>38</v>
      </c>
      <c r="AI32" s="227">
        <f t="shared" si="47"/>
        <v>0.10736842105263159</v>
      </c>
      <c r="AJ32" s="227">
        <f t="shared" si="48"/>
        <v>0.17802739726027397</v>
      </c>
      <c r="AK32" s="227">
        <f t="shared" si="62"/>
        <v>0</v>
      </c>
      <c r="AL32" s="227">
        <f t="shared" si="50"/>
        <v>0</v>
      </c>
      <c r="AM32" s="227">
        <v>0</v>
      </c>
      <c r="AN32" s="227">
        <f t="shared" si="51"/>
        <v>0.01</v>
      </c>
      <c r="AO32" s="227">
        <f t="shared" si="52"/>
        <v>0.01</v>
      </c>
      <c r="AP32" s="227">
        <f>IF(INDEX(Control!$Q$3:$S$62,MATCH($AA32,Control!$Q$3:$Q$62,0),MATCH(AP$6,Control!$Q$3:$S$3,0))=1,$BF$12*$BG$12,0)</f>
        <v>0.1</v>
      </c>
      <c r="AQ32" s="227" t="e">
        <f>IF(INDEX(Control!$Q$3:$S$62,MATCH($AA32,Control!$Q$3:$Q$62,0),MATCH(AQ$6,Control!$Q$3:$S$3,0))=1,$BF$13/$AC32,0)</f>
        <v>#N/A</v>
      </c>
      <c r="AR32" s="227">
        <f t="shared" si="53"/>
        <v>0</v>
      </c>
      <c r="AS32" s="227">
        <f t="shared" si="54"/>
        <v>0</v>
      </c>
      <c r="AT32" s="225" t="e">
        <f t="shared" si="55"/>
        <v>#N/A</v>
      </c>
      <c r="AU32" s="225" t="e">
        <f t="shared" si="56"/>
        <v>#N/A</v>
      </c>
      <c r="AV32" s="225">
        <f t="shared" si="57"/>
        <v>0.05</v>
      </c>
      <c r="AW32" s="260" t="e">
        <f t="shared" si="58"/>
        <v>#N/A</v>
      </c>
      <c r="AX32" s="220"/>
      <c r="AY32" s="229">
        <f>INDEX('[1]Transit Time'!$A:$DC,MATCH(H32,'[1]Transit Time'!$A:$A,0),MATCH(K32,'[1]Transit Time'!$A$1:$DC$1,0))+INDEX('[1]Transit Time'!$A:$DC,MATCH(K32,'[1]Transit Time'!$A:$A,0),MATCH(U32,'[1]Transit Time'!$A$1:$DC$1,0))+INDEX('[1]Transit Time'!$A:$DC,MATCH(U32,'[1]Transit Time'!$A:$A,0),MATCH(AA32,'[1]Transit Time'!$A$1:$DC$1,0))</f>
        <v>43</v>
      </c>
      <c r="AZ32" s="220"/>
      <c r="BA32" s="230">
        <f t="shared" si="59"/>
        <v>44697</v>
      </c>
      <c r="BB32" s="230">
        <f t="shared" si="60"/>
        <v>44699</v>
      </c>
      <c r="BC32"/>
    </row>
    <row r="33" spans="1:67" x14ac:dyDescent="0.35">
      <c r="B33" s="163">
        <f t="shared" si="38"/>
        <v>44654</v>
      </c>
      <c r="C33" s="163">
        <f t="shared" si="39"/>
        <v>44656</v>
      </c>
      <c r="E33" s="170"/>
      <c r="F33" s="173">
        <f>IF(H33=K33,0,INDEX('[2]Flat Rates 2023'!$A:$DB,MATCH(H33,'[2]Flat Rates 2023'!$A:$A,0),MATCH(K33,'[2]Flat Rates 2023'!$A$1:$DB$1,0)))</f>
        <v>0</v>
      </c>
      <c r="G33" s="173">
        <f>INDEX(Control!$E$17:$J$21,MATCH(M33,Control!$E$17:$E$21,0),MATCH(H33,Control!$E$17:$J$17,0))</f>
        <v>0</v>
      </c>
      <c r="H33" s="173" t="str">
        <f t="shared" si="61"/>
        <v>Covenas</v>
      </c>
      <c r="I33" s="172">
        <f>INDEX(Vessel_Minimum_MT,MATCH(M33,Control!$E$11:$E$15,0),MATCH(H33,Control!$E$11:$J$11,0))</f>
        <v>70000</v>
      </c>
      <c r="J33" s="175">
        <f t="shared" si="40"/>
        <v>90096.96796338672</v>
      </c>
      <c r="K33" s="173" t="s">
        <v>45</v>
      </c>
      <c r="L33" s="173" t="str">
        <f t="shared" si="41"/>
        <v>CARIBS/USGC</v>
      </c>
      <c r="M33" s="174" t="s">
        <v>23</v>
      </c>
      <c r="N33" s="175">
        <v>700000</v>
      </c>
      <c r="O33" s="179">
        <v>175</v>
      </c>
      <c r="P33" s="180">
        <v>0</v>
      </c>
      <c r="Q33" s="178">
        <f t="shared" si="42"/>
        <v>0</v>
      </c>
      <c r="R33" s="2"/>
      <c r="S33" s="138">
        <f>INDEX('[2]Flat Rates 2023'!$A:$DB,MATCH(U33,'[2]Flat Rates 2023'!$A:$A,0),MATCH(AA33,'[2]Flat Rates 2023'!$A$1:$DB$1,0))</f>
        <v>0</v>
      </c>
      <c r="T33" s="138">
        <f>INDEX(Control!$E$17:$J$21,MATCH(Z33,Control!$E$17:$E$21,0),MATCH(U33,Control!$E$17:$J$17,0))</f>
        <v>0.5</v>
      </c>
      <c r="U33" s="138" t="s">
        <v>62</v>
      </c>
      <c r="V33" s="139">
        <v>43430</v>
      </c>
      <c r="W33" s="139">
        <f t="shared" si="43"/>
        <v>43434</v>
      </c>
      <c r="X33" s="116">
        <f>INDEX(Vessel_Minimum_MT,MATCH(Z33,Control!$E$11:$E$15,0),MATCH(U33,Control!$E$11:$J$11,0))</f>
        <v>150000</v>
      </c>
      <c r="Y33" s="140">
        <f t="shared" si="44"/>
        <v>122274.45652173912</v>
      </c>
      <c r="Z33" s="147" t="s">
        <v>24</v>
      </c>
      <c r="AA33" s="164" t="s">
        <v>86</v>
      </c>
      <c r="AB33" s="142" t="str">
        <f t="shared" si="45"/>
        <v>CARIBS/INDIA</v>
      </c>
      <c r="AC33" s="141">
        <v>950000</v>
      </c>
      <c r="AD33" s="141">
        <v>1001</v>
      </c>
      <c r="AE33" s="151">
        <f>AE31-150000</f>
        <v>2200000</v>
      </c>
      <c r="AF33" s="149">
        <f t="shared" si="46"/>
        <v>2.3157894736842106</v>
      </c>
      <c r="AG33" s="144">
        <v>10</v>
      </c>
      <c r="AH33" s="141">
        <f>IF(INDEX(Index,MATCH(AA33,TVM_PortList,0),MATCH("Type",Control!$Q$3:$U$3,0))="BL",INDEX(Index,MATCH(AA33,TVM_PortList,0),MATCH("Payment",Control!$Q$3:$U$3,0))-INDEX(Index,MATCH(U33,TVM_PortList,0),MATCH("Payment",Control!$Q$3:$U$3,0)),AY33+INDEX(Index,MATCH(AA33,TVM_PortList,0),MATCH("Payment",Control!$Q$3:$U$3,0))-INDEX(Index,MATCH(U33,TVM_PortList,0),MATCH("Payment",Control!$Q$3:$U$3,0)))</f>
        <v>28</v>
      </c>
      <c r="AI33" s="143">
        <f t="shared" si="47"/>
        <v>0.26315789473684209</v>
      </c>
      <c r="AJ33" s="143">
        <f t="shared" si="48"/>
        <v>0.13117808219178081</v>
      </c>
      <c r="AK33" s="143">
        <f t="shared" si="62"/>
        <v>0</v>
      </c>
      <c r="AL33" s="143">
        <f t="shared" si="50"/>
        <v>0</v>
      </c>
      <c r="AM33" s="143">
        <v>0</v>
      </c>
      <c r="AN33" s="143">
        <f t="shared" si="51"/>
        <v>0.01</v>
      </c>
      <c r="AO33" s="143">
        <f t="shared" si="52"/>
        <v>0.01</v>
      </c>
      <c r="AP33" s="143">
        <f>IF(INDEX(Control!$Q$3:$S$62,MATCH($AA33,Control!$Q$3:$Q$62,0),MATCH(AP$6,Control!$Q$3:$S$3,0))=1,$BF$12*$BG$12,0)</f>
        <v>0.1</v>
      </c>
      <c r="AQ33" s="143" t="e">
        <f>IF(INDEX(Control!$Q$3:$S$62,MATCH($AA33,Control!$Q$3:$Q$62,0),MATCH(AQ$6,Control!$Q$3:$S$3,0))=1,$BF$13/$AC33,0)</f>
        <v>#N/A</v>
      </c>
      <c r="AR33" s="143">
        <f t="shared" si="53"/>
        <v>0</v>
      </c>
      <c r="AS33" s="143">
        <f t="shared" si="54"/>
        <v>0</v>
      </c>
      <c r="AT33" s="149" t="e">
        <f t="shared" si="55"/>
        <v>#N/A</v>
      </c>
      <c r="AU33" s="199" t="e">
        <f t="shared" si="56"/>
        <v>#N/A</v>
      </c>
      <c r="AV33" s="149">
        <f t="shared" si="57"/>
        <v>0.05</v>
      </c>
      <c r="AW33" s="145" t="e">
        <f t="shared" si="58"/>
        <v>#N/A</v>
      </c>
      <c r="AY33" s="153">
        <f>INDEX('[1]Transit Time'!$A:$DC,MATCH(H33,'[1]Transit Time'!$A:$A,0),MATCH(K33,'[1]Transit Time'!$A$1:$DC$1,0))+INDEX('[1]Transit Time'!$A:$DC,MATCH(K33,'[1]Transit Time'!$A:$A,0),MATCH(U33,'[1]Transit Time'!$A$1:$DC$1,0))+INDEX('[1]Transit Time'!$A:$DC,MATCH(U33,'[1]Transit Time'!$A:$A,0),MATCH(AA33,'[1]Transit Time'!$A$1:$DC$1,0))</f>
        <v>33</v>
      </c>
      <c r="BA33" s="163">
        <f t="shared" si="59"/>
        <v>44687</v>
      </c>
      <c r="BB33" s="163">
        <f t="shared" si="60"/>
        <v>44689</v>
      </c>
    </row>
    <row r="34" spans="1:67" s="165" customFormat="1" ht="16" thickBot="1" x14ac:dyDescent="0.4">
      <c r="A34" s="2"/>
      <c r="B34" s="230">
        <f t="shared" si="38"/>
        <v>44654</v>
      </c>
      <c r="C34" s="230">
        <f t="shared" si="39"/>
        <v>44656</v>
      </c>
      <c r="D34" s="210"/>
      <c r="E34" s="232"/>
      <c r="F34" s="240">
        <f>IF(H34=K34,0,INDEX('[2]Flat Rates 2023'!$A:$DB,MATCH(H34,'[2]Flat Rates 2023'!$A:$A,0),MATCH(K34,'[2]Flat Rates 2023'!$A$1:$DB$1,0)))</f>
        <v>0</v>
      </c>
      <c r="G34" s="240">
        <f>INDEX(Control!$E$17:$J$21,MATCH(M34,Control!$E$17:$E$21,0),MATCH(H34,Control!$E$17:$J$17,0))</f>
        <v>0</v>
      </c>
      <c r="H34" s="240" t="str">
        <f t="shared" si="61"/>
        <v>Covenas</v>
      </c>
      <c r="I34" s="234">
        <f>INDEX(Vessel_Minimum_MT,MATCH(M34,Control!$E$11:$E$15,0),MATCH(H34,Control!$E$11:$J$11,0))</f>
        <v>70000</v>
      </c>
      <c r="J34" s="241">
        <f t="shared" si="40"/>
        <v>90096.96796338672</v>
      </c>
      <c r="K34" s="233" t="s">
        <v>45</v>
      </c>
      <c r="L34" s="240" t="str">
        <f t="shared" si="41"/>
        <v>CARIBS/USGC</v>
      </c>
      <c r="M34" s="236" t="s">
        <v>23</v>
      </c>
      <c r="N34" s="235">
        <v>700000</v>
      </c>
      <c r="O34" s="242">
        <v>175</v>
      </c>
      <c r="P34" s="243">
        <v>0</v>
      </c>
      <c r="Q34" s="239">
        <f t="shared" si="42"/>
        <v>0</v>
      </c>
      <c r="R34" s="2"/>
      <c r="S34" s="220">
        <f>INDEX('[2]Flat Rates 2023'!$A:$DB,MATCH(U34,'[2]Flat Rates 2023'!$A:$A,0),MATCH(AA34,'[2]Flat Rates 2023'!$A$1:$DB$1,0))</f>
        <v>0</v>
      </c>
      <c r="T34" s="220">
        <f>INDEX(Control!$E$17:$J$21,MATCH(Z34,Control!$E$17:$E$21,0),MATCH(U34,Control!$E$17:$J$17,0))</f>
        <v>0.5</v>
      </c>
      <c r="U34" s="220" t="s">
        <v>62</v>
      </c>
      <c r="V34" s="221">
        <v>43430</v>
      </c>
      <c r="W34" s="221">
        <f t="shared" si="43"/>
        <v>43434</v>
      </c>
      <c r="X34" s="213">
        <f>INDEX(Vessel_Minimum_MT,MATCH(Z34,Control!$E$11:$E$15,0),MATCH(U34,Control!$E$11:$J$11,0))</f>
        <v>270000</v>
      </c>
      <c r="Y34" s="222">
        <f t="shared" si="44"/>
        <v>244548.91304347824</v>
      </c>
      <c r="Z34" s="215" t="s">
        <v>25</v>
      </c>
      <c r="AA34" s="223" t="s">
        <v>86</v>
      </c>
      <c r="AB34" s="212" t="str">
        <f t="shared" si="45"/>
        <v>CARIBS/INDIA</v>
      </c>
      <c r="AC34" s="214">
        <v>1900000</v>
      </c>
      <c r="AD34" s="214">
        <v>1001</v>
      </c>
      <c r="AE34" s="224">
        <f>AE32-300000</f>
        <v>3300000</v>
      </c>
      <c r="AF34" s="225">
        <f t="shared" si="46"/>
        <v>1.736842105263158</v>
      </c>
      <c r="AG34" s="226">
        <v>6</v>
      </c>
      <c r="AH34" s="214">
        <f>IF(INDEX(Index,MATCH(AA34,TVM_PortList,0),MATCH("Type",Control!$Q$3:$U$3,0))="BL",INDEX(Index,MATCH(AA34,TVM_PortList,0),MATCH("Payment",Control!$Q$3:$U$3,0))-INDEX(Index,MATCH(U34,TVM_PortList,0),MATCH("Payment",Control!$Q$3:$U$3,0)),AY34+INDEX(Index,MATCH(AA34,TVM_PortList,0),MATCH("Payment",Control!$Q$3:$U$3,0))-INDEX(Index,MATCH(U34,TVM_PortList,0),MATCH("Payment",Control!$Q$3:$U$3,0)))</f>
        <v>28</v>
      </c>
      <c r="AI34" s="227">
        <f t="shared" si="47"/>
        <v>0.10736842105263159</v>
      </c>
      <c r="AJ34" s="227">
        <f t="shared" si="48"/>
        <v>0.13117808219178081</v>
      </c>
      <c r="AK34" s="227">
        <f t="shared" si="62"/>
        <v>0</v>
      </c>
      <c r="AL34" s="227">
        <f t="shared" si="50"/>
        <v>0</v>
      </c>
      <c r="AM34" s="227">
        <v>0</v>
      </c>
      <c r="AN34" s="227">
        <f t="shared" si="51"/>
        <v>0.01</v>
      </c>
      <c r="AO34" s="227">
        <f t="shared" si="52"/>
        <v>0.01</v>
      </c>
      <c r="AP34" s="227">
        <f>IF(INDEX(Control!$Q$3:$S$62,MATCH($AA34,Control!$Q$3:$Q$62,0),MATCH(AP$6,Control!$Q$3:$S$3,0))=1,$BF$12*$BG$12,0)</f>
        <v>0.1</v>
      </c>
      <c r="AQ34" s="227" t="e">
        <f>IF(INDEX(Control!$Q$3:$S$62,MATCH($AA34,Control!$Q$3:$Q$62,0),MATCH(AQ$6,Control!$Q$3:$S$3,0))=1,$BF$13/$AC34,0)</f>
        <v>#N/A</v>
      </c>
      <c r="AR34" s="227">
        <f t="shared" si="53"/>
        <v>0</v>
      </c>
      <c r="AS34" s="227">
        <f t="shared" si="54"/>
        <v>0</v>
      </c>
      <c r="AT34" s="225" t="e">
        <f>SUM(AI34:AS34)</f>
        <v>#N/A</v>
      </c>
      <c r="AU34" s="225" t="e">
        <f t="shared" si="56"/>
        <v>#N/A</v>
      </c>
      <c r="AV34" s="225">
        <f t="shared" si="57"/>
        <v>0.05</v>
      </c>
      <c r="AW34" s="260" t="e">
        <f t="shared" si="58"/>
        <v>#N/A</v>
      </c>
      <c r="AX34" s="220"/>
      <c r="AY34" s="229">
        <f>INDEX('[1]Transit Time'!$A:$DC,MATCH(H34,'[1]Transit Time'!$A:$A,0),MATCH(K34,'[1]Transit Time'!$A$1:$DC$1,0))+INDEX('[1]Transit Time'!$A:$DC,MATCH(K34,'[1]Transit Time'!$A:$A,0),MATCH(U34,'[1]Transit Time'!$A$1:$DC$1,0))+INDEX('[1]Transit Time'!$A:$DC,MATCH(U34,'[1]Transit Time'!$A:$A,0),MATCH(AA34,'[1]Transit Time'!$A$1:$DC$1,0))</f>
        <v>33</v>
      </c>
      <c r="AZ34" s="220"/>
      <c r="BA34" s="230">
        <f t="shared" si="59"/>
        <v>44687</v>
      </c>
      <c r="BB34" s="230">
        <f t="shared" si="60"/>
        <v>44689</v>
      </c>
      <c r="BC34"/>
    </row>
    <row r="35" spans="1:67" s="152" customFormat="1" ht="21" customHeight="1" thickBot="1" x14ac:dyDescent="0.5">
      <c r="A35" s="2"/>
      <c r="B35"/>
      <c r="C35"/>
      <c r="D35"/>
      <c r="E35" s="1064"/>
      <c r="F35" s="1065"/>
      <c r="G35" s="1065"/>
      <c r="H35" s="1065"/>
      <c r="I35" s="1065"/>
      <c r="J35" s="1065"/>
      <c r="K35" s="1065"/>
      <c r="L35" s="1065"/>
      <c r="M35" s="1065"/>
      <c r="N35" s="1065"/>
      <c r="O35" s="1065"/>
      <c r="P35" s="1065"/>
      <c r="Q35" s="1065"/>
      <c r="R35" s="2"/>
      <c r="S35" s="9"/>
      <c r="T35" s="9"/>
      <c r="U35" s="9"/>
      <c r="V35" s="9"/>
      <c r="W35" s="9"/>
      <c r="X35" s="9"/>
      <c r="Y35" s="9"/>
      <c r="Z35" s="1064" t="s">
        <v>357</v>
      </c>
      <c r="AA35" s="1065"/>
      <c r="AB35" s="1065"/>
      <c r="AC35" s="1065"/>
      <c r="AD35" s="1065"/>
      <c r="AE35" s="1065"/>
      <c r="AF35" s="1065"/>
      <c r="AG35" s="1065"/>
      <c r="AH35" s="1065"/>
      <c r="AI35" s="1065"/>
      <c r="AJ35" s="1065"/>
      <c r="AK35" s="1065"/>
      <c r="AL35" s="1065"/>
      <c r="AM35" s="1065"/>
      <c r="AN35" s="1065"/>
      <c r="AO35" s="1065"/>
      <c r="AP35" s="1065"/>
      <c r="AQ35" s="1065"/>
      <c r="AR35" s="1065"/>
      <c r="AS35" s="1065"/>
      <c r="AT35" s="1065"/>
      <c r="AU35" s="1065"/>
      <c r="AV35" s="1065"/>
      <c r="AW35" s="1066"/>
      <c r="AX35" s="2"/>
      <c r="AY35"/>
      <c r="AZ35" s="2"/>
      <c r="BA35"/>
      <c r="BB35"/>
      <c r="BC35"/>
    </row>
    <row r="36" spans="1:67" ht="29.5" customHeight="1" thickBot="1" x14ac:dyDescent="0.4">
      <c r="B36" s="1005" t="s">
        <v>167</v>
      </c>
      <c r="C36" s="1005"/>
      <c r="E36" s="120" t="s">
        <v>276</v>
      </c>
      <c r="F36" s="152" t="s">
        <v>172</v>
      </c>
      <c r="G36" s="152" t="s">
        <v>2</v>
      </c>
      <c r="H36" s="152" t="s">
        <v>173</v>
      </c>
      <c r="I36" s="152" t="s">
        <v>174</v>
      </c>
      <c r="J36" s="125" t="s">
        <v>175</v>
      </c>
      <c r="K36" s="152" t="s">
        <v>177</v>
      </c>
      <c r="L36" s="152" t="s">
        <v>178</v>
      </c>
      <c r="M36" s="122" t="s">
        <v>176</v>
      </c>
      <c r="N36" s="120" t="s">
        <v>200</v>
      </c>
      <c r="O36" s="120" t="str">
        <f>$O$6</f>
        <v>WS Rate</v>
      </c>
      <c r="P36" s="121" t="s">
        <v>202</v>
      </c>
      <c r="Q36" s="123" t="s">
        <v>278</v>
      </c>
      <c r="R36" s="2"/>
      <c r="S36" s="120" t="s">
        <v>172</v>
      </c>
      <c r="T36" s="120" t="s">
        <v>2</v>
      </c>
      <c r="U36" s="120" t="s">
        <v>173</v>
      </c>
      <c r="V36" s="120" t="s">
        <v>167</v>
      </c>
      <c r="W36" s="120"/>
      <c r="X36" s="152" t="str">
        <f>$X$6</f>
        <v>Vessel MT</v>
      </c>
      <c r="Y36" s="120" t="s">
        <v>175</v>
      </c>
      <c r="Z36" s="120" t="s">
        <v>176</v>
      </c>
      <c r="AA36" s="120" t="s">
        <v>177</v>
      </c>
      <c r="AB36" s="120" t="s">
        <v>178</v>
      </c>
      <c r="AC36" s="120" t="s">
        <v>200</v>
      </c>
      <c r="AD36" s="146" t="str">
        <f>$AD$6</f>
        <v xml:space="preserve">Current WS Rate </v>
      </c>
      <c r="AE36" s="128" t="s">
        <v>202</v>
      </c>
      <c r="AF36" s="150" t="s">
        <v>182</v>
      </c>
      <c r="AG36" s="136" t="s">
        <v>183</v>
      </c>
      <c r="AH36" s="146" t="s">
        <v>279</v>
      </c>
      <c r="AI36" s="136" t="s">
        <v>184</v>
      </c>
      <c r="AJ36" s="136" t="s">
        <v>140</v>
      </c>
      <c r="AK36" s="136" t="str">
        <f>AK44</f>
        <v>STS</v>
      </c>
      <c r="AL36" s="136" t="s">
        <v>186</v>
      </c>
      <c r="AM36" s="136" t="s">
        <v>187</v>
      </c>
      <c r="AN36" s="136" t="s">
        <v>141</v>
      </c>
      <c r="AO36" s="136" t="s">
        <v>188</v>
      </c>
      <c r="AP36" s="136" t="s">
        <v>17</v>
      </c>
      <c r="AQ36" s="136" t="s">
        <v>207</v>
      </c>
      <c r="AR36" s="136" t="s">
        <v>189</v>
      </c>
      <c r="AS36" s="136" t="s">
        <v>152</v>
      </c>
      <c r="AT36" s="150" t="s">
        <v>208</v>
      </c>
      <c r="AU36" s="150" t="s">
        <v>209</v>
      </c>
      <c r="AV36" s="150" t="s">
        <v>210</v>
      </c>
      <c r="AW36" s="137" t="s">
        <v>211</v>
      </c>
      <c r="AY36" s="137" t="s">
        <v>195</v>
      </c>
      <c r="BA36" s="1011" t="s">
        <v>196</v>
      </c>
      <c r="BB36" s="1011"/>
      <c r="BD36" s="118"/>
      <c r="BL36" s="132"/>
      <c r="BM36" s="127"/>
      <c r="BN36" s="132"/>
      <c r="BO36" s="132"/>
    </row>
    <row r="37" spans="1:67" ht="17.25" customHeight="1" thickBot="1" x14ac:dyDescent="0.4">
      <c r="B37" s="163">
        <f>B34</f>
        <v>44654</v>
      </c>
      <c r="C37" s="163">
        <f t="shared" ref="C37:C42" si="63">IF(ISBLANK(B37),"",B37+2)</f>
        <v>44656</v>
      </c>
      <c r="E37" s="64"/>
      <c r="F37" s="65">
        <f>IF(H37=K37,0,INDEX('[2]Flat Rates 2023'!$A:$DB,MATCH(H37,'[2]Flat Rates 2023'!$A:$A,0),MATCH(K37,'[2]Flat Rates 2023'!$A$1:$DB$1,0)))</f>
        <v>0</v>
      </c>
      <c r="G37" s="65">
        <f>INDEX(Control!$E$17:$J$21,MATCH(M37,Control!$E$17:$E$21,0),MATCH(H37,Control!$E$17:$J$17,0))</f>
        <v>0.5</v>
      </c>
      <c r="H37" s="65" t="str">
        <f t="shared" ref="H37:H42" si="64">$H$7</f>
        <v>Covenas</v>
      </c>
      <c r="I37" s="116">
        <f>INDEX(Vessel_Minimum_MT,MATCH(M37,Control!$E$11:$E$15,0),MATCH(H37,Control!$E$11:$J$11,0))</f>
        <v>50000</v>
      </c>
      <c r="J37" s="131">
        <f t="shared" ref="J37:J42" si="65">N37/$BF$15</f>
        <v>90096.96796338672</v>
      </c>
      <c r="K37" s="65" t="s">
        <v>45</v>
      </c>
      <c r="L37" s="65" t="str">
        <f t="shared" ref="L37:L42" si="66">IF(K37=H37,"",CONCATENATE(CONCATENATE(VLOOKUP(H37,Zones,2,FALSE),"/",VLOOKUP(K37,Zones,2,FALSE))))</f>
        <v>CARIBS/USGC</v>
      </c>
      <c r="M37" s="156" t="s">
        <v>22</v>
      </c>
      <c r="N37" s="68">
        <v>700000</v>
      </c>
      <c r="O37" s="69">
        <v>185</v>
      </c>
      <c r="P37" s="70">
        <v>0</v>
      </c>
      <c r="Q37" s="71">
        <f t="shared" ref="Q37:Q42" si="67">IF($H37="Esmeraldas",IF(O37&gt;1000,IF(P37=0,O37,P37)/N37*1.1,((I37*F37*(IF(P37=0,O37,P37)/100))+IF(J37&lt;I37,0,(J37-I37)*F37*IF(P37=0,O37,P37)/100*G37))/N37*1.1),IF(O37&gt;1000,IF(P37=0,O37,P37)/N37,((I37*F37*(IF(P37=0,O37,P37)/100))+IF(J37&lt;I37,0,(J37-I37)*F37*IF(P37=0,O37,P37)/100*G37)))/N37)</f>
        <v>0</v>
      </c>
      <c r="R37" s="2"/>
      <c r="S37" s="138">
        <f>INDEX('[2]Flat Rates 2023'!$A:$DB,MATCH(U37,'[2]Flat Rates 2023'!$A:$A,0),MATCH(AA37,'[2]Flat Rates 2023'!$A$1:$DB$1,0))</f>
        <v>0</v>
      </c>
      <c r="T37" s="138">
        <f>INDEX(Control!$E$17:$J$21,MATCH(Z37,Control!$E$17:$E$21,0),MATCH(U37,Control!$E$17:$J$17,0))</f>
        <v>0</v>
      </c>
      <c r="U37" s="138" t="s">
        <v>62</v>
      </c>
      <c r="V37" s="139">
        <v>43430</v>
      </c>
      <c r="W37" s="139">
        <f t="shared" ref="W37:W42" si="68">+V37+4</f>
        <v>43434</v>
      </c>
      <c r="X37" s="116">
        <f>INDEX(Vessel_Minimum_MT,MATCH(Z37,Control!$E$11:$E$15,0),MATCH(U37,Control!$E$11:$J$11,0))</f>
        <v>70000</v>
      </c>
      <c r="Y37" s="140">
        <f t="shared" ref="Y37:Y42" si="69">AC37/$BF$15</f>
        <v>96532.465675057203</v>
      </c>
      <c r="Z37" s="48" t="s">
        <v>23</v>
      </c>
      <c r="AA37" s="164" t="s">
        <v>42</v>
      </c>
      <c r="AB37" s="142" t="str">
        <f t="shared" ref="AB37:AB42" si="70">IF(AA37=U37,"",CONCATENATE(CONCATENATE(VLOOKUP(U37,Zones,2,FALSE),"/",VLOOKUP(AA37,Zones,2,FALSE))))</f>
        <v>CARIBS/Nsea</v>
      </c>
      <c r="AC37" s="141">
        <v>750000</v>
      </c>
      <c r="AD37" s="141">
        <v>145</v>
      </c>
      <c r="AE37" s="263">
        <v>69</v>
      </c>
      <c r="AF37" s="149">
        <f t="shared" ref="AF37:AF42" si="71">IF($U37="Esmeraldas",IF(AD37&gt;1000,IF(AE37=0,AD37,AE37)/AC37*1.1,((X37*S37*(IF(AE37=0,AD37,AE37)/100))+IF(Y37&lt;X37,0,(Y37-X37)*S37*IF(AE37=0,AD37,AE37)/100*T37))/AC37*1.1),IF(AD37&gt;1000,IF(AE37=0,AD37,AE37)/AC37,((X37*S37*(IF(AE37=0,AD37,AE37)/100))+IF(Y37&lt;X37,0,(Y37-X37)*S37*IF(AE37=0,AD37,AE37)/100*T37))/AC37))</f>
        <v>0</v>
      </c>
      <c r="AG37" s="134">
        <v>1</v>
      </c>
      <c r="AH37" s="155">
        <f>IF(INDEX(Index,MATCH(AA37,TVM_PortList,0),MATCH("Type",Control!$Q$3:$U$3,0))="BL",INDEX(Index,MATCH(AA37,TVM_PortList,0),MATCH("Payment",Control!$Q$3:$U$3,0))-INDEX(Index,MATCH(U37,TVM_PortList,0),MATCH("Payment",Control!$Q$3:$U$3,0)),AY37+INDEX(Index,MATCH(AA37,TVM_PortList,0),MATCH("Payment",Control!$Q$3:$U$3,0))-INDEX(Index,MATCH(U37,TVM_PortList,0),MATCH("Payment",Control!$Q$3:$U$3,0)))</f>
        <v>15</v>
      </c>
      <c r="AI37" s="143">
        <f t="shared" ref="AI37:AI42" si="72">AG37*VLOOKUP($Z37,$BH$7:$BJ$11,3,FALSE)/$AC37</f>
        <v>2.5999999999999999E-2</v>
      </c>
      <c r="AJ37" s="143">
        <f t="shared" ref="AJ37:AJ42" si="73">IF(AH37&lt;0,0,$AH37*$BF$9)</f>
        <v>7.0273972602739723E-2</v>
      </c>
      <c r="AK37" s="143">
        <f t="shared" ref="AK37:AK42" si="74">IF(((AC37-VLOOKUP(Z37,$BL$8:$BM$12,2,FALSE))/$BF$16)&lt;=0,0,ROUNDUP(((AC37-VLOOKUP(Z37,$BL$8:$BM$12,2,FALSE))/$BF$16),0)*$BJ$13/AC37)</f>
        <v>0</v>
      </c>
      <c r="AL37" s="143">
        <f t="shared" ref="AL37:AL42" si="75">IF(H37="Corpus Christi",$BF$8,0)</f>
        <v>0</v>
      </c>
      <c r="AM37" s="143">
        <v>0</v>
      </c>
      <c r="AN37" s="143">
        <f t="shared" ref="AN37:AN42" si="76">$BF$10</f>
        <v>0.01</v>
      </c>
      <c r="AO37" s="143">
        <f t="shared" ref="AO37:AO42" si="77">$BF$11</f>
        <v>0.01</v>
      </c>
      <c r="AP37" s="143">
        <f>IF(INDEX(Control!$Q$3:$S$62,MATCH($AA37,Control!$Q$3:$Q$62,0),MATCH(AP$6,Control!$Q$3:$S$3,0))=1,$BF$12*$BG$12,0)</f>
        <v>0</v>
      </c>
      <c r="AQ37" s="143" t="e">
        <f>IF(INDEX(Control!$Q$3:$S$62,MATCH($AA37,Control!$Q$3:$Q$62,0),MATCH(AQ$6,Control!$Q$3:$S$3,0))=1,$BF$13/$AC37,0)</f>
        <v>#N/A</v>
      </c>
      <c r="AR37" s="143">
        <f t="shared" ref="AR37:AR42" si="78">$BF$14</f>
        <v>0</v>
      </c>
      <c r="AS37" s="143">
        <f t="shared" ref="AS37:AS42" si="79">IF(AND(K37="Chiriqui Grande",U37="Puerto Armuelles"),$BI$16,0)</f>
        <v>0</v>
      </c>
      <c r="AT37" s="149" t="e">
        <f t="shared" ref="AT37:AT38" si="80">SUM(AI37:AS37)</f>
        <v>#N/A</v>
      </c>
      <c r="AU37" s="149" t="e">
        <f t="shared" ref="AU37:AU42" si="81">+Q37+AF37+AT37</f>
        <v>#N/A</v>
      </c>
      <c r="AV37" s="149">
        <f t="shared" ref="AV37:AV42" si="82">IF(MONTH(BB37)-MONTH(B37)=1,$AV$3,IF(MONTH(BB37)-MONTH(B37)=0,0,$AV$3+$AW$3))-$M$4</f>
        <v>0.5</v>
      </c>
      <c r="AW37" s="135" t="e">
        <f t="shared" ref="AW37:AW42" si="83">$M$3+AU37+AV37</f>
        <v>#N/A</v>
      </c>
      <c r="AY37" s="153">
        <f>INDEX('[1]Transit Time'!$A:$DC,MATCH(H37,'[1]Transit Time'!$A:$A,0),MATCH(K37,'[1]Transit Time'!$A$1:$DC$1,0))+INDEX('[1]Transit Time'!$A:$DC,MATCH(K37,'[1]Transit Time'!$A:$A,0),MATCH(U37,'[1]Transit Time'!$A$1:$DC$1,0))+INDEX('[1]Transit Time'!$A:$DC,MATCH(U37,'[1]Transit Time'!$A:$A,0),MATCH(AA37,'[1]Transit Time'!$A$1:$DC$1,0))</f>
        <v>16</v>
      </c>
      <c r="BA37" s="163">
        <f t="shared" ref="BA37:BA42" si="84">IF(ISBLANK(B37),"",B37+$AY37)</f>
        <v>44670</v>
      </c>
      <c r="BB37" s="163">
        <f t="shared" ref="BB37:BB42" si="85">IFERROR(IF(ISBLANK(C37),"",C37+$AY37),"")</f>
        <v>44672</v>
      </c>
      <c r="BC37" s="78">
        <f>((AC37-VLOOKUP(Z37,$BL$8:$BM$12,2,FALSE))/$BF$16)</f>
        <v>0</v>
      </c>
      <c r="BD37" s="133"/>
      <c r="BE37" s="45"/>
      <c r="BG37" s="44"/>
    </row>
    <row r="38" spans="1:67" s="165" customFormat="1" x14ac:dyDescent="0.35">
      <c r="A38" s="2"/>
      <c r="B38" s="230">
        <f t="shared" ref="B38:B42" si="86">+$B$7</f>
        <v>44654</v>
      </c>
      <c r="C38" s="230">
        <f t="shared" si="63"/>
        <v>44656</v>
      </c>
      <c r="D38" s="210"/>
      <c r="E38" s="244"/>
      <c r="F38" s="245">
        <f>IF(H38=K38,0,INDEX('[2]Flat Rates 2023'!$A:$DB,MATCH(H38,'[2]Flat Rates 2023'!$A:$A,0),MATCH(K38,'[2]Flat Rates 2023'!$A$1:$DB$1,0)))</f>
        <v>0</v>
      </c>
      <c r="G38" s="245">
        <f>INDEX(Control!$E$17:$J$21,MATCH(M38,Control!$E$17:$E$21,0),MATCH(H38,Control!$E$17:$J$17,0))</f>
        <v>0.5</v>
      </c>
      <c r="H38" s="245" t="str">
        <f t="shared" si="64"/>
        <v>Covenas</v>
      </c>
      <c r="I38" s="213">
        <f>INDEX(Vessel_Minimum_MT,MATCH(M38,Control!$E$11:$E$15,0),MATCH(H38,Control!$E$11:$J$11,0))</f>
        <v>50000</v>
      </c>
      <c r="J38" s="246">
        <f t="shared" si="65"/>
        <v>90096.96796338672</v>
      </c>
      <c r="K38" s="245" t="s">
        <v>45</v>
      </c>
      <c r="L38" s="245" t="str">
        <f t="shared" si="66"/>
        <v>CARIBS/USGC</v>
      </c>
      <c r="M38" s="247" t="s">
        <v>22</v>
      </c>
      <c r="N38" s="246">
        <v>700000</v>
      </c>
      <c r="O38" s="248">
        <v>185</v>
      </c>
      <c r="P38" s="249">
        <v>0</v>
      </c>
      <c r="Q38" s="250">
        <f t="shared" si="67"/>
        <v>0</v>
      </c>
      <c r="R38" s="2"/>
      <c r="S38" s="220">
        <f>INDEX('[2]Flat Rates 2023'!$A:$DB,MATCH(U38,'[2]Flat Rates 2023'!$A:$A,0),MATCH(AA38,'[2]Flat Rates 2023'!$A$1:$DB$1,0))</f>
        <v>0</v>
      </c>
      <c r="T38" s="220">
        <f>INDEX(Control!$E$17:$J$21,MATCH(Z38,Control!$E$17:$E$21,0),MATCH(U38,Control!$E$17:$J$17,0))</f>
        <v>0</v>
      </c>
      <c r="U38" s="220" t="s">
        <v>62</v>
      </c>
      <c r="V38" s="221">
        <v>43430</v>
      </c>
      <c r="W38" s="221">
        <f t="shared" si="68"/>
        <v>43434</v>
      </c>
      <c r="X38" s="213">
        <f>INDEX(Vessel_Minimum_MT,MATCH(Z38,Control!$E$11:$E$15,0),MATCH(U38,Control!$E$11:$J$11,0))</f>
        <v>70000</v>
      </c>
      <c r="Y38" s="222">
        <f t="shared" si="69"/>
        <v>96532.465675057203</v>
      </c>
      <c r="Z38" s="215" t="s">
        <v>23</v>
      </c>
      <c r="AA38" s="223" t="s">
        <v>47</v>
      </c>
      <c r="AB38" s="212" t="str">
        <f t="shared" si="70"/>
        <v>CARIBS/Nsea</v>
      </c>
      <c r="AC38" s="214">
        <v>750000</v>
      </c>
      <c r="AD38" s="214">
        <v>145</v>
      </c>
      <c r="AE38" s="262">
        <f>AE37</f>
        <v>69</v>
      </c>
      <c r="AF38" s="225">
        <f t="shared" si="71"/>
        <v>0</v>
      </c>
      <c r="AG38" s="226">
        <v>1</v>
      </c>
      <c r="AH38" s="214">
        <f>IF(INDEX(Index,MATCH(AA38,TVM_PortList,0),MATCH("Type",Control!$Q$3:$U$3,0))="BL",INDEX(Index,MATCH(AA38,TVM_PortList,0),MATCH("Payment",Control!$Q$3:$U$3,0))-INDEX(Index,MATCH(U38,TVM_PortList,0),MATCH("Payment",Control!$Q$3:$U$3,0)),AY38+INDEX(Index,MATCH(AA38,TVM_PortList,0),MATCH("Payment",Control!$Q$3:$U$3,0))-INDEX(Index,MATCH(U38,TVM_PortList,0),MATCH("Payment",Control!$Q$3:$U$3,0)))</f>
        <v>15</v>
      </c>
      <c r="AI38" s="227">
        <f t="shared" si="72"/>
        <v>2.5999999999999999E-2</v>
      </c>
      <c r="AJ38" s="227">
        <f t="shared" si="73"/>
        <v>7.0273972602739723E-2</v>
      </c>
      <c r="AK38" s="227">
        <f t="shared" si="74"/>
        <v>0</v>
      </c>
      <c r="AL38" s="227">
        <f t="shared" si="75"/>
        <v>0</v>
      </c>
      <c r="AM38" s="227">
        <v>0</v>
      </c>
      <c r="AN38" s="227">
        <f t="shared" si="76"/>
        <v>0.01</v>
      </c>
      <c r="AO38" s="227">
        <f t="shared" si="77"/>
        <v>0.01</v>
      </c>
      <c r="AP38" s="227">
        <f>IF(INDEX(Control!$Q$3:$S$62,MATCH($AA38,Control!$Q$3:$Q$62,0),MATCH(AP$6,Control!$Q$3:$S$3,0))=1,$BF$12*$BG$12,0)</f>
        <v>0</v>
      </c>
      <c r="AQ38" s="227" t="e">
        <f>IF(INDEX(Control!$Q$3:$S$62,MATCH($AA38,Control!$Q$3:$Q$62,0),MATCH(AQ$6,Control!$Q$3:$S$3,0))=1,$BF$13/$AC38,0)</f>
        <v>#N/A</v>
      </c>
      <c r="AR38" s="227">
        <f t="shared" si="78"/>
        <v>0</v>
      </c>
      <c r="AS38" s="227">
        <f t="shared" si="79"/>
        <v>0</v>
      </c>
      <c r="AT38" s="225" t="e">
        <f t="shared" si="80"/>
        <v>#N/A</v>
      </c>
      <c r="AU38" s="225" t="e">
        <f t="shared" si="81"/>
        <v>#N/A</v>
      </c>
      <c r="AV38" s="225">
        <f t="shared" si="82"/>
        <v>0.5</v>
      </c>
      <c r="AW38" s="228" t="e">
        <f t="shared" si="83"/>
        <v>#N/A</v>
      </c>
      <c r="AX38" s="220"/>
      <c r="AY38" s="229">
        <f>INDEX('[1]Transit Time'!$A:$DC,MATCH(H38,'[1]Transit Time'!$A:$A,0),MATCH(K38,'[1]Transit Time'!$A$1:$DC$1,0))+INDEX('[1]Transit Time'!$A:$DC,MATCH(K38,'[1]Transit Time'!$A:$A,0),MATCH(U38,'[1]Transit Time'!$A$1:$DC$1,0))+INDEX('[1]Transit Time'!$A:$DC,MATCH(U38,'[1]Transit Time'!$A:$A,0),MATCH(AA38,'[1]Transit Time'!$A$1:$DC$1,0))</f>
        <v>0</v>
      </c>
      <c r="AZ38" s="204"/>
      <c r="BA38" s="230">
        <f t="shared" si="84"/>
        <v>44654</v>
      </c>
      <c r="BB38" s="230">
        <f t="shared" si="85"/>
        <v>44656</v>
      </c>
      <c r="BC38"/>
      <c r="BF38" s="166"/>
      <c r="BG38" s="166"/>
    </row>
    <row r="39" spans="1:67" customFormat="1" x14ac:dyDescent="0.35">
      <c r="A39" s="2"/>
      <c r="B39" s="163">
        <f t="shared" si="86"/>
        <v>44654</v>
      </c>
      <c r="C39" s="163">
        <f t="shared" si="63"/>
        <v>44656</v>
      </c>
      <c r="E39" s="157"/>
      <c r="F39" s="158">
        <f>IF(H39=K39,0,INDEX('[2]Flat Rates 2023'!$A:$DB,MATCH(H39,'[2]Flat Rates 2023'!$A:$A,0),MATCH(K39,'[2]Flat Rates 2023'!$A$1:$DB$1,0)))</f>
        <v>0</v>
      </c>
      <c r="G39" s="158">
        <f>INDEX(Control!$E$17:$J$21,MATCH(M39,Control!$E$17:$E$21,0),MATCH(H39,Control!$E$17:$J$17,0))</f>
        <v>0.5</v>
      </c>
      <c r="H39" s="158" t="str">
        <f t="shared" si="64"/>
        <v>Covenas</v>
      </c>
      <c r="I39" s="116">
        <f>INDEX(Vessel_Minimum_MT,MATCH(M39,Control!$E$11:$E$15,0),MATCH(H39,Control!$E$11:$J$11,0))</f>
        <v>50000</v>
      </c>
      <c r="J39" s="159">
        <f t="shared" si="65"/>
        <v>90096.96796338672</v>
      </c>
      <c r="K39" s="158" t="s">
        <v>45</v>
      </c>
      <c r="L39" s="158" t="str">
        <f t="shared" si="66"/>
        <v>CARIBS/USGC</v>
      </c>
      <c r="M39" s="156" t="s">
        <v>22</v>
      </c>
      <c r="N39" s="159">
        <v>700000</v>
      </c>
      <c r="O39" s="160">
        <v>185</v>
      </c>
      <c r="P39" s="161">
        <v>0</v>
      </c>
      <c r="Q39" s="162">
        <f t="shared" si="67"/>
        <v>0</v>
      </c>
      <c r="R39" s="2"/>
      <c r="S39" s="220">
        <f>INDEX('[2]Flat Rates 2023'!$A:$DB,MATCH(U39,'[2]Flat Rates 2023'!$A:$A,0),MATCH(AA39,'[2]Flat Rates 2023'!$A$1:$DB$1,0))</f>
        <v>0</v>
      </c>
      <c r="T39" s="138">
        <f>INDEX(Control!$E$17:$J$21,MATCH(Z39,Control!$E$17:$E$21,0),MATCH(U39,Control!$E$17:$J$17,0))</f>
        <v>0</v>
      </c>
      <c r="U39" s="138" t="s">
        <v>62</v>
      </c>
      <c r="V39" s="139">
        <v>43430</v>
      </c>
      <c r="W39" s="139">
        <f t="shared" si="68"/>
        <v>43434</v>
      </c>
      <c r="X39" s="116">
        <f>INDEX(Vessel_Minimum_MT,MATCH(Z39,Control!$E$11:$E$15,0),MATCH(U39,Control!$E$11:$J$11,0))</f>
        <v>70000</v>
      </c>
      <c r="Y39" s="140">
        <f t="shared" si="69"/>
        <v>96532.465675057203</v>
      </c>
      <c r="Z39" s="147" t="s">
        <v>23</v>
      </c>
      <c r="AA39" s="164" t="s">
        <v>29</v>
      </c>
      <c r="AB39" s="142" t="str">
        <f t="shared" si="70"/>
        <v>CARIBS/Med</v>
      </c>
      <c r="AC39" s="141">
        <v>750000</v>
      </c>
      <c r="AD39" s="141">
        <v>145</v>
      </c>
      <c r="AE39" s="151">
        <f>AE37</f>
        <v>69</v>
      </c>
      <c r="AF39" s="149">
        <f t="shared" si="71"/>
        <v>0</v>
      </c>
      <c r="AG39" s="134">
        <v>1</v>
      </c>
      <c r="AH39" s="155">
        <f>IF(INDEX(Index,MATCH(AA39,TVM_PortList,0),MATCH("Type",Control!$Q$3:$U$3,0))="BL",INDEX(Index,MATCH(AA39,TVM_PortList,0),MATCH("Payment",Control!$Q$3:$U$3,0))-INDEX(Index,MATCH(U39,TVM_PortList,0),MATCH("Payment",Control!$Q$3:$U$3,0)),AY39+INDEX(Index,MATCH(AA39,TVM_PortList,0),MATCH("Payment",Control!$Q$3:$U$3,0))-INDEX(Index,MATCH(U39,TVM_PortList,0),MATCH("Payment",Control!$Q$3:$U$3,0)))</f>
        <v>15</v>
      </c>
      <c r="AI39" s="143">
        <f t="shared" si="72"/>
        <v>2.5999999999999999E-2</v>
      </c>
      <c r="AJ39" s="143">
        <f t="shared" si="73"/>
        <v>7.0273972602739723E-2</v>
      </c>
      <c r="AK39" s="143">
        <f t="shared" si="74"/>
        <v>0</v>
      </c>
      <c r="AL39" s="143">
        <f t="shared" si="75"/>
        <v>0</v>
      </c>
      <c r="AM39" s="143">
        <v>0</v>
      </c>
      <c r="AN39" s="143">
        <f t="shared" si="76"/>
        <v>0.01</v>
      </c>
      <c r="AO39" s="143">
        <f t="shared" si="77"/>
        <v>0.01</v>
      </c>
      <c r="AP39" s="143">
        <f>IF(INDEX(Control!$Q$3:$S$62,MATCH($AA39,Control!$Q$3:$Q$62,0),MATCH(AP$6,Control!$Q$3:$S$3,0))=1,$BF$12*$BG$12,0)</f>
        <v>0</v>
      </c>
      <c r="AQ39" s="143" t="e">
        <f>IF(INDEX(Control!$Q$3:$S$62,MATCH($AA39,Control!$Q$3:$Q$62,0),MATCH(AQ$6,Control!$Q$3:$S$3,0))=1,$BF$13/$AC39,0)</f>
        <v>#N/A</v>
      </c>
      <c r="AR39" s="143">
        <f t="shared" si="78"/>
        <v>0</v>
      </c>
      <c r="AS39" s="143">
        <f t="shared" si="79"/>
        <v>0</v>
      </c>
      <c r="AT39" s="149" t="e">
        <f t="shared" ref="AT39" si="87">SUM(AI39:AS39)</f>
        <v>#N/A</v>
      </c>
      <c r="AU39" s="149" t="e">
        <f t="shared" si="81"/>
        <v>#N/A</v>
      </c>
      <c r="AV39" s="149">
        <f t="shared" si="82"/>
        <v>0.5</v>
      </c>
      <c r="AW39" s="145" t="e">
        <f t="shared" si="83"/>
        <v>#N/A</v>
      </c>
      <c r="AX39" s="2"/>
      <c r="AY39" s="153">
        <f>INDEX('[1]Transit Time'!$A:$DC,MATCH(H39,'[1]Transit Time'!$A:$A,0),MATCH(K39,'[1]Transit Time'!$A$1:$DC$1,0))+INDEX('[1]Transit Time'!$A:$DC,MATCH(K39,'[1]Transit Time'!$A:$A,0),MATCH(U39,'[1]Transit Time'!$A$1:$DC$1,0))+INDEX('[1]Transit Time'!$A:$DC,MATCH(U39,'[1]Transit Time'!$A:$A,0),MATCH(AA39,'[1]Transit Time'!$A$1:$DC$1,0))</f>
        <v>17</v>
      </c>
      <c r="AZ39" s="152"/>
      <c r="BA39" s="163">
        <f t="shared" si="84"/>
        <v>44671</v>
      </c>
      <c r="BB39" s="163">
        <f t="shared" si="85"/>
        <v>44673</v>
      </c>
      <c r="BD39" s="2"/>
      <c r="BE39" s="2"/>
      <c r="BF39" s="35"/>
      <c r="BG39" s="35"/>
    </row>
    <row r="40" spans="1:67" s="165" customFormat="1" ht="14.15" customHeight="1" x14ac:dyDescent="0.35">
      <c r="A40" s="2"/>
      <c r="B40" s="230">
        <f t="shared" si="86"/>
        <v>44654</v>
      </c>
      <c r="C40" s="230">
        <f t="shared" si="63"/>
        <v>44656</v>
      </c>
      <c r="D40" s="210"/>
      <c r="E40" s="251"/>
      <c r="F40" s="252">
        <f>IF(H40=K40,0,INDEX('[2]Flat Rates 2023'!$A:$DB,MATCH(H40,'[2]Flat Rates 2023'!$A:$A,0),MATCH(K40,'[2]Flat Rates 2023'!$A$1:$DB$1,0)))</f>
        <v>0</v>
      </c>
      <c r="G40" s="252">
        <f>INDEX(Control!$E$17:$J$21,MATCH(M40,Control!$E$17:$E$21,0),MATCH(H40,Control!$E$17:$J$17,0))</f>
        <v>0.5</v>
      </c>
      <c r="H40" s="252" t="str">
        <f t="shared" si="64"/>
        <v>Covenas</v>
      </c>
      <c r="I40" s="213">
        <f>INDEX(Vessel_Minimum_MT,MATCH(M40,Control!$E$11:$E$15,0),MATCH(H40,Control!$E$11:$J$11,0))</f>
        <v>50000</v>
      </c>
      <c r="J40" s="253">
        <f t="shared" si="65"/>
        <v>90096.96796338672</v>
      </c>
      <c r="K40" s="252" t="s">
        <v>45</v>
      </c>
      <c r="L40" s="252" t="str">
        <f t="shared" si="66"/>
        <v>CARIBS/USGC</v>
      </c>
      <c r="M40" s="247" t="s">
        <v>22</v>
      </c>
      <c r="N40" s="254">
        <v>700000</v>
      </c>
      <c r="O40" s="255">
        <v>185</v>
      </c>
      <c r="P40" s="256">
        <v>0</v>
      </c>
      <c r="Q40" s="257">
        <f t="shared" si="67"/>
        <v>0</v>
      </c>
      <c r="R40" s="2"/>
      <c r="S40" s="220">
        <f>INDEX('[2]Flat Rates 2023'!$A:$DB,MATCH(U40,'[2]Flat Rates 2023'!$A:$A,0),MATCH(AA40,'[2]Flat Rates 2023'!$A$1:$DB$1,0))</f>
        <v>0</v>
      </c>
      <c r="T40" s="220">
        <f>INDEX(Control!$E$17:$J$21,MATCH(Z40,Control!$E$17:$E$21,0),MATCH(U40,Control!$E$17:$J$17,0))</f>
        <v>0</v>
      </c>
      <c r="U40" s="220" t="s">
        <v>62</v>
      </c>
      <c r="V40" s="221">
        <v>43430</v>
      </c>
      <c r="W40" s="221">
        <f t="shared" si="68"/>
        <v>43434</v>
      </c>
      <c r="X40" s="213">
        <f>INDEX(Vessel_Minimum_MT,MATCH(Z40,Control!$E$11:$E$15,0),MATCH(U40,Control!$E$11:$J$11,0))</f>
        <v>70000</v>
      </c>
      <c r="Y40" s="222">
        <f t="shared" si="69"/>
        <v>96532.465675057203</v>
      </c>
      <c r="Z40" s="258" t="s">
        <v>23</v>
      </c>
      <c r="AA40" s="223" t="s">
        <v>50</v>
      </c>
      <c r="AB40" s="212" t="str">
        <f t="shared" si="70"/>
        <v>CARIBS/Med</v>
      </c>
      <c r="AC40" s="214">
        <v>750000</v>
      </c>
      <c r="AD40" s="214">
        <v>145</v>
      </c>
      <c r="AE40" s="224">
        <f>AE39</f>
        <v>69</v>
      </c>
      <c r="AF40" s="225">
        <f t="shared" si="71"/>
        <v>0</v>
      </c>
      <c r="AG40" s="226">
        <v>1</v>
      </c>
      <c r="AH40" s="214">
        <f>IF(INDEX(Index,MATCH(AA40,TVM_PortList,0),MATCH("Type",Control!$Q$3:$U$3,0))="BL",INDEX(Index,MATCH(AA40,TVM_PortList,0),MATCH("Payment",Control!$Q$3:$U$3,0))-INDEX(Index,MATCH(U40,TVM_PortList,0),MATCH("Payment",Control!$Q$3:$U$3,0)),AY40+INDEX(Index,MATCH(AA40,TVM_PortList,0),MATCH("Payment",Control!$Q$3:$U$3,0))-INDEX(Index,MATCH(U40,TVM_PortList,0),MATCH("Payment",Control!$Q$3:$U$3,0)))</f>
        <v>15</v>
      </c>
      <c r="AI40" s="227">
        <f t="shared" si="72"/>
        <v>2.5999999999999999E-2</v>
      </c>
      <c r="AJ40" s="227">
        <f t="shared" si="73"/>
        <v>7.0273972602739723E-2</v>
      </c>
      <c r="AK40" s="227">
        <f t="shared" si="74"/>
        <v>0</v>
      </c>
      <c r="AL40" s="227">
        <f t="shared" si="75"/>
        <v>0</v>
      </c>
      <c r="AM40" s="227">
        <v>0</v>
      </c>
      <c r="AN40" s="227">
        <f t="shared" si="76"/>
        <v>0.01</v>
      </c>
      <c r="AO40" s="227">
        <f t="shared" si="77"/>
        <v>0.01</v>
      </c>
      <c r="AP40" s="227">
        <f>IF(INDEX(Control!$Q$3:$S$62,MATCH($AA40,Control!$Q$3:$Q$62,0),MATCH(AP$6,Control!$Q$3:$S$3,0))=1,$BF$12*$BG$12,0)</f>
        <v>0</v>
      </c>
      <c r="AQ40" s="227" t="e">
        <f>IF(INDEX(Control!$Q$3:$S$62,MATCH($AA40,Control!$Q$3:$Q$62,0),MATCH(AQ$6,Control!$Q$3:$S$3,0))=1,$BF$13/$AC40,0)</f>
        <v>#N/A</v>
      </c>
      <c r="AR40" s="227">
        <f t="shared" si="78"/>
        <v>0</v>
      </c>
      <c r="AS40" s="227">
        <f t="shared" si="79"/>
        <v>0</v>
      </c>
      <c r="AT40" s="225" t="e">
        <f t="shared" ref="AT40:AT41" si="88">SUM(AI40:AS40)</f>
        <v>#N/A</v>
      </c>
      <c r="AU40" s="225" t="e">
        <f t="shared" si="81"/>
        <v>#N/A</v>
      </c>
      <c r="AV40" s="225">
        <f t="shared" si="82"/>
        <v>0.5</v>
      </c>
      <c r="AW40" s="228" t="e">
        <f t="shared" si="83"/>
        <v>#N/A</v>
      </c>
      <c r="AX40" s="220"/>
      <c r="AY40" s="229">
        <f>INDEX('[1]Transit Time'!$A:$DC,MATCH(H40,'[1]Transit Time'!$A:$A,0),MATCH(K40,'[1]Transit Time'!$A$1:$DC$1,0))+INDEX('[1]Transit Time'!$A:$DC,MATCH(K40,'[1]Transit Time'!$A:$A,0),MATCH(U40,'[1]Transit Time'!$A$1:$DC$1,0))+INDEX('[1]Transit Time'!$A:$DC,MATCH(U40,'[1]Transit Time'!$A:$A,0),MATCH(AA40,'[1]Transit Time'!$A$1:$DC$1,0))</f>
        <v>20</v>
      </c>
      <c r="AZ40" s="220"/>
      <c r="BA40" s="230">
        <f t="shared" si="84"/>
        <v>44674</v>
      </c>
      <c r="BB40" s="230">
        <f t="shared" si="85"/>
        <v>44676</v>
      </c>
      <c r="BC40"/>
      <c r="BD40" s="183"/>
      <c r="BE40" s="187"/>
      <c r="BG40" s="188"/>
    </row>
    <row r="41" spans="1:67" x14ac:dyDescent="0.35">
      <c r="B41" s="163">
        <f t="shared" si="86"/>
        <v>44654</v>
      </c>
      <c r="C41" s="163">
        <f t="shared" si="63"/>
        <v>44656</v>
      </c>
      <c r="E41" s="157"/>
      <c r="F41" s="158">
        <f>IF(H41=K41,0,INDEX('[2]Flat Rates 2023'!$A:$DB,MATCH(H41,'[2]Flat Rates 2023'!$A:$A,0),MATCH(K41,'[2]Flat Rates 2023'!$A$1:$DB$1,0)))</f>
        <v>0</v>
      </c>
      <c r="G41" s="158">
        <f>INDEX(Control!$E$17:$J$21,MATCH(M41,Control!$E$17:$E$21,0),MATCH(H41,Control!$E$17:$J$17,0))</f>
        <v>0.5</v>
      </c>
      <c r="H41" s="158" t="str">
        <f t="shared" si="64"/>
        <v>Covenas</v>
      </c>
      <c r="I41" s="116">
        <f>INDEX(Vessel_Minimum_MT,MATCH(M41,Control!$E$11:$E$15,0),MATCH(H41,Control!$E$11:$J$11,0))</f>
        <v>50000</v>
      </c>
      <c r="J41" s="159">
        <f t="shared" si="65"/>
        <v>90096.96796338672</v>
      </c>
      <c r="K41" s="158" t="s">
        <v>45</v>
      </c>
      <c r="L41" s="158" t="str">
        <f t="shared" si="66"/>
        <v>CARIBS/USGC</v>
      </c>
      <c r="M41" s="156" t="s">
        <v>22</v>
      </c>
      <c r="N41" s="159">
        <v>700000</v>
      </c>
      <c r="O41" s="160">
        <v>185</v>
      </c>
      <c r="P41" s="161">
        <v>0</v>
      </c>
      <c r="Q41" s="162">
        <f t="shared" si="67"/>
        <v>0</v>
      </c>
      <c r="R41" s="2"/>
      <c r="S41" s="138">
        <f>INDEX('[2]Flat Rates 2023'!$A:$DB,MATCH(U41,'[2]Flat Rates 2023'!$A:$A,0),MATCH(AA41,'[2]Flat Rates 2023'!$A$1:$DB$1,0))</f>
        <v>0</v>
      </c>
      <c r="T41" s="138">
        <f>INDEX(Control!$E$17:$J$21,MATCH(Z41,Control!$E$17:$E$21,0),MATCH(U41,Control!$E$17:$J$17,0))</f>
        <v>0.5</v>
      </c>
      <c r="U41" s="138" t="s">
        <v>62</v>
      </c>
      <c r="V41" s="139">
        <v>43430</v>
      </c>
      <c r="W41" s="139">
        <f t="shared" si="68"/>
        <v>43434</v>
      </c>
      <c r="X41" s="116">
        <f>INDEX(Vessel_Minimum_MT,MATCH(Z41,Control!$E$11:$E$15,0),MATCH(U41,Control!$E$11:$J$11,0))</f>
        <v>150000</v>
      </c>
      <c r="Y41" s="140">
        <f t="shared" si="69"/>
        <v>115838.95881006865</v>
      </c>
      <c r="Z41" s="147" t="s">
        <v>24</v>
      </c>
      <c r="AA41" s="164" t="s">
        <v>42</v>
      </c>
      <c r="AB41" s="142" t="str">
        <f t="shared" si="70"/>
        <v>CARIBS/Nsea</v>
      </c>
      <c r="AC41" s="141">
        <v>900000</v>
      </c>
      <c r="AD41" s="141">
        <v>70</v>
      </c>
      <c r="AE41" s="151">
        <v>40</v>
      </c>
      <c r="AF41" s="149">
        <f t="shared" si="71"/>
        <v>0</v>
      </c>
      <c r="AG41" s="134">
        <v>1</v>
      </c>
      <c r="AH41" s="155">
        <f>IF(INDEX(Index,MATCH(AA41,TVM_PortList,0),MATCH("Type",Control!$Q$3:$U$3,0))="BL",INDEX(Index,MATCH(AA41,TVM_PortList,0),MATCH("Payment",Control!$Q$3:$U$3,0))-INDEX(Index,MATCH(U41,TVM_PortList,0),MATCH("Payment",Control!$Q$3:$U$3,0)),AY41+INDEX(Index,MATCH(AA41,TVM_PortList,0),MATCH("Payment",Control!$Q$3:$U$3,0))-INDEX(Index,MATCH(U41,TVM_PortList,0),MATCH("Payment",Control!$Q$3:$U$3,0)))</f>
        <v>15</v>
      </c>
      <c r="AI41" s="143">
        <f t="shared" si="72"/>
        <v>2.7777777777777776E-2</v>
      </c>
      <c r="AJ41" s="143">
        <f t="shared" si="73"/>
        <v>7.0273972602739723E-2</v>
      </c>
      <c r="AK41" s="143">
        <f t="shared" si="74"/>
        <v>0</v>
      </c>
      <c r="AL41" s="143">
        <f t="shared" si="75"/>
        <v>0</v>
      </c>
      <c r="AM41" s="143">
        <v>0</v>
      </c>
      <c r="AN41" s="143">
        <f t="shared" si="76"/>
        <v>0.01</v>
      </c>
      <c r="AO41" s="143">
        <f t="shared" si="77"/>
        <v>0.01</v>
      </c>
      <c r="AP41" s="143">
        <f>IF(INDEX(Control!$Q$3:$S$62,MATCH($AA41,Control!$Q$3:$Q$62,0),MATCH(AP$6,Control!$Q$3:$S$3,0))=1,$BF$12*$BG$12,0)</f>
        <v>0</v>
      </c>
      <c r="AQ41" s="143" t="e">
        <f>IF(INDEX(Control!$Q$3:$S$62,MATCH($AA41,Control!$Q$3:$Q$62,0),MATCH(AQ$6,Control!$Q$3:$S$3,0))=1,$BF$13/$AC41,0)</f>
        <v>#N/A</v>
      </c>
      <c r="AR41" s="143">
        <f t="shared" si="78"/>
        <v>0</v>
      </c>
      <c r="AS41" s="143">
        <f t="shared" si="79"/>
        <v>0</v>
      </c>
      <c r="AT41" s="149" t="e">
        <f t="shared" si="88"/>
        <v>#N/A</v>
      </c>
      <c r="AU41" s="149" t="e">
        <f t="shared" si="81"/>
        <v>#N/A</v>
      </c>
      <c r="AV41" s="149">
        <f t="shared" si="82"/>
        <v>0.5</v>
      </c>
      <c r="AW41" s="145" t="e">
        <f t="shared" si="83"/>
        <v>#N/A</v>
      </c>
      <c r="AY41" s="153">
        <f>INDEX('[1]Transit Time'!$A:$DC,MATCH(H41,'[1]Transit Time'!$A:$A,0),MATCH(K41,'[1]Transit Time'!$A$1:$DC$1,0))+INDEX('[1]Transit Time'!$A:$DC,MATCH(K41,'[1]Transit Time'!$A:$A,0),MATCH(U41,'[1]Transit Time'!$A$1:$DC$1,0))+INDEX('[1]Transit Time'!$A:$DC,MATCH(U41,'[1]Transit Time'!$A:$A,0),MATCH(AA41,'[1]Transit Time'!$A$1:$DC$1,0))</f>
        <v>16</v>
      </c>
      <c r="AZ41" s="152"/>
      <c r="BA41" s="163">
        <f t="shared" si="84"/>
        <v>44670</v>
      </c>
      <c r="BB41" s="163">
        <f t="shared" si="85"/>
        <v>44672</v>
      </c>
      <c r="BF41" s="132"/>
      <c r="BG41" s="132"/>
    </row>
    <row r="42" spans="1:67" s="181" customFormat="1" ht="16" thickBot="1" x14ac:dyDescent="0.4">
      <c r="A42" s="2"/>
      <c r="B42" s="230">
        <f t="shared" si="86"/>
        <v>44654</v>
      </c>
      <c r="C42" s="230">
        <f t="shared" si="63"/>
        <v>44656</v>
      </c>
      <c r="D42" s="210"/>
      <c r="E42" s="244"/>
      <c r="F42" s="245">
        <f>IF(H42=K42,0,INDEX('[2]Flat Rates 2023'!$A:$DB,MATCH(H42,'[2]Flat Rates 2023'!$A:$A,0),MATCH(K42,'[2]Flat Rates 2023'!$A$1:$DB$1,0)))</f>
        <v>0</v>
      </c>
      <c r="G42" s="245">
        <f>INDEX(Control!$E$17:$J$21,MATCH(M42,Control!$E$17:$E$21,0),MATCH(H42,Control!$E$17:$J$17,0))</f>
        <v>0.5</v>
      </c>
      <c r="H42" s="245" t="str">
        <f t="shared" si="64"/>
        <v>Covenas</v>
      </c>
      <c r="I42" s="213">
        <f>INDEX(Vessel_Minimum_MT,MATCH(M42,Control!$E$11:$E$15,0),MATCH(H42,Control!$E$11:$J$11,0))</f>
        <v>50000</v>
      </c>
      <c r="J42" s="246">
        <f t="shared" si="65"/>
        <v>90096.96796338672</v>
      </c>
      <c r="K42" s="245" t="s">
        <v>45</v>
      </c>
      <c r="L42" s="245" t="str">
        <f t="shared" si="66"/>
        <v>CARIBS/USGC</v>
      </c>
      <c r="M42" s="247" t="s">
        <v>22</v>
      </c>
      <c r="N42" s="246">
        <v>700000</v>
      </c>
      <c r="O42" s="248">
        <v>185</v>
      </c>
      <c r="P42" s="249">
        <v>0</v>
      </c>
      <c r="Q42" s="250">
        <f t="shared" si="67"/>
        <v>0</v>
      </c>
      <c r="R42" s="2"/>
      <c r="S42" s="220">
        <f>INDEX('[2]Flat Rates 2023'!$A:$DB,MATCH(U42,'[2]Flat Rates 2023'!$A:$A,0),MATCH(AA42,'[2]Flat Rates 2023'!$A$1:$DB$1,0))</f>
        <v>0</v>
      </c>
      <c r="T42" s="220">
        <f>INDEX(Control!$E$17:$J$21,MATCH(Z42,Control!$E$17:$E$21,0),MATCH(U42,Control!$E$17:$J$17,0))</f>
        <v>0.5</v>
      </c>
      <c r="U42" s="220" t="s">
        <v>62</v>
      </c>
      <c r="V42" s="221">
        <v>43430</v>
      </c>
      <c r="W42" s="221">
        <f t="shared" si="68"/>
        <v>43434</v>
      </c>
      <c r="X42" s="213">
        <f>INDEX(Vessel_Minimum_MT,MATCH(Z42,Control!$E$11:$E$15,0),MATCH(U42,Control!$E$11:$J$11,0))</f>
        <v>150000</v>
      </c>
      <c r="Y42" s="222">
        <f t="shared" si="69"/>
        <v>115838.95881006865</v>
      </c>
      <c r="Z42" s="215" t="s">
        <v>24</v>
      </c>
      <c r="AA42" s="223" t="s">
        <v>50</v>
      </c>
      <c r="AB42" s="212" t="str">
        <f t="shared" si="70"/>
        <v>CARIBS/Med</v>
      </c>
      <c r="AC42" s="214">
        <v>900000</v>
      </c>
      <c r="AD42" s="214">
        <v>70</v>
      </c>
      <c r="AE42" s="224">
        <v>50</v>
      </c>
      <c r="AF42" s="225">
        <f t="shared" si="71"/>
        <v>0</v>
      </c>
      <c r="AG42" s="226">
        <v>1</v>
      </c>
      <c r="AH42" s="214">
        <f>IF(INDEX(Index,MATCH(AA42,TVM_PortList,0),MATCH("Type",Control!$Q$3:$U$3,0))="BL",INDEX(Index,MATCH(AA42,TVM_PortList,0),MATCH("Payment",Control!$Q$3:$U$3,0))-INDEX(Index,MATCH(U42,TVM_PortList,0),MATCH("Payment",Control!$Q$3:$U$3,0)),AY42+INDEX(Index,MATCH(AA42,TVM_PortList,0),MATCH("Payment",Control!$Q$3:$U$3,0))-INDEX(Index,MATCH(U42,TVM_PortList,0),MATCH("Payment",Control!$Q$3:$U$3,0)))</f>
        <v>15</v>
      </c>
      <c r="AI42" s="227">
        <f t="shared" si="72"/>
        <v>2.7777777777777776E-2</v>
      </c>
      <c r="AJ42" s="227">
        <f t="shared" si="73"/>
        <v>7.0273972602739723E-2</v>
      </c>
      <c r="AK42" s="227">
        <f t="shared" si="74"/>
        <v>0</v>
      </c>
      <c r="AL42" s="227">
        <f t="shared" si="75"/>
        <v>0</v>
      </c>
      <c r="AM42" s="227">
        <v>0</v>
      </c>
      <c r="AN42" s="227">
        <f t="shared" si="76"/>
        <v>0.01</v>
      </c>
      <c r="AO42" s="227">
        <f t="shared" si="77"/>
        <v>0.01</v>
      </c>
      <c r="AP42" s="227">
        <f>IF(INDEX(Control!$Q$3:$S$62,MATCH($AA42,Control!$Q$3:$Q$62,0),MATCH(AP$6,Control!$Q$3:$S$3,0))=1,$BF$12*$BG$12,0)</f>
        <v>0</v>
      </c>
      <c r="AQ42" s="227" t="e">
        <f>IF(INDEX(Control!$Q$3:$S$62,MATCH($AA42,Control!$Q$3:$Q$62,0),MATCH(AQ$6,Control!$Q$3:$S$3,0))=1,$BF$13/$AC42,0)</f>
        <v>#N/A</v>
      </c>
      <c r="AR42" s="227">
        <f t="shared" si="78"/>
        <v>0</v>
      </c>
      <c r="AS42" s="227">
        <f t="shared" si="79"/>
        <v>0</v>
      </c>
      <c r="AT42" s="225" t="e">
        <f t="shared" ref="AT42" si="89">SUM(AI42:AS42)</f>
        <v>#N/A</v>
      </c>
      <c r="AU42" s="225" t="e">
        <f t="shared" si="81"/>
        <v>#N/A</v>
      </c>
      <c r="AV42" s="225">
        <f t="shared" si="82"/>
        <v>0.5</v>
      </c>
      <c r="AW42" s="228" t="e">
        <f t="shared" si="83"/>
        <v>#N/A</v>
      </c>
      <c r="AX42" s="220"/>
      <c r="AY42" s="229">
        <f>INDEX('[1]Transit Time'!$A:$DC,MATCH(H42,'[1]Transit Time'!$A:$A,0),MATCH(K42,'[1]Transit Time'!$A$1:$DC$1,0))+INDEX('[1]Transit Time'!$A:$DC,MATCH(K42,'[1]Transit Time'!$A:$A,0),MATCH(U42,'[1]Transit Time'!$A$1:$DC$1,0))+INDEX('[1]Transit Time'!$A:$DC,MATCH(U42,'[1]Transit Time'!$A:$A,0),MATCH(AA42,'[1]Transit Time'!$A$1:$DC$1,0))</f>
        <v>20</v>
      </c>
      <c r="AZ42" s="204"/>
      <c r="BA42" s="230">
        <f t="shared" si="84"/>
        <v>44674</v>
      </c>
      <c r="BB42" s="230">
        <f t="shared" si="85"/>
        <v>44676</v>
      </c>
      <c r="BC42"/>
      <c r="BD42" s="165"/>
      <c r="BE42" s="165"/>
      <c r="BF42" s="189"/>
      <c r="BG42" s="189"/>
    </row>
    <row r="43" spans="1:67" ht="18.75" customHeight="1" thickBot="1" x14ac:dyDescent="0.5">
      <c r="B43" s="163"/>
      <c r="C43" s="163"/>
      <c r="E43" s="1064" t="str">
        <f>E5</f>
        <v>COVENAS-PTP</v>
      </c>
      <c r="F43" s="1065"/>
      <c r="G43" s="1065"/>
      <c r="H43" s="1065"/>
      <c r="I43" s="1065"/>
      <c r="J43" s="1065"/>
      <c r="K43" s="1065"/>
      <c r="L43" s="1065"/>
      <c r="M43" s="1065"/>
      <c r="N43" s="1065"/>
      <c r="O43" s="1065"/>
      <c r="P43" s="1065"/>
      <c r="Q43" s="1065"/>
      <c r="R43" s="2"/>
      <c r="S43" s="9"/>
      <c r="T43" s="9"/>
      <c r="U43" s="9"/>
      <c r="V43" s="9"/>
      <c r="W43" s="9"/>
      <c r="X43" s="9"/>
      <c r="Y43" s="9"/>
      <c r="Z43" s="1064" t="s">
        <v>284</v>
      </c>
      <c r="AA43" s="1065"/>
      <c r="AB43" s="1065"/>
      <c r="AC43" s="1065"/>
      <c r="AD43" s="1065"/>
      <c r="AE43" s="1065"/>
      <c r="AF43" s="1065"/>
      <c r="AG43" s="1065"/>
      <c r="AH43" s="1065"/>
      <c r="AI43" s="1065"/>
      <c r="AJ43" s="1065"/>
      <c r="AK43" s="1065"/>
      <c r="AL43" s="1065"/>
      <c r="AM43" s="1065"/>
      <c r="AN43" s="1065"/>
      <c r="AO43" s="1065"/>
      <c r="AP43" s="1065"/>
      <c r="AQ43" s="1065"/>
      <c r="AR43" s="1065"/>
      <c r="AS43" s="1065"/>
      <c r="AT43" s="1065"/>
      <c r="AU43" s="1065"/>
      <c r="AV43" s="1065"/>
      <c r="AW43" s="1066"/>
      <c r="AY43"/>
      <c r="BA43"/>
      <c r="BB43"/>
      <c r="BD43" s="152"/>
      <c r="BE43" s="152"/>
      <c r="BF43" s="152"/>
      <c r="BG43" s="152"/>
    </row>
    <row r="44" spans="1:67" ht="29.5" customHeight="1" x14ac:dyDescent="0.35">
      <c r="B44" s="1005" t="s">
        <v>167</v>
      </c>
      <c r="C44" s="1005"/>
      <c r="E44" s="120" t="s">
        <v>276</v>
      </c>
      <c r="F44" s="152" t="s">
        <v>172</v>
      </c>
      <c r="G44" s="152" t="s">
        <v>2</v>
      </c>
      <c r="H44" s="152" t="s">
        <v>173</v>
      </c>
      <c r="I44" s="152" t="s">
        <v>174</v>
      </c>
      <c r="J44" s="125" t="s">
        <v>175</v>
      </c>
      <c r="K44" s="152" t="s">
        <v>177</v>
      </c>
      <c r="L44" s="152" t="s">
        <v>178</v>
      </c>
      <c r="M44" s="122" t="s">
        <v>176</v>
      </c>
      <c r="N44" s="120" t="s">
        <v>200</v>
      </c>
      <c r="O44" s="120" t="str">
        <f>$O$6</f>
        <v>WS Rate</v>
      </c>
      <c r="P44" s="121" t="s">
        <v>202</v>
      </c>
      <c r="Q44" s="123" t="s">
        <v>278</v>
      </c>
      <c r="R44" s="2"/>
      <c r="S44" s="120" t="s">
        <v>172</v>
      </c>
      <c r="T44" s="120" t="s">
        <v>2</v>
      </c>
      <c r="U44" s="120" t="s">
        <v>173</v>
      </c>
      <c r="V44" s="120" t="s">
        <v>167</v>
      </c>
      <c r="W44" s="120"/>
      <c r="X44" s="152" t="str">
        <f>$X$6</f>
        <v>Vessel MT</v>
      </c>
      <c r="Y44" s="120" t="s">
        <v>175</v>
      </c>
      <c r="Z44" s="120" t="s">
        <v>176</v>
      </c>
      <c r="AA44" s="120" t="s">
        <v>177</v>
      </c>
      <c r="AB44" s="120" t="s">
        <v>178</v>
      </c>
      <c r="AC44" s="120" t="s">
        <v>200</v>
      </c>
      <c r="AD44" s="146" t="str">
        <f>$AD$6</f>
        <v xml:space="preserve">Current WS Rate </v>
      </c>
      <c r="AE44" s="128" t="s">
        <v>202</v>
      </c>
      <c r="AF44" s="150" t="s">
        <v>182</v>
      </c>
      <c r="AG44" s="136" t="s">
        <v>183</v>
      </c>
      <c r="AH44" s="146" t="s">
        <v>279</v>
      </c>
      <c r="AI44" s="136" t="s">
        <v>184</v>
      </c>
      <c r="AJ44" s="136" t="s">
        <v>140</v>
      </c>
      <c r="AK44" s="136" t="str">
        <f>AK24</f>
        <v>STS</v>
      </c>
      <c r="AL44" s="136" t="s">
        <v>186</v>
      </c>
      <c r="AM44" s="136" t="s">
        <v>187</v>
      </c>
      <c r="AN44" s="136" t="s">
        <v>141</v>
      </c>
      <c r="AO44" s="136" t="s">
        <v>188</v>
      </c>
      <c r="AP44" s="136" t="s">
        <v>17</v>
      </c>
      <c r="AQ44" s="136" t="s">
        <v>207</v>
      </c>
      <c r="AR44" s="136" t="s">
        <v>189</v>
      </c>
      <c r="AS44" s="136" t="s">
        <v>152</v>
      </c>
      <c r="AT44" s="150" t="s">
        <v>208</v>
      </c>
      <c r="AU44" s="150" t="s">
        <v>209</v>
      </c>
      <c r="AV44" s="150" t="s">
        <v>210</v>
      </c>
      <c r="AW44" s="137" t="s">
        <v>211</v>
      </c>
      <c r="AY44" s="137" t="s">
        <v>195</v>
      </c>
      <c r="BA44" s="1011" t="s">
        <v>196</v>
      </c>
      <c r="BB44" s="1011"/>
      <c r="BD44" s="118"/>
      <c r="BL44" s="132"/>
      <c r="BM44" s="127"/>
      <c r="BN44" s="132"/>
      <c r="BO44" s="132"/>
    </row>
    <row r="45" spans="1:67" x14ac:dyDescent="0.35">
      <c r="B45" s="163">
        <f t="shared" ref="B45" si="90">+$B$7</f>
        <v>44654</v>
      </c>
      <c r="C45" s="163">
        <f t="shared" ref="C45" si="91">IF(ISBLANK(B45),"",B45+2)</f>
        <v>44656</v>
      </c>
      <c r="E45" s="16"/>
      <c r="F45" s="138">
        <f>INDEX('[2]Flat Rates 2023'!$A:$DB,MATCH(H45,'[2]Flat Rates 2023'!$A:$A,0),MATCH(K45,'[2]Flat Rates 2023'!$A$1:$DB$1,0))</f>
        <v>3.74</v>
      </c>
      <c r="G45" s="138">
        <f>INDEX(Control!$E$17:$J$21,MATCH(M45,Control!$E$17:$E$21,0),MATCH(H45,Control!$E$17:$J$17,0))</f>
        <v>0</v>
      </c>
      <c r="H45" s="138" t="str">
        <f t="shared" ref="H45" si="92">$H$7</f>
        <v>Covenas</v>
      </c>
      <c r="I45" s="116">
        <f>INDEX(Vessel_Minimum_MT,MATCH(M45,Control!$E$11:$E$15,0),MATCH(H45,Control!$E$11:$J$11,0))</f>
        <v>70000</v>
      </c>
      <c r="J45" s="116">
        <f>N45/$BF$15</f>
        <v>90096.96796338672</v>
      </c>
      <c r="K45" s="138" t="s">
        <v>55</v>
      </c>
      <c r="L45" s="138" t="str">
        <f>IF(K45=H45,"",CONCATENATE(CONCATENATE(VLOOKUP(H45,Zones,2,FALSE),"/",VLOOKUP(K45,Zones,2,FALSE))))</f>
        <v>CARIBS/CARIBS</v>
      </c>
      <c r="M45" s="147" t="s">
        <v>23</v>
      </c>
      <c r="N45" s="141">
        <v>700000</v>
      </c>
      <c r="O45" s="17">
        <v>180</v>
      </c>
      <c r="P45" s="18">
        <v>0</v>
      </c>
      <c r="Q45" s="148">
        <f>IF($H45="Esmeraldas",IF(O45&gt;1000,IF(P45=0,O45,P45)/N45*1.1,((I45*F45*(IF(P45=0,O45,P45)/100))+IF(J45&lt;I45,0,(J45-I45)*F45*IF(P45=0,O45,P45)/100*G45))/N45*1.1),IF(O45&gt;1000,IF(P45=0,O45,P45)/N45,((I45*F45*(IF(P45=0,O45,P45)/100))+IF(J45&lt;I45,0,(J45-I45)*F45*IF(P45=0,O45,P45)/100*G45)))/N45)</f>
        <v>0.67320000000000013</v>
      </c>
      <c r="R45" s="2"/>
      <c r="S45" s="138">
        <f>INDEX('[2]Flat Rates 2023'!$A:$DB,MATCH(U45,'[2]Flat Rates 2023'!$A:$A,0),MATCH(AA45,'[2]Flat Rates 2023'!$A$1:$DB$1,0))</f>
        <v>18.82</v>
      </c>
      <c r="T45" s="138">
        <f>INDEX(Control!$E$17:$J$21,MATCH(Z45,Control!$E$17:$E$21,0),MATCH(U45,Control!$E$17:$J$17,0))</f>
        <v>0</v>
      </c>
      <c r="U45" s="138" t="s">
        <v>55</v>
      </c>
      <c r="V45" s="139">
        <v>43430</v>
      </c>
      <c r="W45" s="139">
        <f t="shared" ref="W45" si="93">+V45+4</f>
        <v>43434</v>
      </c>
      <c r="X45" s="116">
        <f>INDEX(Vessel_Minimum_MT,MATCH(Z45,Control!$E$11:$E$15,0),MATCH(U45,Control!$E$11:$J$11,0))</f>
        <v>70000</v>
      </c>
      <c r="Y45" s="140">
        <f>AC45/$BF$15</f>
        <v>96532.465675057203</v>
      </c>
      <c r="Z45" s="147" t="s">
        <v>23</v>
      </c>
      <c r="AA45" s="164" t="s">
        <v>42</v>
      </c>
      <c r="AB45" s="142" t="str">
        <f>IF(AA45=U45,"",CONCATENATE(CONCATENATE(VLOOKUP(U45,Zones,2,FALSE),"/",VLOOKUP(AA45,Zones,2,FALSE))))</f>
        <v>CARIBS/Nsea</v>
      </c>
      <c r="AC45" s="141">
        <v>750000</v>
      </c>
      <c r="AD45" s="141">
        <f>$AD$37</f>
        <v>145</v>
      </c>
      <c r="AE45" s="151">
        <v>0</v>
      </c>
      <c r="AF45" s="149">
        <f>IF($U45="Esmeraldas",IF(AD45&gt;1000,IF(AE45=0,AD45,AE45)/AC45*1.1,((X45*S45*(IF(AE45=0,AD45,AE45)/100))+IF(Y45&lt;X45,0,(Y45-X45)*S45*IF(AE45=0,AD45,AE45)/100*T45))/AC45*1.1),IF(AD45&gt;1000,IF(AE45=0,AD45,AE45)/AC45,((X45*S45*(IF(AE45=0,AD45,AE45)/100))+IF(Y45&lt;X45,0,(Y45-X45)*S45*IF(AE45=0,AD45,AE45)/100*T45))/AC45))</f>
        <v>2.5469733333333333</v>
      </c>
      <c r="AG45" s="134">
        <v>2</v>
      </c>
      <c r="AH45" s="155">
        <f>IF(INDEX(Index,MATCH(AA45,TVM_PortList,0),MATCH("Type",Control!$Q$3:$U$3,0))="BL",INDEX(Index,MATCH(AA45,TVM_PortList,0),MATCH("Payment",Control!$Q$3:$U$3,0))-INDEX(Index,MATCH(U45,TVM_PortList,0),MATCH("Payment",Control!$Q$3:$U$3,0)),AY45+INDEX(Index,MATCH(AA45,TVM_PortList,0),MATCH("Payment",Control!$Q$3:$U$3,0))-INDEX(Index,MATCH(U45,TVM_PortList,0),MATCH("Payment",Control!$Q$3:$U$3,0)))</f>
        <v>17</v>
      </c>
      <c r="AI45" s="143">
        <f>AG45*VLOOKUP($Z45,$BH$7:$BJ$11,3,FALSE)/$AC45</f>
        <v>5.1999999999999998E-2</v>
      </c>
      <c r="AJ45" s="143">
        <f>IF(AH45&lt;0,0,$AH45*$BF$9)</f>
        <v>7.9643835616438355E-2</v>
      </c>
      <c r="AK45" s="143">
        <f>IF(((AC45-VLOOKUP(Z45,$BL$8:$BM$12,2,FALSE))/$BF$16)&lt;=0,0,$BJ$13/AC45)</f>
        <v>0</v>
      </c>
      <c r="AL45" s="143">
        <f>IF(H45="Corpus Christi",$BF$8,0)</f>
        <v>0</v>
      </c>
      <c r="AM45" s="143">
        <v>0</v>
      </c>
      <c r="AN45" s="143">
        <f t="shared" ref="AN45" si="94">$BF$10</f>
        <v>0.01</v>
      </c>
      <c r="AO45" s="143">
        <f t="shared" ref="AO45" si="95">$BF$11</f>
        <v>0.01</v>
      </c>
      <c r="AP45" s="143">
        <f>IF(INDEX(Control!$Q$3:$S$62,MATCH($AA45,Control!$Q$3:$Q$62,0),MATCH(AP$6,Control!$Q$3:$S$3,0))=1,$BF$12*$BG$12,0)</f>
        <v>0</v>
      </c>
      <c r="AQ45" s="143" t="e">
        <f>IF(INDEX(Control!$Q$3:$S$62,MATCH($AA45,Control!$Q$3:$Q$62,0),MATCH(AQ$6,Control!$Q$3:$S$3,0))=1,$BF$13/$AC45,0)</f>
        <v>#N/A</v>
      </c>
      <c r="AR45" s="143">
        <f>$BF$14</f>
        <v>0</v>
      </c>
      <c r="AS45" s="143">
        <f>IF(AND(K45="Chiriqui Grande",U45="Puerto Armuelles"),$BI$16,0)</f>
        <v>0</v>
      </c>
      <c r="AT45" s="149" t="e">
        <f t="shared" ref="AT45" si="96">SUM(AI45:AS45)</f>
        <v>#N/A</v>
      </c>
      <c r="AU45" s="149" t="e">
        <f>+Q45+AF45+AT45</f>
        <v>#N/A</v>
      </c>
      <c r="AV45" s="149">
        <f>IF(MONTH(BB45)-MONTH(B45)=1,$AV$3,IF(MONTH(BB45)-MONTH(B45)=0,0,$AV$3+$AW$3))-$M$4</f>
        <v>0.5</v>
      </c>
      <c r="AW45" s="145" t="e">
        <f t="shared" ref="AW45" si="97">$M$3+AU45+AV45</f>
        <v>#N/A</v>
      </c>
      <c r="AY45" s="153">
        <f>INDEX('[1]Transit Time'!$A:$DC,MATCH(H45,'[1]Transit Time'!$A:$A,0),MATCH(K45,'[1]Transit Time'!$A$1:$DC$1,0))+INDEX('[1]Transit Time'!$A:$DC,MATCH(K45,'[1]Transit Time'!$A:$A,0),MATCH(U45,'[1]Transit Time'!$A$1:$DC$1,0))+INDEX('[1]Transit Time'!$A:$DC,MATCH(U45,'[1]Transit Time'!$A:$A,0),MATCH(AA45,'[1]Transit Time'!$A$1:$DC$1,0))</f>
        <v>21</v>
      </c>
      <c r="BA45" s="163">
        <f>IF(ISBLANK(B45),"",B45+$AY45)</f>
        <v>44675</v>
      </c>
      <c r="BB45" s="163">
        <f>IFERROR(IF(ISBLANK(C45),"",C45+$AY45),"")</f>
        <v>44677</v>
      </c>
    </row>
    <row r="46" spans="1:67" x14ac:dyDescent="0.35">
      <c r="B46"/>
      <c r="C46"/>
      <c r="N46"/>
      <c r="O46"/>
      <c r="P46"/>
      <c r="R46" s="2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D46"/>
      <c r="BE46"/>
      <c r="BF46"/>
      <c r="BG46"/>
    </row>
    <row r="47" spans="1:67" x14ac:dyDescent="0.35">
      <c r="B47"/>
      <c r="C47"/>
      <c r="N47"/>
      <c r="O47"/>
      <c r="P47"/>
      <c r="R47" s="2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W47"/>
      <c r="AX47"/>
      <c r="AY47"/>
      <c r="AZ47"/>
      <c r="BA47"/>
      <c r="BB47"/>
    </row>
    <row r="48" spans="1:67" x14ac:dyDescent="0.35">
      <c r="B48"/>
      <c r="C48"/>
      <c r="N48"/>
      <c r="O48"/>
      <c r="P48"/>
      <c r="R48" s="2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2:54" x14ac:dyDescent="0.35">
      <c r="B49"/>
      <c r="C49"/>
      <c r="N49"/>
      <c r="O49"/>
      <c r="P49"/>
      <c r="R49" s="2"/>
      <c r="AE49"/>
      <c r="AF49" s="2"/>
      <c r="AG49" s="3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2:54" x14ac:dyDescent="0.35">
      <c r="B50"/>
      <c r="C50"/>
      <c r="R50" s="2"/>
      <c r="AE50" s="2"/>
      <c r="AF50" s="132"/>
      <c r="AG50" s="196"/>
      <c r="AH50" s="2"/>
      <c r="AN50" s="133"/>
    </row>
    <row r="51" spans="2:54" x14ac:dyDescent="0.35">
      <c r="B51"/>
      <c r="C51"/>
      <c r="R51" s="2"/>
      <c r="AE51" s="2"/>
      <c r="AF51" s="132"/>
      <c r="AG51" s="196"/>
      <c r="AH51" s="2"/>
      <c r="AN51" s="133"/>
    </row>
    <row r="52" spans="2:54" x14ac:dyDescent="0.35">
      <c r="B52"/>
      <c r="C52"/>
      <c r="R52" s="2"/>
      <c r="AE52" s="2"/>
      <c r="AF52" s="2"/>
      <c r="AG52" s="3"/>
      <c r="AH52" s="2"/>
      <c r="AN52" s="133"/>
    </row>
    <row r="53" spans="2:54" x14ac:dyDescent="0.35">
      <c r="B53"/>
      <c r="C53"/>
      <c r="R53" s="2"/>
      <c r="U53">
        <v>3.35</v>
      </c>
      <c r="V53">
        <v>1.85</v>
      </c>
      <c r="W53">
        <f>V53-U53</f>
        <v>-1.5</v>
      </c>
      <c r="AE53" s="2"/>
      <c r="AF53" s="132"/>
      <c r="AG53" s="3"/>
      <c r="AH53" s="2"/>
      <c r="AN53" s="133"/>
    </row>
    <row r="54" spans="2:54" x14ac:dyDescent="0.35">
      <c r="B54"/>
      <c r="C54"/>
      <c r="U54">
        <v>6.8</v>
      </c>
      <c r="V54">
        <v>5.3</v>
      </c>
      <c r="W54">
        <f t="shared" ref="W54:W55" si="98">V54-U54</f>
        <v>-1.5</v>
      </c>
      <c r="AE54" s="2"/>
      <c r="AF54" s="132"/>
      <c r="AG54" s="3"/>
      <c r="AH54" s="2"/>
      <c r="AN54" s="133"/>
    </row>
    <row r="55" spans="2:54" x14ac:dyDescent="0.35">
      <c r="B55"/>
      <c r="C55"/>
      <c r="U55">
        <v>5.2</v>
      </c>
      <c r="V55">
        <v>3.7</v>
      </c>
      <c r="W55">
        <f t="shared" si="98"/>
        <v>-1.5</v>
      </c>
      <c r="AE55" s="2"/>
      <c r="AF55" s="2"/>
      <c r="AG55" s="3"/>
      <c r="AH55" s="2"/>
      <c r="AN55" s="133"/>
    </row>
    <row r="56" spans="2:54" x14ac:dyDescent="0.35">
      <c r="AE56" s="2"/>
      <c r="AF56" s="2"/>
      <c r="AH56" s="2"/>
      <c r="AN56" s="133"/>
    </row>
    <row r="57" spans="2:54" x14ac:dyDescent="0.35">
      <c r="AK57" s="1"/>
      <c r="AL57" s="1"/>
    </row>
    <row r="58" spans="2:54" x14ac:dyDescent="0.35">
      <c r="AK58" s="1"/>
      <c r="AL58" s="1"/>
    </row>
    <row r="59" spans="2:54" x14ac:dyDescent="0.35">
      <c r="AK59" s="1"/>
      <c r="AL59" s="1"/>
    </row>
    <row r="60" spans="2:54" x14ac:dyDescent="0.35">
      <c r="AK60" s="1"/>
      <c r="AL60" s="1"/>
    </row>
    <row r="61" spans="2:54" x14ac:dyDescent="0.35">
      <c r="AK61" s="1"/>
      <c r="AL61" s="1"/>
    </row>
    <row r="62" spans="2:54" x14ac:dyDescent="0.35">
      <c r="AK62" s="1"/>
      <c r="AL62" s="1"/>
    </row>
    <row r="63" spans="2:54" x14ac:dyDescent="0.35">
      <c r="D63" s="2"/>
      <c r="M63" s="2"/>
      <c r="Q63" s="2"/>
      <c r="R63" s="2"/>
      <c r="S63" s="2"/>
      <c r="T63" s="2"/>
      <c r="U63" s="2"/>
      <c r="V63" s="2"/>
      <c r="W63" s="2"/>
      <c r="Y63" s="2"/>
      <c r="Z63" s="2"/>
      <c r="AA63" s="2"/>
      <c r="AD63" s="2"/>
      <c r="AE63" s="2"/>
      <c r="AF63" s="2"/>
      <c r="AH63" s="2"/>
      <c r="AK63" s="1"/>
      <c r="AL63" s="1"/>
      <c r="AT63" s="2"/>
      <c r="AU63" s="2"/>
      <c r="AV63" s="2"/>
      <c r="AW63" s="2"/>
      <c r="AY63" s="2"/>
    </row>
    <row r="64" spans="2:54" x14ac:dyDescent="0.35">
      <c r="D64" s="2"/>
      <c r="M64" s="2"/>
      <c r="Q64" s="2"/>
      <c r="R64" s="2"/>
      <c r="S64" s="2"/>
      <c r="T64" s="2"/>
      <c r="U64" s="2"/>
      <c r="V64" s="2"/>
      <c r="W64" s="2"/>
      <c r="Y64" s="2"/>
      <c r="Z64" s="2"/>
      <c r="AA64" s="2"/>
      <c r="AD64" s="2"/>
      <c r="AE64" s="2"/>
      <c r="AF64" s="2"/>
      <c r="AH64" s="2"/>
      <c r="AK64" s="1"/>
      <c r="AL64" s="1"/>
      <c r="AT64" s="2"/>
      <c r="AU64" s="2"/>
      <c r="AV64" s="2"/>
      <c r="AW64" s="2"/>
      <c r="AY64" s="2"/>
    </row>
    <row r="65" spans="4:51" x14ac:dyDescent="0.35">
      <c r="D65" s="2"/>
      <c r="M65" s="2"/>
      <c r="Q65" s="2"/>
      <c r="R65" s="2"/>
      <c r="S65" s="2"/>
      <c r="T65" s="2"/>
      <c r="U65" s="2"/>
      <c r="V65" s="2"/>
      <c r="W65" s="2"/>
      <c r="Y65" s="2"/>
      <c r="Z65" s="2"/>
      <c r="AA65" s="2"/>
      <c r="AD65" s="2"/>
      <c r="AE65" s="2"/>
      <c r="AF65" s="2"/>
      <c r="AH65" s="2"/>
      <c r="AK65" s="1"/>
      <c r="AL65" s="1"/>
      <c r="AT65" s="2"/>
      <c r="AU65" s="2"/>
      <c r="AV65" s="2"/>
      <c r="AW65" s="2"/>
      <c r="AY65" s="2"/>
    </row>
  </sheetData>
  <mergeCells count="26">
    <mergeCell ref="E2:AW2"/>
    <mergeCell ref="AD4:AF4"/>
    <mergeCell ref="E5:Q5"/>
    <mergeCell ref="Z5:AW5"/>
    <mergeCell ref="B6:C6"/>
    <mergeCell ref="E14:Q14"/>
    <mergeCell ref="Z14:AW14"/>
    <mergeCell ref="B15:C15"/>
    <mergeCell ref="BA15:BB15"/>
    <mergeCell ref="BA6:BB6"/>
    <mergeCell ref="E19:Q19"/>
    <mergeCell ref="Z19:AW19"/>
    <mergeCell ref="B20:C20"/>
    <mergeCell ref="BA20:BB20"/>
    <mergeCell ref="E23:Q23"/>
    <mergeCell ref="Z23:AW23"/>
    <mergeCell ref="B24:C24"/>
    <mergeCell ref="BA24:BB24"/>
    <mergeCell ref="B44:C44"/>
    <mergeCell ref="BA44:BB44"/>
    <mergeCell ref="E35:Q35"/>
    <mergeCell ref="Z35:AW35"/>
    <mergeCell ref="B36:C36"/>
    <mergeCell ref="BA36:BB36"/>
    <mergeCell ref="E43:Q43"/>
    <mergeCell ref="Z43:AW43"/>
  </mergeCells>
  <conditionalFormatting sqref="B7:C13">
    <cfRule type="expression" dxfId="27" priority="17">
      <formula>LEN(B7)=0</formula>
    </cfRule>
  </conditionalFormatting>
  <conditionalFormatting sqref="B16:C18 B21:C22">
    <cfRule type="expression" dxfId="26" priority="16">
      <formula>LEN(B16)=0</formula>
    </cfRule>
  </conditionalFormatting>
  <conditionalFormatting sqref="B25:C34">
    <cfRule type="expression" dxfId="25" priority="2">
      <formula>LEN(B25)=0</formula>
    </cfRule>
  </conditionalFormatting>
  <conditionalFormatting sqref="B43:C43 B45:C45">
    <cfRule type="expression" dxfId="24" priority="12">
      <formula>LEN(B43)=0</formula>
    </cfRule>
  </conditionalFormatting>
  <conditionalFormatting sqref="AG7:AG13 AG21:AG22">
    <cfRule type="cellIs" dxfId="23" priority="24" operator="greaterThan">
      <formula>2</formula>
    </cfRule>
  </conditionalFormatting>
  <conditionalFormatting sqref="AG16:AG18">
    <cfRule type="cellIs" dxfId="22" priority="19" operator="greaterThan">
      <formula>2</formula>
    </cfRule>
  </conditionalFormatting>
  <conditionalFormatting sqref="AG25:AG34">
    <cfRule type="cellIs" dxfId="21" priority="1" operator="greaterThan">
      <formula>2</formula>
    </cfRule>
  </conditionalFormatting>
  <conditionalFormatting sqref="AG45">
    <cfRule type="cellIs" dxfId="20" priority="14" operator="greaterThan">
      <formula>2</formula>
    </cfRule>
  </conditionalFormatting>
  <conditionalFormatting sqref="BA7:BB13">
    <cfRule type="expression" dxfId="19" priority="22">
      <formula>LEN(BA7)=0</formula>
    </cfRule>
  </conditionalFormatting>
  <conditionalFormatting sqref="BA16:BB18">
    <cfRule type="expression" dxfId="18" priority="18">
      <formula>LEN(BA16)=0</formula>
    </cfRule>
  </conditionalFormatting>
  <conditionalFormatting sqref="BA21:BB22">
    <cfRule type="expression" dxfId="17" priority="23">
      <formula>LEN(BA21)=0</formula>
    </cfRule>
  </conditionalFormatting>
  <conditionalFormatting sqref="BA25:BB34">
    <cfRule type="expression" dxfId="16" priority="4">
      <formula>LEN(BA25)=0</formula>
    </cfRule>
  </conditionalFormatting>
  <conditionalFormatting sqref="BA45:BB45">
    <cfRule type="expression" dxfId="15" priority="13">
      <formula>LEN(BA45)=0</formula>
    </cfRule>
  </conditionalFormatting>
  <dataValidations count="2">
    <dataValidation type="list" allowBlank="1" showInputMessage="1" showErrorMessage="1" sqref="T45 T16:T18 T21:T22 T7:T13 T25:T34" xr:uid="{00000000-0002-0000-0500-000000000000}">
      <formula1>Overages</formula1>
    </dataValidation>
    <dataValidation type="list" allowBlank="1" showInputMessage="1" showErrorMessage="1" sqref="AA37:AA42 AA7:AA13 H7:H13 K7:K13 U7:U13 U16:U18 AA21:AA22 AA45 K45 H45 U45 H16:H18 AA16:AA18 K16:K18 H21:H22 U21:U22 K21:K22 U25:U34 K25:K34 AA25:AA34 H25:H34" xr:uid="{00000000-0002-0000-0500-000001000000}">
      <formula1>Port_List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2000000}">
          <x14:formula1>
            <xm:f>Control!$E$6:$E$9</xm:f>
          </x14:formula1>
          <xm:sqref>M16:M18 Z16:Z18 M45 Z45 M7:M13 Z7:Z13 Z21:Z22 M21:M22 M25:M34 Z25:Z34</xm:sqref>
        </x14:dataValidation>
        <x14:dataValidation type="list" allowBlank="1" showInputMessage="1" showErrorMessage="1" xr:uid="{00000000-0002-0000-0500-000003000000}">
          <x14:formula1>
            <xm:f>Control!$E$2:$E$4</xm:f>
          </x14:formula1>
          <xm:sqref>E21:E22 E16:E18 E45 E7:E13 E25:E34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B738-F63E-45C4-85CE-34A13D1AA57D}">
  <sheetPr codeName="Sheet13">
    <tabColor rgb="FF00CC00"/>
    <outlinePr summaryRight="0"/>
  </sheetPr>
  <dimension ref="A1:BK71"/>
  <sheetViews>
    <sheetView showGridLines="0" topLeftCell="A2" zoomScale="80" zoomScaleNormal="80" workbookViewId="0">
      <pane xSplit="1" ySplit="7" topLeftCell="B21" activePane="bottomRight" state="frozen"/>
      <selection pane="topRight" activeCell="B2" sqref="B2"/>
      <selection pane="bottomLeft" activeCell="A8" sqref="A8"/>
      <selection pane="bottomRight" activeCell="B2" sqref="B2"/>
    </sheetView>
  </sheetViews>
  <sheetFormatPr defaultColWidth="8.81640625" defaultRowHeight="15.5" outlineLevelCol="1" x14ac:dyDescent="0.35"/>
  <cols>
    <col min="1" max="2" width="8.453125" style="2" bestFit="1" customWidth="1"/>
    <col min="3" max="3" width="1.1796875" customWidth="1"/>
    <col min="4" max="4" width="12.54296875" style="2" customWidth="1" collapsed="1"/>
    <col min="5" max="5" width="5.54296875" style="2" hidden="1" customWidth="1" outlineLevel="1"/>
    <col min="6" max="7" width="9.453125" style="2" hidden="1" customWidth="1" outlineLevel="1"/>
    <col min="8" max="8" width="18" style="2" hidden="1" customWidth="1" outlineLevel="1"/>
    <col min="9" max="9" width="14" style="124" hidden="1" customWidth="1" outlineLevel="1"/>
    <col min="10" max="10" width="15.81640625" style="2" hidden="1" customWidth="1" outlineLevel="1"/>
    <col min="11" max="11" width="14.54296875" style="2" hidden="1" customWidth="1" outlineLevel="1"/>
    <col min="12" max="12" width="11.453125" style="133" customWidth="1"/>
    <col min="13" max="13" width="12.54296875" style="2" bestFit="1" customWidth="1"/>
    <col min="14" max="14" width="10.453125" style="2" bestFit="1" customWidth="1"/>
    <col min="15" max="15" width="12.54296875" style="2" customWidth="1"/>
    <col min="16" max="16" width="12.54296875" customWidth="1"/>
    <col min="17" max="17" width="2.54296875" customWidth="1" collapsed="1"/>
    <col min="18" max="18" width="6.54296875" hidden="1" customWidth="1" outlineLevel="1"/>
    <col min="19" max="19" width="9.453125" hidden="1" customWidth="1" outlineLevel="1"/>
    <col min="20" max="20" width="17.453125" hidden="1" customWidth="1" outlineLevel="1"/>
    <col min="21" max="21" width="18" style="2" hidden="1" customWidth="1" outlineLevel="1"/>
    <col min="22" max="22" width="12.54296875" hidden="1" customWidth="1" outlineLevel="1"/>
    <col min="23" max="23" width="11.453125" customWidth="1"/>
    <col min="24" max="24" width="18.54296875" customWidth="1"/>
    <col min="25" max="25" width="18.453125" style="2" customWidth="1"/>
    <col min="26" max="26" width="13.453125" style="2" bestFit="1" customWidth="1"/>
    <col min="27" max="27" width="17.453125" style="124" bestFit="1" customWidth="1"/>
    <col min="28" max="28" width="16.1796875" style="124" customWidth="1"/>
    <col min="29" max="29" width="15.453125" style="21" customWidth="1"/>
    <col min="30" max="30" width="12.54296875" style="2" customWidth="1"/>
    <col min="31" max="31" width="12.54296875" style="124" bestFit="1" customWidth="1"/>
    <col min="32" max="32" width="9.1796875" style="2" customWidth="1"/>
    <col min="33" max="33" width="7.54296875" style="2" customWidth="1"/>
    <col min="34" max="34" width="9" style="2" bestFit="1" customWidth="1" collapsed="1"/>
    <col min="35" max="35" width="10.453125" style="2" hidden="1" customWidth="1" outlineLevel="1"/>
    <col min="36" max="36" width="16" style="2" hidden="1" customWidth="1" outlineLevel="1"/>
    <col min="37" max="37" width="11" style="2" hidden="1" customWidth="1" outlineLevel="1"/>
    <col min="38" max="38" width="11.54296875" style="2" hidden="1" customWidth="1" outlineLevel="1"/>
    <col min="39" max="39" width="17" style="2" hidden="1" customWidth="1" outlineLevel="1"/>
    <col min="40" max="40" width="9.54296875" style="2" hidden="1" customWidth="1" outlineLevel="1"/>
    <col min="41" max="41" width="11.54296875" style="2" hidden="1" customWidth="1" outlineLevel="1"/>
    <col min="42" max="42" width="12.54296875" style="2" hidden="1" customWidth="1" outlineLevel="1"/>
    <col min="43" max="43" width="11" style="21" customWidth="1"/>
    <col min="44" max="44" width="8.453125" style="21" customWidth="1"/>
    <col min="45" max="45" width="9.453125" style="21" customWidth="1"/>
    <col min="46" max="46" width="9" style="21" customWidth="1"/>
    <col min="47" max="47" width="8.81640625" style="6" customWidth="1"/>
    <col min="48" max="48" width="1.1796875" style="2" customWidth="1"/>
    <col min="49" max="49" width="13.81640625" style="43" bestFit="1" customWidth="1"/>
    <col min="50" max="50" width="1.1796875" style="2" customWidth="1"/>
    <col min="51" max="52" width="9" style="2" bestFit="1" customWidth="1"/>
    <col min="53" max="53" width="9.54296875" bestFit="1" customWidth="1"/>
    <col min="54" max="54" width="28.54296875" style="2" bestFit="1" customWidth="1"/>
    <col min="55" max="56" width="14.54296875" style="2" bestFit="1" customWidth="1"/>
    <col min="57" max="57" width="11.453125" style="2" bestFit="1" customWidth="1"/>
    <col min="58" max="58" width="8.81640625" style="2"/>
    <col min="59" max="59" width="12.54296875" style="2" bestFit="1" customWidth="1"/>
    <col min="60" max="60" width="10.453125" style="2" bestFit="1" customWidth="1"/>
    <col min="61" max="61" width="8.81640625" style="2"/>
    <col min="62" max="62" width="13.453125" style="2" bestFit="1" customWidth="1"/>
    <col min="63" max="63" width="11.453125" style="2" bestFit="1" customWidth="1"/>
  </cols>
  <sheetData>
    <row r="1" spans="1:63" ht="15.65" hidden="1" customHeight="1" x14ac:dyDescent="0.35">
      <c r="P1" s="20"/>
      <c r="Q1" s="2"/>
      <c r="R1" s="2"/>
      <c r="S1" s="2"/>
      <c r="T1" s="2"/>
      <c r="U1" s="2" t="e">
        <f>INDEX(Vessel_Minimum_MT,MATCH(W1,Control!$E$11:$E$15,0),MATCH(T1,Control!$E$11:$J$11,0))</f>
        <v>#N/A</v>
      </c>
      <c r="V1" s="2"/>
      <c r="W1" s="2"/>
      <c r="X1" s="2"/>
      <c r="AF1" s="2" t="e">
        <f>AD1*VLOOKUP($W1,$BF$9:$BH$13,3,FALSE)/$Z1</f>
        <v>#N/A</v>
      </c>
    </row>
    <row r="2" spans="1:63" ht="28.5" x14ac:dyDescent="0.65">
      <c r="A2" s="386"/>
      <c r="B2"/>
      <c r="D2" s="1068" t="s">
        <v>358</v>
      </c>
      <c r="E2" s="1068"/>
      <c r="F2" s="1068"/>
      <c r="G2" s="1068"/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8"/>
      <c r="U2" s="1068"/>
      <c r="V2" s="1068"/>
      <c r="W2" s="1068"/>
      <c r="X2" s="1068"/>
      <c r="Y2" s="1068"/>
      <c r="Z2" s="1068"/>
      <c r="AA2" s="1068"/>
      <c r="AB2" s="1068"/>
      <c r="AC2" s="1068"/>
      <c r="AD2" s="1068"/>
      <c r="AE2" s="1068"/>
      <c r="AF2" s="1068"/>
      <c r="AG2" s="1068"/>
      <c r="AH2" s="1068"/>
      <c r="AI2" s="1068"/>
      <c r="AJ2" s="1068"/>
      <c r="AK2" s="1068"/>
      <c r="AL2" s="1068"/>
      <c r="AM2" s="1068"/>
      <c r="AN2" s="1068"/>
      <c r="AO2" s="1068"/>
      <c r="AP2" s="1068"/>
      <c r="AQ2" s="1068"/>
      <c r="AR2" s="1068"/>
      <c r="AS2" s="1068"/>
      <c r="AT2" s="1068"/>
      <c r="AU2" s="1068"/>
      <c r="AW2"/>
      <c r="AY2" s="195" t="s">
        <v>322</v>
      </c>
      <c r="AZ2" s="201" t="e">
        <v>#N/A</v>
      </c>
      <c r="BA2" s="114"/>
      <c r="BB2" s="133" t="s">
        <v>151</v>
      </c>
      <c r="BC2" s="2">
        <f>BC21*$BC$4</f>
        <v>4.2</v>
      </c>
      <c r="BD2" s="268">
        <f>$BC$2*$BD$14/365/100</f>
        <v>1.3808219178082193E-2</v>
      </c>
    </row>
    <row r="3" spans="1:63" s="364" customFormat="1" ht="18" customHeight="1" x14ac:dyDescent="0.65">
      <c r="A3" s="387"/>
      <c r="C3"/>
      <c r="D3" s="203" t="s">
        <v>154</v>
      </c>
      <c r="E3" s="204"/>
      <c r="F3" s="204"/>
      <c r="G3" s="205"/>
      <c r="H3" s="206"/>
      <c r="I3" s="207"/>
      <c r="J3" s="206"/>
      <c r="K3" s="206"/>
      <c r="L3" s="208">
        <v>-3.29</v>
      </c>
      <c r="M3" s="11"/>
      <c r="N3" s="193"/>
      <c r="O3" s="193"/>
      <c r="P3" s="193"/>
      <c r="Q3" s="37"/>
      <c r="R3" s="37"/>
      <c r="S3" s="126"/>
      <c r="T3" s="38"/>
      <c r="U3" s="126"/>
      <c r="V3" s="37"/>
      <c r="W3" s="193"/>
      <c r="X3" s="109"/>
      <c r="Y3" s="36"/>
      <c r="Z3" s="22"/>
      <c r="AA3" s="193"/>
      <c r="AB3" s="36"/>
      <c r="AC3" s="193"/>
      <c r="AD3" s="36"/>
      <c r="AE3" s="24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371"/>
      <c r="AR3" s="372"/>
      <c r="AS3" s="373">
        <f>WTI!BD3</f>
        <v>46296</v>
      </c>
      <c r="AT3" s="374">
        <f>EOMONTH(AS3,1)</f>
        <v>46356</v>
      </c>
      <c r="AU3" s="374">
        <f>EOMONTH(AT3,1)</f>
        <v>46387</v>
      </c>
      <c r="AV3" s="2"/>
      <c r="AX3" s="365"/>
      <c r="AY3" s="366"/>
      <c r="AZ3" s="367"/>
      <c r="BA3" s="368"/>
      <c r="BB3" s="369"/>
      <c r="BC3" s="365"/>
      <c r="BD3" s="370"/>
      <c r="BE3" s="365"/>
      <c r="BF3" s="365"/>
      <c r="BG3" s="365"/>
      <c r="BH3" s="365"/>
      <c r="BI3" s="365"/>
      <c r="BJ3" s="365"/>
      <c r="BK3" s="365"/>
    </row>
    <row r="4" spans="1:63" ht="15.65" customHeight="1" x14ac:dyDescent="0.35">
      <c r="B4"/>
      <c r="R4" t="s">
        <v>160</v>
      </c>
      <c r="S4" t="s">
        <v>161</v>
      </c>
      <c r="T4" t="s">
        <v>162</v>
      </c>
      <c r="X4" s="194"/>
      <c r="AD4" s="2">
        <f>+IF($AQ$6=1,HLOOKUP(EOMONTH(AZ30,0),$AS$3:$AU$6,4,FALSE),IF($AQ$6=2,-HLOOKUP(EOMONTH(AZ30,0),$AS$3:$AU$6,3,FALSE),0))</f>
        <v>0</v>
      </c>
      <c r="AR4" s="46" t="s">
        <v>164</v>
      </c>
      <c r="AS4" s="46">
        <f>WTI!BD4</f>
        <v>3.75</v>
      </c>
      <c r="AT4" s="46">
        <f>WTI!BE4</f>
        <v>2.9</v>
      </c>
      <c r="AU4" s="46">
        <f>WTI!BF4</f>
        <v>2.25</v>
      </c>
      <c r="AW4" s="194"/>
      <c r="AY4" s="198" t="s">
        <v>323</v>
      </c>
      <c r="AZ4" s="114" t="e">
        <f>L3+AR35+AS4+AT4+AT6</f>
        <v>#N/A</v>
      </c>
      <c r="BA4" s="114"/>
      <c r="BC4" s="2">
        <v>1.2</v>
      </c>
      <c r="BJ4" s="132"/>
      <c r="BK4" s="127"/>
    </row>
    <row r="5" spans="1:63" ht="15" customHeight="1" thickBot="1" x14ac:dyDescent="0.4">
      <c r="E5" s="204"/>
      <c r="F5" s="204"/>
      <c r="G5" s="205"/>
      <c r="H5" s="206"/>
      <c r="I5" s="207"/>
      <c r="J5" s="206"/>
      <c r="K5" s="206"/>
      <c r="N5" s="3" t="e">
        <f>INDEX(Index,MATCH(T35,TVM_PortList,0),MATCH("Payment",Control!$Q$3:$U$3,0))</f>
        <v>#N/A</v>
      </c>
      <c r="P5" s="20"/>
      <c r="Q5" s="2"/>
      <c r="R5" s="194">
        <f>A8</f>
        <v>44805</v>
      </c>
      <c r="S5">
        <v>13</v>
      </c>
      <c r="T5" s="375">
        <f>R5+AW35+S5</f>
        <v>44818</v>
      </c>
      <c r="V5" s="2"/>
      <c r="W5" s="35">
        <f>DATE(YEAR(A8),MONTH(EOMONTH(A8,1)),20)</f>
        <v>44854</v>
      </c>
      <c r="X5" s="35">
        <f>IF(INDEX(Index,MATCH(X34,TVM_PortList,0),MATCH("Type",Control!$Q$3:$U$3,0))="BL",$A$8+INDEX(Index,MATCH(T18,TVM_PortList,0),MATCH("Payment",Control!$Q$3:$U$3,0)),$A$8+INDEX(Index,MATCH(X34,TVM_PortList,0),MATCH("Payment",Control!$Q$3:$U$3,0))+AW34)</f>
        <v>44815</v>
      </c>
      <c r="Y5" s="376">
        <f>X5-W5</f>
        <v>-39</v>
      </c>
      <c r="Z5" s="52"/>
      <c r="AA5" s="1043" t="s">
        <v>288</v>
      </c>
      <c r="AB5" s="1043"/>
      <c r="AC5" s="1043"/>
      <c r="AD5" s="192"/>
      <c r="AR5" s="203" t="s">
        <v>229</v>
      </c>
      <c r="AS5" s="208">
        <f>WTI!BD5</f>
        <v>13.5</v>
      </c>
      <c r="AT5" s="208">
        <f>WTI!BE5</f>
        <v>5.28</v>
      </c>
      <c r="AU5" s="208">
        <f>WTI!BF5</f>
        <v>3.98</v>
      </c>
      <c r="AW5" s="85">
        <f>MONTH(A8)</f>
        <v>9</v>
      </c>
      <c r="AY5" s="198"/>
      <c r="AZ5" s="3" t="e">
        <f>AZ4-AZ2</f>
        <v>#N/A</v>
      </c>
    </row>
    <row r="6" spans="1:63" ht="15" customHeight="1" thickBot="1" x14ac:dyDescent="0.4">
      <c r="E6" s="204"/>
      <c r="F6" s="204"/>
      <c r="G6" s="205"/>
      <c r="H6" s="206"/>
      <c r="I6" s="207"/>
      <c r="J6" s="206"/>
      <c r="K6" s="206"/>
      <c r="P6" s="20"/>
      <c r="Q6" s="2"/>
      <c r="T6" s="2"/>
      <c r="V6" s="2"/>
      <c r="W6" s="2"/>
      <c r="X6" s="2"/>
      <c r="Y6" s="52"/>
      <c r="Z6" s="52"/>
      <c r="AA6" s="192"/>
      <c r="AB6" s="192"/>
      <c r="AC6" s="192"/>
      <c r="AD6" s="192"/>
      <c r="AE6" s="383" t="s">
        <v>324</v>
      </c>
      <c r="AF6" s="384" t="s">
        <v>325</v>
      </c>
      <c r="AG6" s="384" t="s">
        <v>326</v>
      </c>
      <c r="AH6" s="382" t="s">
        <v>163</v>
      </c>
      <c r="AQ6" s="307">
        <v>0</v>
      </c>
      <c r="AR6" s="203" t="s">
        <v>254</v>
      </c>
      <c r="AS6" s="208">
        <f>WTI!BD6</f>
        <v>-5.25</v>
      </c>
      <c r="AT6" s="208">
        <f>WTI!BE6</f>
        <v>-1.7</v>
      </c>
      <c r="AU6" s="208">
        <f>WTI!BF6</f>
        <v>-0.9</v>
      </c>
      <c r="AW6" s="385">
        <f>EOMONTH(AZ9,-2)</f>
        <v>44773</v>
      </c>
      <c r="AY6" s="195"/>
      <c r="AZ6" s="3"/>
    </row>
    <row r="7" spans="1:63" ht="19" thickBot="1" x14ac:dyDescent="0.5">
      <c r="A7" s="1005" t="s">
        <v>167</v>
      </c>
      <c r="B7" s="1005"/>
      <c r="D7" s="1069" t="s">
        <v>327</v>
      </c>
      <c r="E7" s="1070"/>
      <c r="F7" s="1070"/>
      <c r="G7" s="1070"/>
      <c r="H7" s="1070"/>
      <c r="I7" s="1070"/>
      <c r="J7" s="1070"/>
      <c r="K7" s="1070"/>
      <c r="L7" s="1070"/>
      <c r="M7" s="1070"/>
      <c r="N7" s="1070"/>
      <c r="O7" s="1070"/>
      <c r="P7" s="1071"/>
      <c r="Q7" s="2"/>
      <c r="R7" s="9"/>
      <c r="S7" s="9"/>
      <c r="T7" s="9"/>
      <c r="U7" s="9"/>
      <c r="V7" s="9"/>
      <c r="W7" s="1069" t="s">
        <v>290</v>
      </c>
      <c r="X7" s="1070"/>
      <c r="Y7" s="1070"/>
      <c r="Z7" s="1070"/>
      <c r="AA7" s="1070"/>
      <c r="AB7" s="1070"/>
      <c r="AC7" s="1070"/>
      <c r="AD7" s="1070"/>
      <c r="AE7" s="1070"/>
      <c r="AF7" s="1070"/>
      <c r="AG7" s="1070"/>
      <c r="AH7" s="1070"/>
      <c r="AI7" s="1070"/>
      <c r="AJ7" s="1070"/>
      <c r="AK7" s="1070"/>
      <c r="AL7" s="1070"/>
      <c r="AM7" s="1070"/>
      <c r="AN7" s="1070"/>
      <c r="AO7" s="1070"/>
      <c r="AP7" s="1070"/>
      <c r="AQ7" s="1070"/>
      <c r="AR7" s="1070"/>
      <c r="AS7" s="1070"/>
      <c r="AT7" s="1070"/>
      <c r="AU7" s="1071"/>
      <c r="AW7" s="112"/>
      <c r="AY7" s="78"/>
      <c r="AZ7" s="76"/>
      <c r="BB7"/>
    </row>
    <row r="8" spans="1:63" ht="29.5" customHeight="1" thickBot="1" x14ac:dyDescent="0.4">
      <c r="A8" s="309">
        <v>44805</v>
      </c>
      <c r="B8" s="310">
        <f>A8+2</f>
        <v>44807</v>
      </c>
      <c r="D8" s="120" t="s">
        <v>276</v>
      </c>
      <c r="E8" s="152" t="s">
        <v>172</v>
      </c>
      <c r="F8" s="152" t="s">
        <v>2</v>
      </c>
      <c r="G8" s="152" t="s">
        <v>173</v>
      </c>
      <c r="H8" s="152" t="s">
        <v>174</v>
      </c>
      <c r="I8" s="125" t="s">
        <v>175</v>
      </c>
      <c r="J8" s="152" t="s">
        <v>177</v>
      </c>
      <c r="K8" s="152" t="s">
        <v>178</v>
      </c>
      <c r="L8" s="122" t="s">
        <v>176</v>
      </c>
      <c r="M8" s="120" t="s">
        <v>200</v>
      </c>
      <c r="N8" s="120" t="s">
        <v>277</v>
      </c>
      <c r="O8" s="121" t="s">
        <v>202</v>
      </c>
      <c r="P8" s="123" t="s">
        <v>278</v>
      </c>
      <c r="Q8" s="2"/>
      <c r="R8" s="120" t="s">
        <v>172</v>
      </c>
      <c r="S8" s="120" t="s">
        <v>2</v>
      </c>
      <c r="T8" s="120" t="s">
        <v>173</v>
      </c>
      <c r="U8" s="152" t="s">
        <v>174</v>
      </c>
      <c r="V8" s="120" t="s">
        <v>175</v>
      </c>
      <c r="W8" s="120" t="s">
        <v>176</v>
      </c>
      <c r="X8" s="120" t="s">
        <v>177</v>
      </c>
      <c r="Y8" s="120" t="s">
        <v>178</v>
      </c>
      <c r="Z8" s="120" t="s">
        <v>179</v>
      </c>
      <c r="AA8" s="146" t="s">
        <v>180</v>
      </c>
      <c r="AB8" s="128" t="s">
        <v>181</v>
      </c>
      <c r="AC8" s="150" t="s">
        <v>182</v>
      </c>
      <c r="AD8" s="136" t="s">
        <v>183</v>
      </c>
      <c r="AE8" s="146" t="s">
        <v>279</v>
      </c>
      <c r="AF8" s="136" t="s">
        <v>184</v>
      </c>
      <c r="AG8" s="136" t="s">
        <v>140</v>
      </c>
      <c r="AH8" s="136" t="s">
        <v>98</v>
      </c>
      <c r="AI8" s="136" t="s">
        <v>186</v>
      </c>
      <c r="AJ8" s="136" t="s">
        <v>187</v>
      </c>
      <c r="AK8" s="136" t="s">
        <v>141</v>
      </c>
      <c r="AL8" s="136" t="s">
        <v>188</v>
      </c>
      <c r="AM8" s="136" t="s">
        <v>17</v>
      </c>
      <c r="AN8" s="136" t="s">
        <v>207</v>
      </c>
      <c r="AO8" s="136" t="s">
        <v>189</v>
      </c>
      <c r="AP8" s="136" t="s">
        <v>152</v>
      </c>
      <c r="AQ8" s="150" t="s">
        <v>190</v>
      </c>
      <c r="AR8" s="150" t="s">
        <v>191</v>
      </c>
      <c r="AS8" s="150" t="s">
        <v>192</v>
      </c>
      <c r="AT8" s="150" t="s">
        <v>193</v>
      </c>
      <c r="AU8" s="137" t="s">
        <v>194</v>
      </c>
      <c r="AW8" s="137" t="s">
        <v>195</v>
      </c>
      <c r="AY8" s="1011" t="s">
        <v>196</v>
      </c>
      <c r="AZ8" s="1011"/>
      <c r="BB8" s="118" t="s">
        <v>135</v>
      </c>
      <c r="BJ8" s="132"/>
      <c r="BK8" s="127"/>
    </row>
    <row r="9" spans="1:63" x14ac:dyDescent="0.35">
      <c r="A9" s="82">
        <f>+$A$8</f>
        <v>44805</v>
      </c>
      <c r="B9" s="82">
        <f t="shared" ref="B9:B15" si="0">IF(ISBLANK(A9),"",A9+2)</f>
        <v>44807</v>
      </c>
      <c r="D9" s="16"/>
      <c r="E9" s="138">
        <f>INDEX('[2]Flat Rates 2023'!$A:$DB,MATCH(G9,'[2]Flat Rates 2023'!$A:$A,0),MATCH(J9,'[2]Flat Rates 2023'!$A$1:$DB$1,0))</f>
        <v>6.78</v>
      </c>
      <c r="F9" s="138" t="e">
        <f>INDEX(Control!$E$17:$O$21,MATCH(L9,Control!$E$17:$E$21,0),MATCH(G9,Control!$E$17:$O$17,0))</f>
        <v>#N/A</v>
      </c>
      <c r="G9" s="138" t="s">
        <v>134</v>
      </c>
      <c r="H9" s="116" t="e">
        <f>INDEX(Vessel_Minimum_MT,MATCH(L9,Control!$E$11:$E$15,0),MATCH(G9,Control!$E$11:$O$11,0))</f>
        <v>#N/A</v>
      </c>
      <c r="I9" s="116">
        <f t="shared" ref="I9:I15" si="1">M9/$BD$17</f>
        <v>90096.96796338672</v>
      </c>
      <c r="J9" s="138" t="s">
        <v>55</v>
      </c>
      <c r="K9" s="138" t="e">
        <f t="shared" ref="K9:K15" si="2">IF(J9=G9,"",CONCATENATE(CONCATENATE(VLOOKUP(G9,Zones,2,FALSE),"/",VLOOKUP(J9,Zones,2,FALSE))))</f>
        <v>#N/A</v>
      </c>
      <c r="L9" s="147" t="s">
        <v>23</v>
      </c>
      <c r="M9" s="15">
        <v>700000</v>
      </c>
      <c r="N9" s="17">
        <v>170</v>
      </c>
      <c r="O9" s="18">
        <v>85</v>
      </c>
      <c r="P9" s="149" t="e">
        <f t="shared" ref="P9:P15" si="3">IF($G9="Esmeraldas",IF(N9&gt;1000,IF(O9=0,N9,O9)/M9*1.1,((H9*E9*(IF(O9=0,N9,O9)/100))+IF(I9&lt;H9,0,(I9-H9)*E9*IF(O9=0,N9,O9)/100*F9))/M9*1.1),IF(N9&gt;1000,IF(O9=0,N9,O9)/M9,((H9*E9*(IF(O9=0,N9,O9)/100))+IF(I9&lt;H9,0,(I9-H9)*E9*IF(O9=0,N9,O9)/100*F9)))/M9)</f>
        <v>#N/A</v>
      </c>
      <c r="Q9" s="2"/>
      <c r="R9" s="138">
        <f>INDEX('[2]Flat Rates 2023'!$A:$DZ,MATCH(T9,'[2]Flat Rates 2023'!$A:$A,0),MATCH(X9,'[2]Flat Rates 2023'!$A$1:$DZ$1,0))</f>
        <v>10.63</v>
      </c>
      <c r="S9" s="138">
        <f>INDEX(Control!$E$17:$J$21,MATCH(W9,Control!$E$17:$E$21,0),MATCH(T9,Control!$E$17:$O$17,0))</f>
        <v>0.5</v>
      </c>
      <c r="T9" s="138" t="s">
        <v>63</v>
      </c>
      <c r="U9" s="116">
        <f>INDEX(Vessel_Minimum_MT,MATCH(W9,Control!$E$11:$E$15,0),MATCH(T9,Control!$E$11:$O$11,0))</f>
        <v>50000</v>
      </c>
      <c r="V9" s="140">
        <f t="shared" ref="V9:V15" si="4">Z9/$BD$17</f>
        <v>62424.327803203661</v>
      </c>
      <c r="W9" s="147" t="s">
        <v>22</v>
      </c>
      <c r="X9" s="164" t="s">
        <v>110</v>
      </c>
      <c r="Y9" s="142" t="str">
        <f t="shared" ref="Y9:Y15" si="5">IF(X9=T9,"",CONCATENATE(CONCATENATE(VLOOKUP(T9,Zones,2,FALSE),"/",VLOOKUP(X9,Zones,2,FALSE))))</f>
        <v>Panama WC/LATAM WEST</v>
      </c>
      <c r="Z9" s="141">
        <v>485000</v>
      </c>
      <c r="AA9" s="141">
        <v>245</v>
      </c>
      <c r="AB9" s="151">
        <v>100</v>
      </c>
      <c r="AC9" s="149">
        <f>IF(AB9&gt;1000,IF(AB9=0,AB9,AB9)/Z9,((U9*R9*(IF(AB9=0,AB9,AB9)/100))+IF(V9&lt;U9,0,(V9-U9)*R9*IF(AB9=0,AB9,AB9)/100*S9))/Z9)</f>
        <v>1.2320315510804691</v>
      </c>
      <c r="AD9" s="144">
        <v>5</v>
      </c>
      <c r="AE9" s="155">
        <f>IF(INDEX(Index,MATCH(X9,TVM_PortList,0),MATCH("Type",Control!$Q$3:$U$3,0))="BL",INDEX(Index,MATCH(X9,TVM_PortList,0),MATCH("Payment",Control!$Q$3:$U$3,0))-INDEX(Index,MATCH(T9,TVM_PortList,0),MATCH("Payment",Control!$Q$3:$U$3,0)),AW9+INDEX(Index,MATCH(X9,TVM_PortList,0),MATCH("Payment",Control!$Q$3:$U$3,0))-INDEX(Index,MATCH(T9,TVM_PortList,0),MATCH("Payment",Control!$Q$3:$U$3,0)))</f>
        <v>15</v>
      </c>
      <c r="AF9" s="143">
        <f t="shared" ref="AF9:AF15" si="6">AD9*VLOOKUP($W9,$BF$9:$BH$13,3,FALSE)/$Z9</f>
        <v>0.19072164948453607</v>
      </c>
      <c r="AG9" s="143">
        <f t="shared" ref="AG9:AG15" si="7">IF(AE9&lt;0,0,$AE9*$BD$11)</f>
        <v>0.17260273972602738</v>
      </c>
      <c r="AH9" s="143">
        <f>INDEX(Lightering,MATCH($T9,Control!$AB$3:$AB$100,0),MATCH(MOLO!$W9,Control!$AB$3:$AF$3,0))*($Z9/$BD$18)*$BH$15/$Z9</f>
        <v>0</v>
      </c>
      <c r="AI9" s="143">
        <f t="shared" ref="AI9:AI15" si="8">IF(G9="Corpus Christi",$BD$10,0)</f>
        <v>0</v>
      </c>
      <c r="AJ9" s="143">
        <v>0</v>
      </c>
      <c r="AK9" s="143">
        <f t="shared" ref="AK9:AK15" si="9">$BD$12</f>
        <v>5.0000000000000001E-3</v>
      </c>
      <c r="AL9" s="143">
        <f t="shared" ref="AL9:AL15" si="10">$BD$13</f>
        <v>6.7299999999999999E-2</v>
      </c>
      <c r="AM9" s="143">
        <f>IF(INDEX(Control!$Q$3:$S$62,MATCH($X9,Control!$Q$3:$Q$62,0),MATCH(AM$8,Control!$Q$3:$S$3,0))=1,$BD$14*$BE$14,0)</f>
        <v>0</v>
      </c>
      <c r="AN9" s="143" t="e">
        <f>IF(INDEX(Control!$Q$3:$S$62,MATCH($X9,Control!$Q$3:$Q$62,0),MATCH(AN$8,Control!$Q$3:$S$3,0))=1,$BD$15/$Z9,0)</f>
        <v>#N/A</v>
      </c>
      <c r="AO9" s="143">
        <f t="shared" ref="AO9:AO15" si="11">$BD$16</f>
        <v>0</v>
      </c>
      <c r="AP9" s="143">
        <f t="shared" ref="AP9:AP15" si="12">IF(AND(J9="Chiriqui Grande",T9="Puerto Armuelles"),$BG$18,0)</f>
        <v>0.55000000000000004</v>
      </c>
      <c r="AQ9" s="149" t="e">
        <f>SUM(AF9:AP9)</f>
        <v>#N/A</v>
      </c>
      <c r="AR9" s="149" t="e">
        <f t="shared" ref="AR9:AR15" si="13">+P9+AC9+AQ9</f>
        <v>#N/A</v>
      </c>
      <c r="AS9" s="149">
        <f>IF(MONTH(A9)=MONTH(AZ9),0,IF(MONTH(AZ9)-MONTH(A9)&gt;1,VLOOKUP("Spreads",$AR$3:$AU$4,MATCH(EOMONTH(AZ9,0),$AR$3:$AU$3,0),FALSE)+VLOOKUP("Spreads",$AR$3:$AU$4,MATCH(EOMONTH(AZ9,-1),$AR$3:$AU$3,0),FALSE),VLOOKUP("Spreads",$AR$3:$AU$4,MATCH(EOMONTH(AZ9,0),$AR$3:$AU$3,0))))</f>
        <v>0</v>
      </c>
      <c r="AT9" s="149">
        <v>0</v>
      </c>
      <c r="AU9" s="135" t="e">
        <f t="shared" ref="AU9:AU15" si="14">$L$3+AR9+AS9+AT9</f>
        <v>#N/A</v>
      </c>
      <c r="AW9" s="153">
        <f>INDEX('[1]Transit Time'!$A:$DZ,MATCH(G9,'[1]Transit Time'!$A:$A,0),MATCH(J9,'[1]Transit Time'!$A$1:$DZ$1,0))+INDEX('[1]Transit Time'!$A:$DZ,MATCH(J9,'[1]Transit Time'!$A:$A,0),MATCH(T9,'[1]Transit Time'!$A$1:$DZ$1,0))+INDEX('[1]Transit Time'!$A:$DZ,MATCH(T9,'[1]Transit Time'!$A:$A,0),MATCH(X9,'[1]Transit Time'!$A$1:$DZ$1,0))</f>
        <v>25</v>
      </c>
      <c r="AY9" s="163">
        <f t="shared" ref="AY9:AZ15" si="15">IF(ISBLANK(A9),"",A9+$AW9)</f>
        <v>44830</v>
      </c>
      <c r="AZ9" s="163">
        <f t="shared" si="15"/>
        <v>44832</v>
      </c>
      <c r="BB9" s="118" t="s">
        <v>136</v>
      </c>
      <c r="BC9"/>
      <c r="BD9" s="2">
        <v>43.3</v>
      </c>
      <c r="BE9"/>
      <c r="BF9" s="185" t="s">
        <v>137</v>
      </c>
      <c r="BG9" s="185"/>
      <c r="BH9" s="186" t="s">
        <v>138</v>
      </c>
      <c r="BJ9" s="118" t="s">
        <v>102</v>
      </c>
    </row>
    <row r="10" spans="1:63" x14ac:dyDescent="0.35">
      <c r="A10" s="209">
        <f>+$A$9</f>
        <v>44805</v>
      </c>
      <c r="B10" s="209">
        <f t="shared" si="0"/>
        <v>44807</v>
      </c>
      <c r="D10" s="211"/>
      <c r="E10" s="212">
        <f>INDEX('[2]Flat Rates 2023'!$A:$DB,MATCH(G10,'[2]Flat Rates 2023'!$A:$A,0),MATCH(J10,'[2]Flat Rates 2023'!$A$1:$DB$1,0))</f>
        <v>6.78</v>
      </c>
      <c r="F10" s="212" t="e">
        <f>INDEX(Control!$E$17:$O$21,MATCH(L10,Control!$E$17:$E$21,0),MATCH(G10,Control!$E$17:$O$17,0))</f>
        <v>#N/A</v>
      </c>
      <c r="G10" s="212" t="s">
        <v>134</v>
      </c>
      <c r="H10" s="213" t="e">
        <f>INDEX(Vessel_Minimum_MT,MATCH(L10,Control!$E$11:$E$15,0),MATCH(G10,Control!$E$11:$O$11,0))</f>
        <v>#N/A</v>
      </c>
      <c r="I10" s="214">
        <f t="shared" si="1"/>
        <v>90096.96796338672</v>
      </c>
      <c r="J10" s="212" t="s">
        <v>55</v>
      </c>
      <c r="K10" s="212" t="e">
        <f t="shared" si="2"/>
        <v>#N/A</v>
      </c>
      <c r="L10" s="215" t="s">
        <v>23</v>
      </c>
      <c r="M10" s="216">
        <v>700000</v>
      </c>
      <c r="N10" s="217">
        <v>170</v>
      </c>
      <c r="O10" s="218">
        <v>85</v>
      </c>
      <c r="P10" s="219" t="e">
        <f t="shared" si="3"/>
        <v>#N/A</v>
      </c>
      <c r="Q10" s="2"/>
      <c r="R10" s="138">
        <f>INDEX('[2]Flat Rates 2023'!$A:$DZ,MATCH(T10,'[2]Flat Rates 2023'!$A:$A,0),MATCH(X10,'[2]Flat Rates 2023'!$A$1:$DZ$1,0))</f>
        <v>10.63</v>
      </c>
      <c r="S10" s="220">
        <f>INDEX(Control!$E$17:$O$21,MATCH(W10,Control!$E$17:$E$21,0),MATCH(T10,Control!$E$17:$O$17,0))</f>
        <v>0.5</v>
      </c>
      <c r="T10" s="220" t="s">
        <v>63</v>
      </c>
      <c r="U10" s="213">
        <f>INDEX(Vessel_Minimum_MT,MATCH(W10,Control!$E$11:$E$15,0),MATCH(T10,Control!$E$11:$O$11,0))</f>
        <v>70000</v>
      </c>
      <c r="V10" s="222">
        <f t="shared" si="4"/>
        <v>96532.465675057203</v>
      </c>
      <c r="W10" s="215" t="s">
        <v>23</v>
      </c>
      <c r="X10" s="223" t="s">
        <v>110</v>
      </c>
      <c r="Y10" s="212" t="str">
        <f t="shared" si="5"/>
        <v>Panama WC/LATAM WEST</v>
      </c>
      <c r="Z10" s="214">
        <v>750000</v>
      </c>
      <c r="AA10" s="214">
        <v>155</v>
      </c>
      <c r="AB10" s="224"/>
      <c r="AC10" s="225">
        <f t="shared" ref="AC10:AC15" si="16">IF(AA10&gt;1000,IF(AB10=0,AA10,AB10)/Z10,((U10*R10*(IF(AB10=0,AA10,AB10)/100))+IF(V10&lt;U10,0,(V10-U10)*R10*IF(AB10=0,AA10,AB10)/100*S10))/Z10)</f>
        <v>1.82924811379672</v>
      </c>
      <c r="AD10" s="226">
        <v>0</v>
      </c>
      <c r="AE10" s="214">
        <f>IF(INDEX(Index,MATCH(X10,TVM_PortList,0),MATCH("Type",Control!$Q$3:$U$3,0))="BL",INDEX(Index,MATCH(X10,TVM_PortList,0),MATCH("Payment",Control!$Q$3:$U$3,0))-INDEX(Index,MATCH(T10,TVM_PortList,0),MATCH("Payment",Control!$Q$3:$U$3,0)),AW10+INDEX(Index,MATCH(X10,TVM_PortList,0),MATCH("Payment",Control!$Q$3:$U$3,0))-INDEX(Index,MATCH(T10,TVM_PortList,0),MATCH("Payment",Control!$Q$3:$U$3,0)))</f>
        <v>15</v>
      </c>
      <c r="AF10" s="227">
        <f t="shared" si="6"/>
        <v>0</v>
      </c>
      <c r="AG10" s="227">
        <f t="shared" si="7"/>
        <v>0.17260273972602738</v>
      </c>
      <c r="AH10" s="227">
        <f>INDEX(Lightering,MATCH($T10,Control!$AB$3:$AB$100,0),MATCH(MOLO!$W10,Control!$AB$3:$AF$3,0))*($Z10/$BD$18)*$BH$15/$Z10</f>
        <v>0</v>
      </c>
      <c r="AI10" s="227">
        <f t="shared" si="8"/>
        <v>0</v>
      </c>
      <c r="AJ10" s="227">
        <v>0</v>
      </c>
      <c r="AK10" s="227">
        <f t="shared" si="9"/>
        <v>5.0000000000000001E-3</v>
      </c>
      <c r="AL10" s="227">
        <f t="shared" si="10"/>
        <v>6.7299999999999999E-2</v>
      </c>
      <c r="AM10" s="227">
        <f>IF(INDEX(Control!$Q$3:$S$62,MATCH($X10,Control!$Q$3:$Q$62,0),MATCH(AM$8,Control!$Q$3:$S$3,0))=1,$BD$14*$BE$14,0)</f>
        <v>0</v>
      </c>
      <c r="AN10" s="227" t="e">
        <f>IF(INDEX(Control!$Q$3:$S$62,MATCH($X10,Control!$Q$3:$Q$62,0),MATCH(AN$8,Control!$Q$3:$S$3,0))=1,$BD$15/$Z10,0)</f>
        <v>#N/A</v>
      </c>
      <c r="AO10" s="227">
        <f t="shared" si="11"/>
        <v>0</v>
      </c>
      <c r="AP10" s="227">
        <f t="shared" si="12"/>
        <v>0.55000000000000004</v>
      </c>
      <c r="AQ10" s="225" t="e">
        <f t="shared" ref="AQ10:AQ15" si="17">SUM(AF10:AP10)</f>
        <v>#N/A</v>
      </c>
      <c r="AR10" s="225" t="e">
        <f t="shared" si="13"/>
        <v>#N/A</v>
      </c>
      <c r="AS10" s="225">
        <f t="shared" ref="AS10:AS15" si="18">IF(MONTH(A10)=MONTH(AZ10),0,IF(MONTH(AZ10)-MONTH(A10)&gt;1,VLOOKUP("Spreads",$AR$3:$AU$4,MATCH(EOMONTH(AZ10,0),$AR$3:$AU$3,0),FALSE)+VLOOKUP("Spreads",$AR$3:$AU$4,MATCH(EOMONTH(AZ10,-1),$AR$3:$AU$3,0),FALSE),VLOOKUP("Spreads",$AR$3:$AU$4,MATCH(EOMONTH(AZ10,0),$AR$3:$AU$3,0))))</f>
        <v>0</v>
      </c>
      <c r="AT10" s="225">
        <v>0</v>
      </c>
      <c r="AU10" s="228" t="e">
        <f t="shared" si="14"/>
        <v>#N/A</v>
      </c>
      <c r="AV10" s="220"/>
      <c r="AW10" s="229">
        <f>INDEX('[1]Transit Time'!$A:$DZ,MATCH(G10,'[1]Transit Time'!$A:$A,0),MATCH(J10,'[1]Transit Time'!$A$1:$DZ$1,0))+INDEX('[1]Transit Time'!$A:$DZ,MATCH(J10,'[1]Transit Time'!$A:$A,0),MATCH(T10,'[1]Transit Time'!$A$1:$DZ$1,0))+INDEX('[1]Transit Time'!$A:$DZ,MATCH(T10,'[1]Transit Time'!$A:$A,0),MATCH(X10,'[1]Transit Time'!$A$1:$DZ$1,0))</f>
        <v>25</v>
      </c>
      <c r="AX10" s="220"/>
      <c r="AY10" s="230">
        <f t="shared" si="15"/>
        <v>44830</v>
      </c>
      <c r="AZ10" s="230">
        <f t="shared" ref="AZ10:AZ15" si="19">IFERROR(IF(ISBLANK(B10),"",B10+$AW10),"")</f>
        <v>44832</v>
      </c>
      <c r="BB10" s="183" t="s">
        <v>139</v>
      </c>
      <c r="BC10" s="183"/>
      <c r="BD10" s="184"/>
      <c r="BE10" s="181"/>
      <c r="BF10" s="133" t="s">
        <v>22</v>
      </c>
      <c r="BG10" s="133"/>
      <c r="BH10" s="154">
        <v>18500</v>
      </c>
      <c r="BI10" s="165"/>
      <c r="BJ10" s="2" t="s">
        <v>22</v>
      </c>
      <c r="BK10" s="267">
        <v>490000</v>
      </c>
    </row>
    <row r="11" spans="1:63" x14ac:dyDescent="0.35">
      <c r="A11" s="163">
        <f t="shared" ref="A11:A15" si="20">+$A$9</f>
        <v>44805</v>
      </c>
      <c r="B11" s="163">
        <f t="shared" si="0"/>
        <v>44807</v>
      </c>
      <c r="D11" s="8"/>
      <c r="E11" s="142">
        <f>INDEX('[2]Flat Rates 2023'!$A:$DB,MATCH(G11,'[2]Flat Rates 2023'!$A:$A,0),MATCH(J11,'[2]Flat Rates 2023'!$A$1:$DB$1,0))</f>
        <v>6.78</v>
      </c>
      <c r="F11" s="142" t="e">
        <f>INDEX(Control!$E$17:$O$21,MATCH(L11,Control!$E$17:$E$21,0),MATCH(G11,Control!$E$17:$O$17,0))</f>
        <v>#N/A</v>
      </c>
      <c r="G11" s="142" t="str">
        <f>$G$9</f>
        <v>Trinidad</v>
      </c>
      <c r="H11" s="116" t="e">
        <f>INDEX(Vessel_Minimum_MT,MATCH(L11,Control!$E$11:$E$15,0),MATCH(G11,Control!$E$11:$O$11,0))</f>
        <v>#N/A</v>
      </c>
      <c r="I11" s="141">
        <f t="shared" si="1"/>
        <v>90096.96796338672</v>
      </c>
      <c r="J11" s="142" t="s">
        <v>55</v>
      </c>
      <c r="K11" s="142" t="e">
        <f t="shared" si="2"/>
        <v>#N/A</v>
      </c>
      <c r="L11" s="147" t="s">
        <v>23</v>
      </c>
      <c r="M11" s="15">
        <v>700000</v>
      </c>
      <c r="N11" s="13">
        <v>170</v>
      </c>
      <c r="O11" s="14">
        <v>85</v>
      </c>
      <c r="P11" s="259" t="e">
        <f t="shared" si="3"/>
        <v>#N/A</v>
      </c>
      <c r="Q11" s="2"/>
      <c r="R11" s="138">
        <f>INDEX('[2]Flat Rates 2023'!$A:$DZ,MATCH(T11,'[2]Flat Rates 2023'!$A:$A,0),MATCH(X11,'[2]Flat Rates 2023'!$A$1:$DZ$1,0))</f>
        <v>10.63</v>
      </c>
      <c r="S11" s="138">
        <f>INDEX(Control!$E$17:$O$21,MATCH(W11,Control!$E$17:$E$21,0),MATCH(T11,Control!$E$17:$O$17,0))</f>
        <v>0.5</v>
      </c>
      <c r="T11" s="138" t="s">
        <v>63</v>
      </c>
      <c r="U11" s="116">
        <f>INDEX(Vessel_Minimum_MT,MATCH(W11,Control!$E$11:$E$15,0),MATCH(T11,Control!$E$11:$O$11,0))</f>
        <v>145000</v>
      </c>
      <c r="V11" s="140">
        <f t="shared" si="4"/>
        <v>128709.9542334096</v>
      </c>
      <c r="W11" s="147" t="s">
        <v>24</v>
      </c>
      <c r="X11" s="164" t="s">
        <v>110</v>
      </c>
      <c r="Y11" s="142" t="str">
        <f t="shared" si="5"/>
        <v>Panama WC/LATAM WEST</v>
      </c>
      <c r="Z11" s="141">
        <v>1000000</v>
      </c>
      <c r="AA11" s="141">
        <v>110</v>
      </c>
      <c r="AB11" s="151"/>
      <c r="AC11" s="149">
        <f t="shared" si="16"/>
        <v>1.6954850000000001</v>
      </c>
      <c r="AD11" s="144">
        <v>0</v>
      </c>
      <c r="AE11" s="141">
        <f>IF(INDEX(Index,MATCH(X11,TVM_PortList,0),MATCH("Type",Control!$Q$3:$U$3,0))="BL",INDEX(Index,MATCH(X11,TVM_PortList,0),MATCH("Payment",Control!$Q$3:$U$3,0))-INDEX(Index,MATCH(T11,TVM_PortList,0),MATCH("Payment",Control!$Q$3:$U$3,0)),AW11+INDEX(Index,MATCH(X11,TVM_PortList,0),MATCH("Payment",Control!$Q$3:$U$3,0))-INDEX(Index,MATCH(T11,TVM_PortList,0),MATCH("Payment",Control!$Q$3:$U$3,0)))</f>
        <v>15</v>
      </c>
      <c r="AF11" s="143">
        <f t="shared" si="6"/>
        <v>0</v>
      </c>
      <c r="AG11" s="143">
        <f t="shared" si="7"/>
        <v>0.17260273972602738</v>
      </c>
      <c r="AH11" s="143">
        <f>INDEX(Lightering,MATCH($T11,Control!$AB$3:$AB$100,0),MATCH(MOLO!$W11,Control!$AB$3:$AF$3,0))*($Z11/$BD$18)*$BH$15/$Z11</f>
        <v>0</v>
      </c>
      <c r="AI11" s="143">
        <f t="shared" si="8"/>
        <v>0</v>
      </c>
      <c r="AJ11" s="143">
        <v>0</v>
      </c>
      <c r="AK11" s="143">
        <f t="shared" si="9"/>
        <v>5.0000000000000001E-3</v>
      </c>
      <c r="AL11" s="143">
        <f t="shared" si="10"/>
        <v>6.7299999999999999E-2</v>
      </c>
      <c r="AM11" s="143">
        <f>IF(INDEX(Control!$Q$3:$S$62,MATCH($X11,Control!$Q$3:$Q$62,0),MATCH(AM$8,Control!$Q$3:$S$3,0))=1,$BD$14*$BE$14,0)</f>
        <v>0</v>
      </c>
      <c r="AN11" s="143" t="e">
        <f>IF(INDEX(Control!$Q$3:$S$62,MATCH($X11,Control!$Q$3:$Q$62,0),MATCH(AN$8,Control!$Q$3:$S$3,0))=1,$BD$15/$Z11,0)</f>
        <v>#N/A</v>
      </c>
      <c r="AO11" s="143">
        <f t="shared" si="11"/>
        <v>0</v>
      </c>
      <c r="AP11" s="143">
        <f t="shared" si="12"/>
        <v>0.55000000000000004</v>
      </c>
      <c r="AQ11" s="149" t="e">
        <f t="shared" si="17"/>
        <v>#N/A</v>
      </c>
      <c r="AR11" s="149" t="e">
        <f t="shared" si="13"/>
        <v>#N/A</v>
      </c>
      <c r="AS11" s="149">
        <f t="shared" si="18"/>
        <v>0</v>
      </c>
      <c r="AT11" s="149">
        <v>0</v>
      </c>
      <c r="AU11" s="145" t="e">
        <f t="shared" si="14"/>
        <v>#N/A</v>
      </c>
      <c r="AW11" s="153">
        <f>INDEX('[1]Transit Time'!$A:$DZ,MATCH(G11,'[1]Transit Time'!$A:$A,0),MATCH(J11,'[1]Transit Time'!$A$1:$DZ$1,0))+INDEX('[1]Transit Time'!$A:$DZ,MATCH(J11,'[1]Transit Time'!$A:$A,0),MATCH(T11,'[1]Transit Time'!$A$1:$DZ$1,0))+INDEX('[1]Transit Time'!$A:$DZ,MATCH(T11,'[1]Transit Time'!$A:$A,0),MATCH(X11,'[1]Transit Time'!$A$1:$DZ$1,0))</f>
        <v>25</v>
      </c>
      <c r="AY11" s="163">
        <f t="shared" si="15"/>
        <v>44830</v>
      </c>
      <c r="AZ11" s="163">
        <f t="shared" si="19"/>
        <v>44832</v>
      </c>
      <c r="BB11" s="133" t="s">
        <v>140</v>
      </c>
      <c r="BC11" s="133"/>
      <c r="BD11" s="119">
        <f>BD21</f>
        <v>1.1506849315068492E-2</v>
      </c>
      <c r="BE11"/>
      <c r="BF11" s="133" t="s">
        <v>23</v>
      </c>
      <c r="BG11" s="133"/>
      <c r="BH11" s="154">
        <v>24000</v>
      </c>
      <c r="BJ11" s="2" t="s">
        <v>23</v>
      </c>
      <c r="BK11" s="267">
        <v>550000</v>
      </c>
    </row>
    <row r="12" spans="1:63" x14ac:dyDescent="0.35">
      <c r="A12" s="230">
        <f t="shared" si="20"/>
        <v>44805</v>
      </c>
      <c r="B12" s="230">
        <f t="shared" si="0"/>
        <v>44807</v>
      </c>
      <c r="D12" s="211"/>
      <c r="E12" s="212">
        <f>INDEX('[2]Flat Rates 2023'!$A:$DB,MATCH(G12,'[2]Flat Rates 2023'!$A:$A,0),MATCH(J12,'[2]Flat Rates 2023'!$A$1:$DB$1,0))</f>
        <v>6.78</v>
      </c>
      <c r="F12" s="212" t="e">
        <f>INDEX(Control!$E$17:$O$21,MATCH(L12,Control!$E$17:$E$21,0),MATCH(G12,Control!$E$17:$O$17,0))</f>
        <v>#N/A</v>
      </c>
      <c r="G12" s="212" t="str">
        <f>$G$9</f>
        <v>Trinidad</v>
      </c>
      <c r="H12" s="213" t="e">
        <f>INDEX(Vessel_Minimum_MT,MATCH(L12,Control!$E$11:$E$15,0),MATCH(G12,Control!$E$11:$O$11,0))</f>
        <v>#N/A</v>
      </c>
      <c r="I12" s="214">
        <f t="shared" si="1"/>
        <v>90096.96796338672</v>
      </c>
      <c r="J12" s="212" t="s">
        <v>55</v>
      </c>
      <c r="K12" s="212" t="e">
        <f t="shared" si="2"/>
        <v>#N/A</v>
      </c>
      <c r="L12" s="215" t="s">
        <v>23</v>
      </c>
      <c r="M12" s="216">
        <v>700000</v>
      </c>
      <c r="N12" s="217">
        <v>170</v>
      </c>
      <c r="O12" s="218">
        <v>85</v>
      </c>
      <c r="P12" s="219" t="e">
        <f t="shared" si="3"/>
        <v>#N/A</v>
      </c>
      <c r="Q12" s="2"/>
      <c r="R12" s="138">
        <f>INDEX('[2]Flat Rates 2023'!$A:$DZ,MATCH(T12,'[2]Flat Rates 2023'!$A:$A,0),MATCH(X12,'[2]Flat Rates 2023'!$A$1:$DZ$1,0))</f>
        <v>5.93</v>
      </c>
      <c r="S12" s="220">
        <f>INDEX(Control!$E$17:$O$21,MATCH(W12,Control!$E$17:$E$21,0),MATCH(T12,Control!$E$17:$O$17,0))</f>
        <v>0.5</v>
      </c>
      <c r="T12" s="220" t="s">
        <v>63</v>
      </c>
      <c r="U12" s="213">
        <f>INDEX(Vessel_Minimum_MT,MATCH(W12,Control!$E$11:$E$15,0),MATCH(T12,Control!$E$11:$O$11,0))</f>
        <v>50000</v>
      </c>
      <c r="V12" s="222">
        <f t="shared" si="4"/>
        <v>61137.22826086956</v>
      </c>
      <c r="W12" s="215" t="s">
        <v>22</v>
      </c>
      <c r="X12" s="223" t="s">
        <v>94</v>
      </c>
      <c r="Y12" s="212" t="str">
        <f t="shared" si="5"/>
        <v>Panama WC/PAMPILLA</v>
      </c>
      <c r="Z12" s="214">
        <v>475000</v>
      </c>
      <c r="AA12" s="214">
        <v>1001</v>
      </c>
      <c r="AB12" s="224">
        <v>700000</v>
      </c>
      <c r="AC12" s="225">
        <f t="shared" si="16"/>
        <v>1.4736842105263157</v>
      </c>
      <c r="AD12" s="226">
        <v>0</v>
      </c>
      <c r="AE12" s="214">
        <f>IF(INDEX(Index,MATCH(X12,TVM_PortList,0),MATCH("Type",Control!$Q$3:$U$3,0))="BL",INDEX(Index,MATCH(X12,TVM_PortList,0),MATCH("Payment",Control!$Q$3:$U$3,0))-INDEX(Index,MATCH(T12,TVM_PortList,0),MATCH("Payment",Control!$Q$3:$U$3,0)),AW12+INDEX(Index,MATCH(X12,TVM_PortList,0),MATCH("Payment",Control!$Q$3:$U$3,0))-INDEX(Index,MATCH(T12,TVM_PortList,0),MATCH("Payment",Control!$Q$3:$U$3,0)))</f>
        <v>19</v>
      </c>
      <c r="AF12" s="227">
        <f t="shared" si="6"/>
        <v>0</v>
      </c>
      <c r="AG12" s="227">
        <f t="shared" si="7"/>
        <v>0.21863013698630135</v>
      </c>
      <c r="AH12" s="227">
        <f>INDEX(Lightering,MATCH($T12,Control!$AB$3:$AB$100,0),MATCH(MOLO!$W12,Control!$AB$3:$AF$3,0))*($Z12/$BD$18)*$BH$15/$Z12</f>
        <v>0</v>
      </c>
      <c r="AI12" s="227">
        <f t="shared" si="8"/>
        <v>0</v>
      </c>
      <c r="AJ12" s="227">
        <v>0</v>
      </c>
      <c r="AK12" s="227">
        <f t="shared" si="9"/>
        <v>5.0000000000000001E-3</v>
      </c>
      <c r="AL12" s="227">
        <f t="shared" si="10"/>
        <v>6.7299999999999999E-2</v>
      </c>
      <c r="AM12" s="227">
        <f>IF(INDEX(Control!$Q$3:$S$62,MATCH($X12,Control!$Q$3:$Q$62,0),MATCH(AM$8,Control!$Q$3:$S$3,0))=1,$BD$14*$BE$14,0)</f>
        <v>0</v>
      </c>
      <c r="AN12" s="227" t="e">
        <f>IF(INDEX(Control!$Q$3:$S$62,MATCH($X12,Control!$Q$3:$Q$62,0),MATCH(AN$8,Control!$Q$3:$S$3,0))=1,$BD$15/$Z12,0)</f>
        <v>#N/A</v>
      </c>
      <c r="AO12" s="227">
        <f t="shared" si="11"/>
        <v>0</v>
      </c>
      <c r="AP12" s="227">
        <f t="shared" si="12"/>
        <v>0.55000000000000004</v>
      </c>
      <c r="AQ12" s="225" t="e">
        <f t="shared" si="17"/>
        <v>#N/A</v>
      </c>
      <c r="AR12" s="225" t="e">
        <f t="shared" si="13"/>
        <v>#N/A</v>
      </c>
      <c r="AS12" s="225">
        <f t="shared" si="18"/>
        <v>0</v>
      </c>
      <c r="AT12" s="225">
        <v>0</v>
      </c>
      <c r="AU12" s="228" t="e">
        <f t="shared" si="14"/>
        <v>#N/A</v>
      </c>
      <c r="AV12" s="220"/>
      <c r="AW12" s="229">
        <f>INDEX('[1]Transit Time'!$A:$DZ,MATCH(G12,'[1]Transit Time'!$A:$A,0),MATCH(J12,'[1]Transit Time'!$A$1:$DZ$1,0))+INDEX('[1]Transit Time'!$A:$DZ,MATCH(J12,'[1]Transit Time'!$A:$A,0),MATCH(T12,'[1]Transit Time'!$A$1:$DZ$1,0))+INDEX('[1]Transit Time'!$A:$DZ,MATCH(T12,'[1]Transit Time'!$A:$A,0),MATCH(X12,'[1]Transit Time'!$A$1:$DZ$1,0))</f>
        <v>21</v>
      </c>
      <c r="AX12" s="220"/>
      <c r="AY12" s="230">
        <f t="shared" si="15"/>
        <v>44826</v>
      </c>
      <c r="AZ12" s="230">
        <f t="shared" si="19"/>
        <v>44828</v>
      </c>
      <c r="BB12" s="183" t="s">
        <v>328</v>
      </c>
      <c r="BC12" s="183"/>
      <c r="BD12" s="184">
        <f>0.005</f>
        <v>5.0000000000000001E-3</v>
      </c>
      <c r="BE12" s="181"/>
      <c r="BF12" s="118" t="s">
        <v>24</v>
      </c>
      <c r="BH12" s="154">
        <v>23000</v>
      </c>
      <c r="BI12" s="165"/>
      <c r="BJ12" s="165" t="s">
        <v>24</v>
      </c>
      <c r="BK12" s="267">
        <v>1000000</v>
      </c>
    </row>
    <row r="13" spans="1:63" x14ac:dyDescent="0.35">
      <c r="A13" s="163">
        <f t="shared" si="20"/>
        <v>44805</v>
      </c>
      <c r="B13" s="163">
        <f t="shared" si="0"/>
        <v>44807</v>
      </c>
      <c r="D13" s="8"/>
      <c r="E13" s="142">
        <f>INDEX('[2]Flat Rates 2023'!$A:$DB,MATCH(G13,'[2]Flat Rates 2023'!$A:$A,0),MATCH(J13,'[2]Flat Rates 2023'!$A$1:$DB$1,0))</f>
        <v>6.78</v>
      </c>
      <c r="F13" s="142" t="e">
        <f>INDEX(Control!$E$17:$O$21,MATCH(L13,Control!$E$17:$E$21,0),MATCH(G13,Control!$E$17:$O$17,0))</f>
        <v>#N/A</v>
      </c>
      <c r="G13" s="142" t="str">
        <f>$G$9</f>
        <v>Trinidad</v>
      </c>
      <c r="H13" s="116" t="e">
        <f>INDEX(Vessel_Minimum_MT,MATCH(L13,Control!$E$11:$E$15,0),MATCH(G13,Control!$E$11:$O$11,0))</f>
        <v>#N/A</v>
      </c>
      <c r="I13" s="141">
        <f t="shared" si="1"/>
        <v>90096.96796338672</v>
      </c>
      <c r="J13" s="142" t="s">
        <v>55</v>
      </c>
      <c r="K13" s="142" t="e">
        <f t="shared" si="2"/>
        <v>#N/A</v>
      </c>
      <c r="L13" s="147" t="s">
        <v>23</v>
      </c>
      <c r="M13" s="15">
        <v>700000</v>
      </c>
      <c r="N13" s="13">
        <v>170</v>
      </c>
      <c r="O13" s="14">
        <v>85</v>
      </c>
      <c r="P13" s="148" t="e">
        <f t="shared" si="3"/>
        <v>#N/A</v>
      </c>
      <c r="Q13" s="2"/>
      <c r="R13" s="138">
        <f>INDEX('[2]Flat Rates 2023'!$A:$DZ,MATCH(T13,'[2]Flat Rates 2023'!$A:$A,0),MATCH(X13,'[2]Flat Rates 2023'!$A$1:$DZ$1,0))</f>
        <v>5.93</v>
      </c>
      <c r="S13" s="138">
        <f>INDEX(Control!$E$17:$O$21,MATCH(W13,Control!$E$17:$E$21,0),MATCH(T13,Control!$E$17:$O$17,0))</f>
        <v>0.5</v>
      </c>
      <c r="T13" s="138" t="s">
        <v>63</v>
      </c>
      <c r="U13" s="116">
        <f>INDEX(Vessel_Minimum_MT,MATCH(W13,Control!$E$11:$E$15,0),MATCH(T13,Control!$E$11:$O$11,0))</f>
        <v>70000</v>
      </c>
      <c r="V13" s="140">
        <f t="shared" si="4"/>
        <v>84948.569794050345</v>
      </c>
      <c r="W13" s="147" t="s">
        <v>23</v>
      </c>
      <c r="X13" s="164" t="s">
        <v>94</v>
      </c>
      <c r="Y13" s="142" t="str">
        <f t="shared" si="5"/>
        <v>Panama WC/PAMPILLA</v>
      </c>
      <c r="Z13" s="141">
        <v>660000</v>
      </c>
      <c r="AA13" s="141">
        <v>205</v>
      </c>
      <c r="AB13" s="151">
        <v>0</v>
      </c>
      <c r="AC13" s="149">
        <f t="shared" si="16"/>
        <v>1.4269941581071006</v>
      </c>
      <c r="AD13" s="144">
        <v>0</v>
      </c>
      <c r="AE13" s="141">
        <f>IF(INDEX(Index,MATCH(X13,TVM_PortList,0),MATCH("Type",Control!$Q$3:$U$3,0))="BL",INDEX(Index,MATCH(X13,TVM_PortList,0),MATCH("Payment",Control!$Q$3:$U$3,0))-INDEX(Index,MATCH(T13,TVM_PortList,0),MATCH("Payment",Control!$Q$3:$U$3,0)),AW13+INDEX(Index,MATCH(X13,TVM_PortList,0),MATCH("Payment",Control!$Q$3:$U$3,0))-INDEX(Index,MATCH(T13,TVM_PortList,0),MATCH("Payment",Control!$Q$3:$U$3,0)))</f>
        <v>19</v>
      </c>
      <c r="AF13" s="143">
        <f t="shared" si="6"/>
        <v>0</v>
      </c>
      <c r="AG13" s="143">
        <f t="shared" si="7"/>
        <v>0.21863013698630135</v>
      </c>
      <c r="AH13" s="143">
        <f>INDEX(Lightering,MATCH($T13,Control!$AB$3:$AB$100,0),MATCH(MOLO!$W13,Control!$AB$3:$AF$3,0))*($Z13/$BD$18)*$BH$15/$Z13</f>
        <v>0</v>
      </c>
      <c r="AI13" s="143">
        <f t="shared" si="8"/>
        <v>0</v>
      </c>
      <c r="AJ13" s="143">
        <v>0</v>
      </c>
      <c r="AK13" s="143">
        <f t="shared" si="9"/>
        <v>5.0000000000000001E-3</v>
      </c>
      <c r="AL13" s="143">
        <f t="shared" si="10"/>
        <v>6.7299999999999999E-2</v>
      </c>
      <c r="AM13" s="143">
        <f>IF(INDEX(Control!$Q$3:$S$62,MATCH($X13,Control!$Q$3:$Q$62,0),MATCH(AM$8,Control!$Q$3:$S$3,0))=1,$BD$14*$BE$14,0)</f>
        <v>0</v>
      </c>
      <c r="AN13" s="143" t="e">
        <f>IF(INDEX(Control!$Q$3:$S$62,MATCH($X13,Control!$Q$3:$Q$62,0),MATCH(AN$8,Control!$Q$3:$S$3,0))=1,$BD$15/$Z13,0)</f>
        <v>#N/A</v>
      </c>
      <c r="AO13" s="143">
        <f t="shared" si="11"/>
        <v>0</v>
      </c>
      <c r="AP13" s="143">
        <f t="shared" si="12"/>
        <v>0.55000000000000004</v>
      </c>
      <c r="AQ13" s="149" t="e">
        <f t="shared" si="17"/>
        <v>#N/A</v>
      </c>
      <c r="AR13" s="149" t="e">
        <f t="shared" si="13"/>
        <v>#N/A</v>
      </c>
      <c r="AS13" s="149">
        <f t="shared" si="18"/>
        <v>0</v>
      </c>
      <c r="AT13" s="149">
        <v>0</v>
      </c>
      <c r="AU13" s="145" t="e">
        <f t="shared" si="14"/>
        <v>#N/A</v>
      </c>
      <c r="AW13" s="153">
        <f>INDEX('[1]Transit Time'!$A:$DZ,MATCH(G13,'[1]Transit Time'!$A:$A,0),MATCH(J13,'[1]Transit Time'!$A$1:$DZ$1,0))+INDEX('[1]Transit Time'!$A:$DZ,MATCH(J13,'[1]Transit Time'!$A:$A,0),MATCH(T13,'[1]Transit Time'!$A$1:$DZ$1,0))+INDEX('[1]Transit Time'!$A:$DZ,MATCH(T13,'[1]Transit Time'!$A:$A,0),MATCH(X13,'[1]Transit Time'!$A$1:$DZ$1,0))</f>
        <v>21</v>
      </c>
      <c r="AY13" s="163">
        <f t="shared" si="15"/>
        <v>44826</v>
      </c>
      <c r="AZ13" s="163">
        <f t="shared" si="19"/>
        <v>44828</v>
      </c>
      <c r="BB13" s="2" t="s">
        <v>142</v>
      </c>
      <c r="BC13"/>
      <c r="BD13" s="117">
        <f>0.0003+0.05+0.004+0.013</f>
        <v>6.7299999999999999E-2</v>
      </c>
      <c r="BE13"/>
      <c r="BF13" s="133" t="s">
        <v>25</v>
      </c>
      <c r="BG13" s="133"/>
      <c r="BH13" s="154">
        <v>33000</v>
      </c>
      <c r="BJ13" s="2" t="s">
        <v>25</v>
      </c>
      <c r="BK13" s="267">
        <v>2000000</v>
      </c>
    </row>
    <row r="14" spans="1:63" x14ac:dyDescent="0.35">
      <c r="A14" s="230">
        <f t="shared" si="20"/>
        <v>44805</v>
      </c>
      <c r="B14" s="230">
        <f t="shared" si="0"/>
        <v>44807</v>
      </c>
      <c r="D14" s="211"/>
      <c r="E14" s="212">
        <f>INDEX('[2]Flat Rates 2023'!$A:$DB,MATCH(G14,'[2]Flat Rates 2023'!$A:$A,0),MATCH(J14,'[2]Flat Rates 2023'!$A$1:$DB$1,0))</f>
        <v>6.78</v>
      </c>
      <c r="F14" s="212" t="e">
        <f>INDEX(Control!$E$17:$O$21,MATCH(L14,Control!$E$17:$E$21,0),MATCH(G14,Control!$E$17:$O$17,0))</f>
        <v>#N/A</v>
      </c>
      <c r="G14" s="212" t="str">
        <f>$G$9</f>
        <v>Trinidad</v>
      </c>
      <c r="H14" s="213" t="e">
        <f>INDEX(Vessel_Minimum_MT,MATCH(L14,Control!$E$11:$E$15,0),MATCH(G14,Control!$E$11:$O$11,0))</f>
        <v>#N/A</v>
      </c>
      <c r="I14" s="214">
        <f t="shared" si="1"/>
        <v>90096.96796338672</v>
      </c>
      <c r="J14" s="212" t="s">
        <v>55</v>
      </c>
      <c r="K14" s="212" t="e">
        <f t="shared" si="2"/>
        <v>#N/A</v>
      </c>
      <c r="L14" s="215" t="s">
        <v>23</v>
      </c>
      <c r="M14" s="216">
        <v>700000</v>
      </c>
      <c r="N14" s="217">
        <v>170</v>
      </c>
      <c r="O14" s="218">
        <v>85</v>
      </c>
      <c r="P14" s="219" t="e">
        <f t="shared" si="3"/>
        <v>#N/A</v>
      </c>
      <c r="Q14" s="2"/>
      <c r="R14" s="138" t="e">
        <f>INDEX('[2]Flat Rates 2023'!$A:$DZ,MATCH(T14,'[2]Flat Rates 2023'!$A:$A,0),MATCH(X14,'[2]Flat Rates 2023'!$A$1:$DZ$1,0))</f>
        <v>#N/A</v>
      </c>
      <c r="S14" s="220">
        <f>INDEX(Control!$E$17:$O$21,MATCH(W14,Control!$E$17:$E$21,0),MATCH(T14,Control!$E$17:$O$17,0))</f>
        <v>0.5</v>
      </c>
      <c r="T14" s="220" t="s">
        <v>63</v>
      </c>
      <c r="U14" s="213">
        <f>INDEX(Vessel_Minimum_MT,MATCH(W14,Control!$E$11:$E$15,0),MATCH(T14,Control!$E$11:$O$11,0))</f>
        <v>50000</v>
      </c>
      <c r="V14" s="222">
        <f t="shared" si="4"/>
        <v>51355.271739130432</v>
      </c>
      <c r="W14" s="215" t="s">
        <v>22</v>
      </c>
      <c r="X14" s="223" t="s">
        <v>199</v>
      </c>
      <c r="Y14" s="212" t="e">
        <f t="shared" si="5"/>
        <v>#N/A</v>
      </c>
      <c r="Z14" s="214">
        <v>399000</v>
      </c>
      <c r="AA14" s="214">
        <v>1001</v>
      </c>
      <c r="AB14" s="224">
        <v>700000</v>
      </c>
      <c r="AC14" s="225">
        <f t="shared" si="16"/>
        <v>1.7543859649122806</v>
      </c>
      <c r="AD14" s="226">
        <v>0</v>
      </c>
      <c r="AE14" s="214" t="e">
        <f>IF(INDEX(Index,MATCH(X14,TVM_PortList,0),MATCH("Type",Control!$Q$3:$U$3,0))="BL",INDEX(Index,MATCH(X14,TVM_PortList,0),MATCH("Payment",Control!$Q$3:$U$3,0))-INDEX(Index,MATCH(T14,TVM_PortList,0),MATCH("Payment",Control!$Q$3:$U$3,0)),AW14+INDEX(Index,MATCH(X14,TVM_PortList,0),MATCH("Payment",Control!$Q$3:$U$3,0))-INDEX(Index,MATCH(T14,TVM_PortList,0),MATCH("Payment",Control!$Q$3:$U$3,0)))</f>
        <v>#N/A</v>
      </c>
      <c r="AF14" s="227">
        <f t="shared" si="6"/>
        <v>0</v>
      </c>
      <c r="AG14" s="227" t="e">
        <f t="shared" si="7"/>
        <v>#N/A</v>
      </c>
      <c r="AH14" s="227">
        <f>INDEX(Lightering,MATCH($T14,Control!$AB$3:$AB$100,0),MATCH(MOLO!$W14,Control!$AB$3:$AF$3,0))*($Z14/$BD$18)*$BH$15/$Z14</f>
        <v>0</v>
      </c>
      <c r="AI14" s="227">
        <f t="shared" si="8"/>
        <v>0</v>
      </c>
      <c r="AJ14" s="227">
        <v>0</v>
      </c>
      <c r="AK14" s="227">
        <f t="shared" si="9"/>
        <v>5.0000000000000001E-3</v>
      </c>
      <c r="AL14" s="227">
        <f t="shared" si="10"/>
        <v>6.7299999999999999E-2</v>
      </c>
      <c r="AM14" s="227" t="e">
        <f>IF(INDEX(Control!$Q$3:$S$62,MATCH($X14,Control!$Q$3:$Q$62,0),MATCH(AM$8,Control!$Q$3:$S$3,0))=1,$BD$14*$BE$14,0)</f>
        <v>#N/A</v>
      </c>
      <c r="AN14" s="227" t="e">
        <f>IF(INDEX(Control!$Q$3:$S$62,MATCH($X14,Control!$Q$3:$Q$62,0),MATCH(AN$8,Control!$Q$3:$S$3,0))=1,$BD$15/$Z14,0)</f>
        <v>#N/A</v>
      </c>
      <c r="AO14" s="227">
        <f t="shared" si="11"/>
        <v>0</v>
      </c>
      <c r="AP14" s="227">
        <f t="shared" si="12"/>
        <v>0.55000000000000004</v>
      </c>
      <c r="AQ14" s="225" t="e">
        <f t="shared" si="17"/>
        <v>#N/A</v>
      </c>
      <c r="AR14" s="225" t="e">
        <f t="shared" si="13"/>
        <v>#N/A</v>
      </c>
      <c r="AS14" s="225" t="e">
        <f t="shared" si="18"/>
        <v>#VALUE!</v>
      </c>
      <c r="AT14" s="225">
        <v>0</v>
      </c>
      <c r="AU14" s="228" t="e">
        <f t="shared" si="14"/>
        <v>#N/A</v>
      </c>
      <c r="AV14" s="220"/>
      <c r="AW14" s="229" t="e">
        <f>INDEX('[1]Transit Time'!$A:$DZ,MATCH(G14,'[1]Transit Time'!$A:$A,0),MATCH(J14,'[1]Transit Time'!$A$1:$DZ$1,0))+INDEX('[1]Transit Time'!$A:$DZ,MATCH(J14,'[1]Transit Time'!$A:$A,0),MATCH(T14,'[1]Transit Time'!$A$1:$DZ$1,0))+INDEX('[1]Transit Time'!$A:$DZ,MATCH(T14,'[1]Transit Time'!$A:$A,0),MATCH(X14,'[1]Transit Time'!$A$1:$DZ$1,0))</f>
        <v>#N/A</v>
      </c>
      <c r="AX14" s="220"/>
      <c r="AY14" s="230" t="e">
        <f t="shared" si="15"/>
        <v>#N/A</v>
      </c>
      <c r="AZ14" s="230" t="str">
        <f t="shared" si="19"/>
        <v/>
      </c>
      <c r="BB14" s="183" t="s">
        <v>17</v>
      </c>
      <c r="BC14" s="183"/>
      <c r="BD14" s="182">
        <v>120</v>
      </c>
      <c r="BE14" s="190">
        <v>2E-3</v>
      </c>
      <c r="BF14" s="185" t="s">
        <v>149</v>
      </c>
      <c r="BG14" s="185"/>
      <c r="BH14" s="186" t="s">
        <v>138</v>
      </c>
      <c r="BI14" s="166"/>
      <c r="BJ14" s="165"/>
      <c r="BK14" s="78">
        <f t="shared" ref="BK14" si="21">BK11</f>
        <v>550000</v>
      </c>
    </row>
    <row r="15" spans="1:63" ht="16" thickBot="1" x14ac:dyDescent="0.4">
      <c r="A15" s="163">
        <f t="shared" si="20"/>
        <v>44805</v>
      </c>
      <c r="B15" s="163">
        <f t="shared" si="0"/>
        <v>44807</v>
      </c>
      <c r="D15" s="8"/>
      <c r="E15" s="142">
        <f>INDEX('[2]Flat Rates 2023'!$A:$DB,MATCH(G15,'[2]Flat Rates 2023'!$A:$A,0),MATCH(J15,'[2]Flat Rates 2023'!$A$1:$DB$1,0))</f>
        <v>6.78</v>
      </c>
      <c r="F15" s="142" t="e">
        <f>INDEX(Control!$E$17:$O$21,MATCH(L15,Control!$E$17:$E$21,0),MATCH(G15,Control!$E$17:$O$17,0))</f>
        <v>#N/A</v>
      </c>
      <c r="G15" s="142" t="str">
        <f>$G$9</f>
        <v>Trinidad</v>
      </c>
      <c r="H15" s="116" t="e">
        <f>INDEX(Vessel_Minimum_MT,MATCH(L15,Control!$E$11:$E$15,0),MATCH(G15,Control!$E$11:$O$11,0))</f>
        <v>#N/A</v>
      </c>
      <c r="I15" s="141">
        <f t="shared" si="1"/>
        <v>90096.96796338672</v>
      </c>
      <c r="J15" s="142" t="s">
        <v>55</v>
      </c>
      <c r="K15" s="142" t="e">
        <f t="shared" si="2"/>
        <v>#N/A</v>
      </c>
      <c r="L15" s="147" t="s">
        <v>23</v>
      </c>
      <c r="M15" s="15">
        <v>700000</v>
      </c>
      <c r="N15" s="13">
        <v>170</v>
      </c>
      <c r="O15" s="14">
        <v>85</v>
      </c>
      <c r="P15" s="148" t="e">
        <f t="shared" si="3"/>
        <v>#N/A</v>
      </c>
      <c r="Q15" s="2"/>
      <c r="R15" s="138">
        <f>INDEX('[2]Flat Rates 2023'!$A:$DZ,MATCH(T15,'[2]Flat Rates 2023'!$A:$A,0),MATCH(X15,'[2]Flat Rates 2023'!$A$1:$DZ$1,0))</f>
        <v>3.99</v>
      </c>
      <c r="S15" s="138">
        <f>INDEX(Control!$E$17:$O$21,MATCH(W15,Control!$E$17:$E$21,0),MATCH(T15,Control!$E$17:$O$17,0))</f>
        <v>0</v>
      </c>
      <c r="T15" s="138" t="s">
        <v>55</v>
      </c>
      <c r="U15" s="116">
        <f>INDEX(Vessel_Minimum_MT,MATCH(W15,Control!$E$11:$E$15,0),MATCH(T15,Control!$E$11:$O$11,0))</f>
        <v>70000</v>
      </c>
      <c r="V15" s="140">
        <f t="shared" si="4"/>
        <v>64354.977116704802</v>
      </c>
      <c r="W15" s="147" t="s">
        <v>23</v>
      </c>
      <c r="X15" s="164" t="s">
        <v>112</v>
      </c>
      <c r="Y15" s="142" t="str">
        <f t="shared" si="5"/>
        <v>CARIBS/CARIBS</v>
      </c>
      <c r="Z15" s="141">
        <v>500000</v>
      </c>
      <c r="AA15" s="141">
        <v>180</v>
      </c>
      <c r="AB15" s="151">
        <v>325</v>
      </c>
      <c r="AC15" s="149">
        <f t="shared" si="16"/>
        <v>1.81545</v>
      </c>
      <c r="AD15" s="144">
        <v>0</v>
      </c>
      <c r="AE15" s="141">
        <f>IF(INDEX(Index,MATCH(X15,TVM_PortList,0),MATCH("Type",Control!$Q$3:$U$3,0))="BL",INDEX(Index,MATCH(X15,TVM_PortList,0),MATCH("Payment",Control!$Q$3:$U$3,0))-INDEX(Index,MATCH(T15,TVM_PortList,0),MATCH("Payment",Control!$Q$3:$U$3,0)),AW15+INDEX(Index,MATCH(X15,TVM_PortList,0),MATCH("Payment",Control!$Q$3:$U$3,0))-INDEX(Index,MATCH(T15,TVM_PortList,0),MATCH("Payment",Control!$Q$3:$U$3,0)))</f>
        <v>7</v>
      </c>
      <c r="AF15" s="143">
        <f t="shared" si="6"/>
        <v>0</v>
      </c>
      <c r="AG15" s="143">
        <f t="shared" si="7"/>
        <v>8.0547945205479449E-2</v>
      </c>
      <c r="AH15" s="143">
        <f>INDEX(Lightering,MATCH($T15,Control!$AB$3:$AB$100,0),MATCH(MOLO!$W15,Control!$AB$3:$AF$3,0))*($Z15/$BD$18)*$BH$15/$Z15</f>
        <v>0</v>
      </c>
      <c r="AI15" s="143">
        <f t="shared" si="8"/>
        <v>0</v>
      </c>
      <c r="AJ15" s="143">
        <v>0</v>
      </c>
      <c r="AK15" s="143">
        <f t="shared" si="9"/>
        <v>5.0000000000000001E-3</v>
      </c>
      <c r="AL15" s="143">
        <f t="shared" si="10"/>
        <v>6.7299999999999999E-2</v>
      </c>
      <c r="AM15" s="143">
        <f>IF(INDEX(Control!$Q$3:$S$62,MATCH($X15,Control!$Q$3:$Q$62,0),MATCH(AM$8,Control!$Q$3:$S$3,0))=1,$BD$14*$BE$14,0)</f>
        <v>0.24</v>
      </c>
      <c r="AN15" s="143" t="e">
        <f>IF(INDEX(Control!$Q$3:$S$62,MATCH($X15,Control!$Q$3:$Q$62,0),MATCH(AN$8,Control!$Q$3:$S$3,0))=1,$BD$15/$Z15,0)</f>
        <v>#N/A</v>
      </c>
      <c r="AO15" s="143">
        <f t="shared" si="11"/>
        <v>0</v>
      </c>
      <c r="AP15" s="143">
        <f t="shared" si="12"/>
        <v>0</v>
      </c>
      <c r="AQ15" s="149" t="e">
        <f t="shared" si="17"/>
        <v>#N/A</v>
      </c>
      <c r="AR15" s="149" t="e">
        <f t="shared" si="13"/>
        <v>#N/A</v>
      </c>
      <c r="AS15" s="149">
        <f t="shared" si="18"/>
        <v>0</v>
      </c>
      <c r="AT15" s="149">
        <v>0</v>
      </c>
      <c r="AU15" s="145" t="e">
        <f t="shared" si="14"/>
        <v>#N/A</v>
      </c>
      <c r="AW15" s="153">
        <f>INDEX('[1]Transit Time'!$A:$DZ,MATCH(G15,'[1]Transit Time'!$A:$A,0),MATCH(J15,'[1]Transit Time'!$A$1:$DZ$1,0))+INDEX('[1]Transit Time'!$A:$DZ,MATCH(J15,'[1]Transit Time'!$A:$A,0),MATCH(T15,'[1]Transit Time'!$A$1:$DZ$1,0))+INDEX('[1]Transit Time'!$A:$DZ,MATCH(T15,'[1]Transit Time'!$A:$A,0),MATCH(X15,'[1]Transit Time'!$A$1:$DZ$1,0))</f>
        <v>7</v>
      </c>
      <c r="AY15" s="163">
        <f t="shared" si="15"/>
        <v>44812</v>
      </c>
      <c r="AZ15" s="163">
        <f t="shared" si="19"/>
        <v>44814</v>
      </c>
      <c r="BB15" s="133" t="s">
        <v>207</v>
      </c>
      <c r="BC15" s="133"/>
      <c r="BD15" s="124">
        <v>20000</v>
      </c>
      <c r="BE15"/>
      <c r="BF15" s="167"/>
      <c r="BG15" s="168"/>
      <c r="BH15" s="169">
        <v>250000</v>
      </c>
      <c r="BI15" s="132"/>
    </row>
    <row r="16" spans="1:63" ht="17.25" customHeight="1" thickBot="1" x14ac:dyDescent="0.5">
      <c r="A16"/>
      <c r="B16"/>
      <c r="D16" s="1069" t="s">
        <v>293</v>
      </c>
      <c r="E16" s="1070"/>
      <c r="F16" s="1070"/>
      <c r="G16" s="1070"/>
      <c r="H16" s="1070"/>
      <c r="I16" s="1070"/>
      <c r="J16" s="1070"/>
      <c r="K16" s="1070"/>
      <c r="L16" s="1070"/>
      <c r="M16" s="1070"/>
      <c r="N16" s="1070"/>
      <c r="O16" s="1070"/>
      <c r="P16" s="1071"/>
      <c r="Q16" s="2"/>
      <c r="R16" s="9"/>
      <c r="S16" s="9"/>
      <c r="T16" s="9"/>
      <c r="U16" s="9"/>
      <c r="V16" s="9"/>
      <c r="W16" s="1069" t="s">
        <v>359</v>
      </c>
      <c r="X16" s="1070"/>
      <c r="Y16" s="1070"/>
      <c r="Z16" s="1070"/>
      <c r="AA16" s="1070"/>
      <c r="AB16" s="1070"/>
      <c r="AC16" s="1070"/>
      <c r="AD16" s="1070"/>
      <c r="AE16" s="1070"/>
      <c r="AF16" s="1070"/>
      <c r="AG16" s="1070"/>
      <c r="AH16" s="1070"/>
      <c r="AI16" s="1070"/>
      <c r="AJ16" s="1070"/>
      <c r="AK16" s="1070"/>
      <c r="AL16" s="1070"/>
      <c r="AM16" s="1070"/>
      <c r="AN16" s="1070"/>
      <c r="AO16" s="1070"/>
      <c r="AP16" s="1070"/>
      <c r="AQ16" s="1070"/>
      <c r="AR16" s="1070"/>
      <c r="AS16" s="1070"/>
      <c r="AT16" s="1070"/>
      <c r="AU16" s="1071"/>
      <c r="AW16"/>
      <c r="AY16"/>
      <c r="AZ16"/>
      <c r="BB16" s="133" t="s">
        <v>282</v>
      </c>
      <c r="BC16" s="133"/>
      <c r="BD16" s="3"/>
      <c r="BE16"/>
      <c r="BF16"/>
      <c r="BG16"/>
      <c r="BH16"/>
      <c r="BK16" s="3"/>
    </row>
    <row r="17" spans="1:63" ht="29.5" customHeight="1" thickBot="1" x14ac:dyDescent="0.4">
      <c r="A17" s="1005" t="s">
        <v>167</v>
      </c>
      <c r="B17" s="1005"/>
      <c r="D17" s="120" t="s">
        <v>276</v>
      </c>
      <c r="E17" s="152" t="s">
        <v>172</v>
      </c>
      <c r="F17" s="152" t="s">
        <v>2</v>
      </c>
      <c r="G17" s="152" t="s">
        <v>173</v>
      </c>
      <c r="H17" s="152" t="s">
        <v>174</v>
      </c>
      <c r="I17" s="125" t="s">
        <v>175</v>
      </c>
      <c r="J17" s="152" t="s">
        <v>177</v>
      </c>
      <c r="K17" s="152" t="s">
        <v>178</v>
      </c>
      <c r="L17" s="122" t="s">
        <v>176</v>
      </c>
      <c r="M17" s="120" t="s">
        <v>200</v>
      </c>
      <c r="N17" s="120" t="s">
        <v>277</v>
      </c>
      <c r="O17" s="121" t="s">
        <v>202</v>
      </c>
      <c r="P17" s="123" t="s">
        <v>278</v>
      </c>
      <c r="Q17" s="2"/>
      <c r="R17" s="120" t="s">
        <v>172</v>
      </c>
      <c r="S17" s="120" t="s">
        <v>2</v>
      </c>
      <c r="T17" s="120" t="s">
        <v>173</v>
      </c>
      <c r="U17" s="152" t="str">
        <f>$U$8</f>
        <v>Vessel MT</v>
      </c>
      <c r="V17" s="120" t="s">
        <v>175</v>
      </c>
      <c r="W17" s="120" t="s">
        <v>176</v>
      </c>
      <c r="X17" s="120" t="s">
        <v>177</v>
      </c>
      <c r="Y17" s="120" t="s">
        <v>178</v>
      </c>
      <c r="Z17" s="120" t="s">
        <v>200</v>
      </c>
      <c r="AA17" s="146" t="s">
        <v>201</v>
      </c>
      <c r="AB17" s="128" t="s">
        <v>202</v>
      </c>
      <c r="AC17" s="150" t="s">
        <v>182</v>
      </c>
      <c r="AD17" s="136" t="s">
        <v>137</v>
      </c>
      <c r="AE17" s="146" t="s">
        <v>281</v>
      </c>
      <c r="AF17" s="136" t="s">
        <v>184</v>
      </c>
      <c r="AG17" s="136" t="s">
        <v>140</v>
      </c>
      <c r="AH17" s="136" t="str">
        <f>AH8</f>
        <v>STS</v>
      </c>
      <c r="AI17" s="136" t="s">
        <v>186</v>
      </c>
      <c r="AJ17" s="136" t="s">
        <v>187</v>
      </c>
      <c r="AK17" s="136" t="s">
        <v>141</v>
      </c>
      <c r="AL17" s="136" t="s">
        <v>188</v>
      </c>
      <c r="AM17" s="136" t="s">
        <v>17</v>
      </c>
      <c r="AN17" s="136" t="s">
        <v>207</v>
      </c>
      <c r="AO17" s="136" t="s">
        <v>189</v>
      </c>
      <c r="AP17" s="136" t="s">
        <v>152</v>
      </c>
      <c r="AQ17" s="150" t="s">
        <v>208</v>
      </c>
      <c r="AR17" s="150" t="s">
        <v>209</v>
      </c>
      <c r="AS17" s="150" t="s">
        <v>210</v>
      </c>
      <c r="AT17" s="150" t="str">
        <f>AT8</f>
        <v>Basis</v>
      </c>
      <c r="AU17" s="137" t="s">
        <v>211</v>
      </c>
      <c r="AW17" s="137" t="s">
        <v>195</v>
      </c>
      <c r="AY17" s="1005" t="s">
        <v>196</v>
      </c>
      <c r="AZ17" s="1005"/>
      <c r="BB17" s="118" t="s">
        <v>144</v>
      </c>
      <c r="BD17" s="2">
        <f>($BD$9+131.5)/(141.5*0.159)</f>
        <v>7.7694068493455122</v>
      </c>
      <c r="BF17"/>
      <c r="BG17"/>
      <c r="BH17"/>
      <c r="BJ17" s="132"/>
      <c r="BK17" s="127"/>
    </row>
    <row r="18" spans="1:63" ht="16" thickBot="1" x14ac:dyDescent="0.4">
      <c r="A18" s="319">
        <f t="shared" ref="A18:A27" si="22">+$A$9</f>
        <v>44805</v>
      </c>
      <c r="B18" s="320">
        <f t="shared" ref="B18:B27" si="23">IF(ISBLANK(A18),"",A18+2)</f>
        <v>44807</v>
      </c>
      <c r="D18" s="321"/>
      <c r="E18" s="322">
        <f>IF(G18=J18,0,INDEX('[2]Flat Rates 2023'!$A:$DB,MATCH(G18,'[2]Flat Rates 2023'!$A:$A,0),MATCH(J18,'[2]Flat Rates 2023'!$A$1:$DB$1,0)))</f>
        <v>0</v>
      </c>
      <c r="F18" s="322" t="e">
        <f>INDEX(Control!$E$17:$O$21,MATCH(L18,Control!$E$17:$E$21,0),MATCH(G18,Control!$E$17:$O$17,0))</f>
        <v>#N/A</v>
      </c>
      <c r="G18" s="322" t="s">
        <v>134</v>
      </c>
      <c r="H18" s="323" t="e">
        <f>INDEX(Vessel_Minimum_MT,MATCH(L18,Control!$E$11:$E$15,0),MATCH(G18,Control!$E$11:$O$11,0))</f>
        <v>#N/A</v>
      </c>
      <c r="I18" s="324">
        <f t="shared" ref="I18:I23" si="24">M18/$BD$17</f>
        <v>90096.96796338672</v>
      </c>
      <c r="J18" s="322" t="s">
        <v>45</v>
      </c>
      <c r="K18" s="322" t="e">
        <f t="shared" ref="K18:K23" si="25">IF(J18=G18,"",CONCATENATE(CONCATENATE(VLOOKUP(G18,Zones,2,FALSE),"/",VLOOKUP(J18,Zones,2,FALSE))))</f>
        <v>#N/A</v>
      </c>
      <c r="L18" s="325" t="s">
        <v>23</v>
      </c>
      <c r="M18" s="323">
        <v>700000</v>
      </c>
      <c r="N18" s="326">
        <v>0</v>
      </c>
      <c r="O18" s="327">
        <v>0</v>
      </c>
      <c r="P18" s="328" t="e">
        <f t="shared" ref="P18:P23" si="26">IF($G18="Esmeraldas",IF(N18&gt;1000,IF(O18=0,N18,O18)/M18*1.1,((H18*E18*(IF(O18=0,N18,O18)/100))+IF(I18&lt;H18,0,(I18-H18)*E18*IF(O18=0,N18,O18)/100*F18))/M18*1.1),IF(N18&gt;1000,IF(O18=0,N18,O18)/M18,((H18*E18*(IF(O18=0,N18,O18)/100))+IF(I18&lt;H18,0,(I18-H18)*E18*IF(O18=0,N18,O18)/100*F18)))/M18)</f>
        <v>#N/A</v>
      </c>
      <c r="Q18" s="329"/>
      <c r="R18" s="138">
        <f>INDEX('[2]Flat Rates 2023'!$A:$DZ,MATCH(T18,'[2]Flat Rates 2023'!$A:$A,0),MATCH(X18,'[2]Flat Rates 2023'!$A$1:$DZ$1,0))</f>
        <v>0</v>
      </c>
      <c r="S18" s="330" t="e">
        <f>INDEX(Control!$E$17:$O$21,MATCH(W18,Control!$E$17:$E$21,0),MATCH(T18,Control!$E$17:$O$17,0))</f>
        <v>#N/A</v>
      </c>
      <c r="T18" s="330" t="s">
        <v>134</v>
      </c>
      <c r="U18" s="323" t="e">
        <f>INDEX(Vessel_Minimum_MT,MATCH(W18,Control!$E$11:$E$15,0),MATCH(T18,Control!$E$11:$O$11,0))</f>
        <v>#N/A</v>
      </c>
      <c r="V18" s="331">
        <f t="shared" ref="V18:V23" si="27">Z18/$BD$17</f>
        <v>67572.725972540036</v>
      </c>
      <c r="W18" s="325" t="s">
        <v>23</v>
      </c>
      <c r="X18" s="332" t="s">
        <v>110</v>
      </c>
      <c r="Y18" s="322" t="e">
        <f t="shared" ref="Y18:Y23" si="28">IF(X18=T18,"",CONCATENATE(CONCATENATE(VLOOKUP(T18,Zones,2,FALSE),"/",VLOOKUP(X18,Zones,2,FALSE))))</f>
        <v>#N/A</v>
      </c>
      <c r="Z18" s="324">
        <v>525000</v>
      </c>
      <c r="AA18" s="324">
        <v>1001</v>
      </c>
      <c r="AB18" s="333">
        <v>1600000</v>
      </c>
      <c r="AC18" s="334">
        <f t="shared" ref="AC18:AC23" si="29">IF(AA18&gt;1000,IF(AB18=0,AA18,AB18)/Z18,((U18*R18*(IF(AB18=0,AA18,AB18)/100))+IF(V18&lt;U18,0,(V18-U18)*R18*IF(AB18=0,AA18,AB18)/100*S18))/Z18)</f>
        <v>3.0476190476190474</v>
      </c>
      <c r="AD18" s="335">
        <v>3</v>
      </c>
      <c r="AE18" s="324" t="e">
        <f>IF(INDEX(Index,MATCH(X18,TVM_PortList,0),MATCH("Type",Control!$Q$3:$U$3,0))="BL",INDEX(Index,MATCH(X18,TVM_PortList,0),MATCH("Payment",Control!$Q$3:$U$3,0))-INDEX(Index,MATCH(T18,TVM_PortList,0),MATCH("Payment",Control!$Q$3:$U$3,0)),AW18+INDEX(Index,MATCH(X18,TVM_PortList,0),MATCH("Payment",Control!$Q$3:$U$3,0))-INDEX(Index,MATCH(T18,TVM_PortList,0),MATCH("Payment",Control!$Q$3:$U$3,0)))</f>
        <v>#N/A</v>
      </c>
      <c r="AF18" s="336">
        <f t="shared" ref="AF18:AF23" si="30">AD18*VLOOKUP($W18,$BF$9:$BH$13,3,FALSE)/$Z18</f>
        <v>0.13714285714285715</v>
      </c>
      <c r="AG18" s="336" t="e">
        <f t="shared" ref="AG18:AG23" si="31">IF(AE18&lt;0,0,$AE18*$BD$11)</f>
        <v>#N/A</v>
      </c>
      <c r="AH18" s="336">
        <f>INDEX(Lightering,MATCH($T18,Control!$AB$3:$AB$100,0),MATCH(MOLO!$W18,Control!$AB$3:$AF$3,0))*($Z18/$BD$18)*$BH$15/$Z18</f>
        <v>0</v>
      </c>
      <c r="AI18" s="336">
        <f t="shared" ref="AI18:AI23" si="32">IF(G18="Corpus Christi",$BD$10,0)</f>
        <v>0</v>
      </c>
      <c r="AJ18" s="336">
        <v>0</v>
      </c>
      <c r="AK18" s="336">
        <f t="shared" ref="AK18:AK23" si="33">$BD$12</f>
        <v>5.0000000000000001E-3</v>
      </c>
      <c r="AL18" s="336">
        <f t="shared" ref="AL18:AL23" si="34">$BD$13</f>
        <v>6.7299999999999999E-2</v>
      </c>
      <c r="AM18" s="336">
        <f>IF(INDEX(Control!$Q$3:$S$62,MATCH($X18,Control!$Q$3:$Q$62,0),MATCH(AM$8,Control!$Q$3:$S$3,0))=1,$BD$14*$BE$14,0)</f>
        <v>0</v>
      </c>
      <c r="AN18" s="336" t="e">
        <f>IF(INDEX(Control!$Q$3:$S$62,MATCH($X18,Control!$Q$3:$Q$62,0),MATCH(AN$8,Control!$Q$3:$S$3,0))=1,$BD$15/$Z18,0)</f>
        <v>#N/A</v>
      </c>
      <c r="AO18" s="336">
        <f t="shared" ref="AO18:AO23" si="35">$BD$16</f>
        <v>0</v>
      </c>
      <c r="AP18" s="336">
        <f t="shared" ref="AP18:AP23" si="36">IF(AND(J18="Chiriqui Grande",T18="Puerto Armuelles"),$BG$18,0)</f>
        <v>0</v>
      </c>
      <c r="AQ18" s="334" t="e">
        <f t="shared" ref="AQ18" si="37">SUM(AF18:AP18)</f>
        <v>#N/A</v>
      </c>
      <c r="AR18" s="334" t="e">
        <f t="shared" ref="AR18:AR23" si="38">+P18+AC18+AQ18</f>
        <v>#N/A</v>
      </c>
      <c r="AS18" s="334">
        <f t="shared" ref="AS18:AS23" si="39">IF(MONTH(A18)=MONTH(AZ18),0,IF(MONTH(AZ18)-MONTH(A18)&gt;1,VLOOKUP("Spreads",$AR$3:$AU$4,MATCH(EOMONTH(AZ18,0),$AR$3:$AU$3,0),FALSE)+VLOOKUP("Spreads",$AR$3:$AU$4,MATCH(EOMONTH(AZ18,-1),$AR$3:$AU$3,0),FALSE),VLOOKUP("Spreads",$AR$3:$AU$4,MATCH(EOMONTH(AZ18,0),$AR$3:$AU$3,0))))</f>
        <v>0</v>
      </c>
      <c r="AT18" s="334">
        <v>0</v>
      </c>
      <c r="AU18" s="337" t="e">
        <f t="shared" ref="AU18:AU23" si="40">$L$3+AR18+AS18+AT18</f>
        <v>#N/A</v>
      </c>
      <c r="AV18" s="330"/>
      <c r="AW18" s="338">
        <f>INDEX('[1]Transit Time'!$A:$DZ,MATCH(G18,'[1]Transit Time'!$A:$A,0),MATCH(J18,'[1]Transit Time'!$A$1:$DZ$1,0))+INDEX('[1]Transit Time'!$A:$DZ,MATCH(J18,'[1]Transit Time'!$A:$A,0),MATCH(T18,'[1]Transit Time'!$A$1:$DZ$1,0))+INDEX('[1]Transit Time'!$A:$DZ,MATCH(T18,'[1]Transit Time'!$A:$A,0),MATCH(X18,'[1]Transit Time'!$A$1:$DZ$1,0))</f>
        <v>0</v>
      </c>
      <c r="AX18" s="330"/>
      <c r="AY18" s="320">
        <f t="shared" ref="AY18:AY23" si="41">IF(ISBLANK(A18),"",A18+$AW18)</f>
        <v>44805</v>
      </c>
      <c r="AZ18" s="339">
        <f t="shared" ref="AZ18:AZ23" si="42">IFERROR(IF(ISBLANK(B18),"",B18+$AW18),"")</f>
        <v>44807</v>
      </c>
      <c r="BB18" s="133" t="s">
        <v>117</v>
      </c>
      <c r="BC18"/>
      <c r="BD18" s="130">
        <v>750000</v>
      </c>
      <c r="BE18"/>
      <c r="BF18" s="23" t="s">
        <v>152</v>
      </c>
      <c r="BG18" s="10">
        <v>0.55000000000000004</v>
      </c>
      <c r="BJ18" s="3">
        <f>(2000000-BK13)/BK14</f>
        <v>0</v>
      </c>
    </row>
    <row r="19" spans="1:63" x14ac:dyDescent="0.35">
      <c r="A19" s="340">
        <f t="shared" si="22"/>
        <v>44805</v>
      </c>
      <c r="B19" s="341">
        <f t="shared" si="23"/>
        <v>44807</v>
      </c>
      <c r="D19" s="342" t="s">
        <v>15</v>
      </c>
      <c r="E19" s="343">
        <f>IF(G19=J19,0,INDEX('[2]Flat Rates 2023'!$A:$DB,MATCH(G19,'[2]Flat Rates 2023'!$A:$A,0),MATCH(J19,'[2]Flat Rates 2023'!$A$1:$DB$1,0)))</f>
        <v>0</v>
      </c>
      <c r="F19" s="343" t="e">
        <f>INDEX(Control!$E$17:$O$21,MATCH(L19,Control!$E$17:$E$21,0),MATCH(G19,Control!$E$17:$O$17,0))</f>
        <v>#N/A</v>
      </c>
      <c r="G19" s="343" t="s">
        <v>134</v>
      </c>
      <c r="H19" s="344" t="e">
        <f>INDEX(Vessel_Minimum_MT,MATCH(L19,Control!$E$11:$E$15,0),MATCH(G19,Control!$E$11:$O$11,0))</f>
        <v>#N/A</v>
      </c>
      <c r="I19" s="345">
        <f t="shared" si="24"/>
        <v>90096.96796338672</v>
      </c>
      <c r="J19" s="343" t="s">
        <v>45</v>
      </c>
      <c r="K19" s="343" t="e">
        <f t="shared" si="25"/>
        <v>#N/A</v>
      </c>
      <c r="L19" s="346" t="s">
        <v>23</v>
      </c>
      <c r="M19" s="345">
        <v>700000</v>
      </c>
      <c r="N19" s="347">
        <v>0</v>
      </c>
      <c r="O19" s="348">
        <v>0</v>
      </c>
      <c r="P19" s="349" t="e">
        <f t="shared" si="26"/>
        <v>#N/A</v>
      </c>
      <c r="Q19" s="350"/>
      <c r="R19" s="138">
        <f>INDEX('[2]Flat Rates 2023'!$A:$DZ,MATCH(T19,'[2]Flat Rates 2023'!$A:$A,0),MATCH(X19,'[2]Flat Rates 2023'!$A$1:$DZ$1,0))</f>
        <v>0</v>
      </c>
      <c r="S19" s="351" t="e">
        <f>INDEX(Control!$E$17:$O$21,MATCH(W19,Control!$E$17:$E$21,0),MATCH(T19,Control!$E$17:$O$17,0))</f>
        <v>#N/A</v>
      </c>
      <c r="T19" s="351" t="s">
        <v>134</v>
      </c>
      <c r="U19" s="344" t="e">
        <f>INDEX(Vessel_Minimum_MT,MATCH(W19,Control!$E$11:$E$15,0),MATCH(T19,Control!$E$11:$O$11,0))</f>
        <v>#N/A</v>
      </c>
      <c r="V19" s="352">
        <f t="shared" si="27"/>
        <v>67572.725972540036</v>
      </c>
      <c r="W19" s="346" t="s">
        <v>23</v>
      </c>
      <c r="X19" s="353" t="s">
        <v>110</v>
      </c>
      <c r="Y19" s="343" t="e">
        <f t="shared" si="28"/>
        <v>#N/A</v>
      </c>
      <c r="Z19" s="345">
        <v>525000</v>
      </c>
      <c r="AA19" s="345"/>
      <c r="AB19" s="354">
        <v>89</v>
      </c>
      <c r="AC19" s="355" t="e">
        <f t="shared" si="29"/>
        <v>#N/A</v>
      </c>
      <c r="AD19" s="356">
        <v>3</v>
      </c>
      <c r="AE19" s="345" t="e">
        <f>IF(INDEX(Index,MATCH(X19,TVM_PortList,0),MATCH("Type",Control!$Q$3:$U$3,0))="BL",INDEX(Index,MATCH(X19,TVM_PortList,0),MATCH("Payment",Control!$Q$3:$U$3,0))-INDEX(Index,MATCH(T19,TVM_PortList,0),MATCH("Payment",Control!$Q$3:$U$3,0)),AW19+INDEX(Index,MATCH(X19,TVM_PortList,0),MATCH("Payment",Control!$Q$3:$U$3,0))-INDEX(Index,MATCH(T19,TVM_PortList,0),MATCH("Payment",Control!$Q$3:$U$3,0)))</f>
        <v>#N/A</v>
      </c>
      <c r="AF19" s="357">
        <f t="shared" si="30"/>
        <v>0.13714285714285715</v>
      </c>
      <c r="AG19" s="357" t="e">
        <f t="shared" si="31"/>
        <v>#N/A</v>
      </c>
      <c r="AH19" s="357">
        <f>INDEX(Lightering,MATCH($T19,Control!$AB$3:$AB$100,0),MATCH(MOLO!$W19,Control!$AB$3:$AF$3,0))*($Z19/$BD$18)*$BH$15/$Z19</f>
        <v>0</v>
      </c>
      <c r="AI19" s="357">
        <f t="shared" si="32"/>
        <v>0</v>
      </c>
      <c r="AJ19" s="357">
        <v>0.62666666666666671</v>
      </c>
      <c r="AK19" s="357">
        <f t="shared" si="33"/>
        <v>5.0000000000000001E-3</v>
      </c>
      <c r="AL19" s="357">
        <f t="shared" si="34"/>
        <v>6.7299999999999999E-2</v>
      </c>
      <c r="AM19" s="357">
        <f>IF(INDEX(Control!$Q$3:$S$62,MATCH($X19,Control!$Q$3:$Q$62,0),MATCH(AM$8,Control!$Q$3:$S$3,0))=1,$BD$14*$BE$14,0)</f>
        <v>0</v>
      </c>
      <c r="AN19" s="357" t="e">
        <f>IF(INDEX(Control!$Q$3:$S$62,MATCH($X19,Control!$Q$3:$Q$62,0),MATCH(AN$8,Control!$Q$3:$S$3,0))=1,$BD$15/$Z19,0)</f>
        <v>#N/A</v>
      </c>
      <c r="AO19" s="357">
        <f t="shared" si="35"/>
        <v>0</v>
      </c>
      <c r="AP19" s="357">
        <f t="shared" si="36"/>
        <v>0</v>
      </c>
      <c r="AQ19" s="355" t="e">
        <f t="shared" ref="AQ19:AQ20" si="43">SUM(AF19:AP19)</f>
        <v>#N/A</v>
      </c>
      <c r="AR19" s="355" t="e">
        <f t="shared" si="38"/>
        <v>#N/A</v>
      </c>
      <c r="AS19" s="355">
        <f t="shared" si="39"/>
        <v>0</v>
      </c>
      <c r="AT19" s="355">
        <v>0</v>
      </c>
      <c r="AU19" s="358" t="e">
        <f t="shared" si="40"/>
        <v>#N/A</v>
      </c>
      <c r="AV19" s="350"/>
      <c r="AW19" s="359">
        <f>INDEX('[1]Transit Time'!$A:$DZ,MATCH(G19,'[1]Transit Time'!$A:$A,0),MATCH(J19,'[1]Transit Time'!$A$1:$DZ$1,0))+INDEX('[1]Transit Time'!$A:$DZ,MATCH(J19,'[1]Transit Time'!$A:$A,0),MATCH(T19,'[1]Transit Time'!$A$1:$DZ$1,0))+INDEX('[1]Transit Time'!$A:$DZ,MATCH(T19,'[1]Transit Time'!$A:$A,0),MATCH(X19,'[1]Transit Time'!$A$1:$DZ$1,0))</f>
        <v>0</v>
      </c>
      <c r="AX19" s="350"/>
      <c r="AY19" s="341">
        <f t="shared" si="41"/>
        <v>44805</v>
      </c>
      <c r="AZ19" s="360">
        <f t="shared" si="42"/>
        <v>44807</v>
      </c>
      <c r="BB19" s="165"/>
      <c r="BC19" s="165"/>
      <c r="BD19" s="165"/>
      <c r="BE19" s="165"/>
      <c r="BF19" s="165"/>
      <c r="BG19" s="165"/>
      <c r="BH19" s="165"/>
      <c r="BI19" s="165"/>
      <c r="BJ19" s="165">
        <f>IF(Z30-VLOOKUP(W30,$BJ$10:$BK$14,2,FALSE)/$BK$14&gt;0,BH15/Z30,0)</f>
        <v>0.33333333333333331</v>
      </c>
      <c r="BK19" s="165"/>
    </row>
    <row r="20" spans="1:63" ht="16" thickBot="1" x14ac:dyDescent="0.4">
      <c r="A20" s="209">
        <f t="shared" si="22"/>
        <v>44805</v>
      </c>
      <c r="B20" s="209">
        <f t="shared" si="23"/>
        <v>44807</v>
      </c>
      <c r="D20" s="232"/>
      <c r="E20" s="233">
        <f>IF(G20=J20,0,INDEX('[2]Flat Rates 2023'!$A:$DB,MATCH(G20,'[2]Flat Rates 2023'!$A:$A,0),MATCH(J20,'[2]Flat Rates 2023'!$A$1:$DB$1,0)))</f>
        <v>0</v>
      </c>
      <c r="F20" s="233" t="e">
        <f>INDEX(Control!$E$17:$O$21,MATCH(L20,Control!$E$17:$E$21,0),MATCH(G20,Control!$E$17:$O$17,0))</f>
        <v>#N/A</v>
      </c>
      <c r="G20" s="233" t="s">
        <v>134</v>
      </c>
      <c r="H20" s="234" t="e">
        <f>INDEX(Vessel_Minimum_MT,MATCH(L20,Control!$E$11:$E$15,0),MATCH(G20,Control!$E$11:$O$11,0))</f>
        <v>#N/A</v>
      </c>
      <c r="I20" s="235">
        <f t="shared" si="24"/>
        <v>90096.96796338672</v>
      </c>
      <c r="J20" s="233" t="s">
        <v>45</v>
      </c>
      <c r="K20" s="233" t="e">
        <f t="shared" si="25"/>
        <v>#N/A</v>
      </c>
      <c r="L20" s="236" t="s">
        <v>23</v>
      </c>
      <c r="M20" s="235">
        <v>700000</v>
      </c>
      <c r="N20" s="237">
        <v>0</v>
      </c>
      <c r="O20" s="238">
        <v>0</v>
      </c>
      <c r="P20" s="239" t="e">
        <f t="shared" si="26"/>
        <v>#N/A</v>
      </c>
      <c r="Q20" s="2"/>
      <c r="R20" s="138">
        <f>INDEX('[2]Flat Rates 2023'!$A:$DZ,MATCH(T20,'[2]Flat Rates 2023'!$A:$A,0),MATCH(X20,'[2]Flat Rates 2023'!$A$1:$DZ$1,0))</f>
        <v>0</v>
      </c>
      <c r="S20" s="220" t="e">
        <f>INDEX(Control!$E$17:$O$21,MATCH(W20,Control!$E$17:$E$21,0),MATCH(T20,Control!$E$17:$O$17,0))</f>
        <v>#N/A</v>
      </c>
      <c r="T20" s="220" t="s">
        <v>134</v>
      </c>
      <c r="U20" s="213" t="e">
        <f>INDEX(Vessel_Minimum_MT,MATCH(W20,Control!$E$11:$E$15,0),MATCH(T20,Control!$E$11:$O$11,0))</f>
        <v>#N/A</v>
      </c>
      <c r="V20" s="222">
        <f t="shared" si="27"/>
        <v>67572.725972540036</v>
      </c>
      <c r="W20" s="258" t="s">
        <v>23</v>
      </c>
      <c r="X20" s="313" t="s">
        <v>112</v>
      </c>
      <c r="Y20" s="311" t="e">
        <f t="shared" si="28"/>
        <v>#N/A</v>
      </c>
      <c r="Z20" s="312">
        <v>525000</v>
      </c>
      <c r="AA20" s="312">
        <v>170</v>
      </c>
      <c r="AB20" s="378">
        <v>90</v>
      </c>
      <c r="AC20" s="314" t="e">
        <f t="shared" si="29"/>
        <v>#N/A</v>
      </c>
      <c r="AD20" s="315">
        <v>2</v>
      </c>
      <c r="AE20" s="312" t="e">
        <f>IF(INDEX(Index,MATCH(X20,TVM_PortList,0),MATCH("Type",Control!$Q$3:$U$3,0))="BL",INDEX(Index,MATCH(X20,TVM_PortList,0),MATCH("Payment",Control!$Q$3:$U$3,0))-INDEX(Index,MATCH(T20,TVM_PortList,0),MATCH("Payment",Control!$Q$3:$U$3,0)),AW20+INDEX(Index,MATCH(X20,TVM_PortList,0),MATCH("Payment",Control!$Q$3:$U$3,0))-INDEX(Index,MATCH(T20,TVM_PortList,0),MATCH("Payment",Control!$Q$3:$U$3,0)))</f>
        <v>#N/A</v>
      </c>
      <c r="AF20" s="316">
        <f t="shared" si="30"/>
        <v>9.1428571428571428E-2</v>
      </c>
      <c r="AG20" s="316" t="e">
        <f t="shared" si="31"/>
        <v>#N/A</v>
      </c>
      <c r="AH20" s="316">
        <f>INDEX(Lightering,MATCH($T20,Control!$AB$3:$AB$100,0),MATCH(MOLO!$W20,Control!$AB$3:$AF$3,0))*($Z20/$BD$18)*$BH$15/$Z20</f>
        <v>0</v>
      </c>
      <c r="AI20" s="316">
        <f t="shared" si="32"/>
        <v>0</v>
      </c>
      <c r="AJ20" s="316">
        <v>0</v>
      </c>
      <c r="AK20" s="316">
        <f t="shared" si="33"/>
        <v>5.0000000000000001E-3</v>
      </c>
      <c r="AL20" s="316">
        <f t="shared" si="34"/>
        <v>6.7299999999999999E-2</v>
      </c>
      <c r="AM20" s="316">
        <f>IF(INDEX(Control!$Q$3:$S$62,MATCH($X20,Control!$Q$3:$Q$62,0),MATCH(AM$8,Control!$Q$3:$S$3,0))=1,$BD$14*$BE$14,0)</f>
        <v>0.24</v>
      </c>
      <c r="AN20" s="316" t="e">
        <f>IF(INDEX(Control!$Q$3:$S$62,MATCH($X20,Control!$Q$3:$Q$62,0),MATCH(AN$8,Control!$Q$3:$S$3,0))=1,$BD$15/$Z20,0)</f>
        <v>#N/A</v>
      </c>
      <c r="AO20" s="316">
        <f t="shared" si="35"/>
        <v>0</v>
      </c>
      <c r="AP20" s="316">
        <f t="shared" si="36"/>
        <v>0</v>
      </c>
      <c r="AQ20" s="314" t="e">
        <f t="shared" si="43"/>
        <v>#N/A</v>
      </c>
      <c r="AR20" s="314" t="e">
        <f t="shared" si="38"/>
        <v>#N/A</v>
      </c>
      <c r="AS20" s="314">
        <f t="shared" si="39"/>
        <v>0</v>
      </c>
      <c r="AT20" s="314">
        <v>0</v>
      </c>
      <c r="AU20" s="317" t="e">
        <f t="shared" si="40"/>
        <v>#N/A</v>
      </c>
      <c r="AV20" s="220"/>
      <c r="AW20" s="318">
        <f>INDEX('[1]Transit Time'!$A:$DZ,MATCH(G20,'[1]Transit Time'!$A:$A,0),MATCH(J20,'[1]Transit Time'!$A$1:$DZ$1,0))+INDEX('[1]Transit Time'!$A:$DZ,MATCH(J20,'[1]Transit Time'!$A:$A,0),MATCH(T20,'[1]Transit Time'!$A$1:$DZ$1,0))+INDEX('[1]Transit Time'!$A:$DZ,MATCH(T20,'[1]Transit Time'!$A:$A,0),MATCH(X20,'[1]Transit Time'!$A$1:$DZ$1,0))</f>
        <v>0</v>
      </c>
      <c r="AX20" s="220"/>
      <c r="AY20" s="209">
        <f t="shared" si="41"/>
        <v>44805</v>
      </c>
      <c r="AZ20" s="209">
        <f t="shared" si="42"/>
        <v>44807</v>
      </c>
      <c r="BB20" s="133" t="s">
        <v>283</v>
      </c>
      <c r="BI20" s="34"/>
    </row>
    <row r="21" spans="1:63" ht="16" thickBot="1" x14ac:dyDescent="0.4">
      <c r="A21" s="163">
        <f t="shared" si="22"/>
        <v>44805</v>
      </c>
      <c r="B21" s="163">
        <f t="shared" si="23"/>
        <v>44807</v>
      </c>
      <c r="D21" s="170"/>
      <c r="E21" s="173">
        <f>IF(G21=J21,0,INDEX('[2]Flat Rates 2023'!$A:$DB,MATCH(G21,'[2]Flat Rates 2023'!$A:$A,0),MATCH(J21,'[2]Flat Rates 2023'!$A$1:$DB$1,0)))</f>
        <v>0</v>
      </c>
      <c r="F21" s="173" t="e">
        <f>INDEX(Control!$E$17:$O$21,MATCH(L21,Control!$E$17:$E$21,0),MATCH(G21,Control!$E$17:$O$17,0))</f>
        <v>#N/A</v>
      </c>
      <c r="G21" s="173" t="s">
        <v>134</v>
      </c>
      <c r="H21" s="172" t="e">
        <f>INDEX(Vessel_Minimum_MT,MATCH(L21,Control!$E$11:$E$15,0),MATCH(G21,Control!$E$11:$O$11,0))</f>
        <v>#N/A</v>
      </c>
      <c r="I21" s="175">
        <f t="shared" si="24"/>
        <v>90096.96796338672</v>
      </c>
      <c r="J21" s="173" t="s">
        <v>45</v>
      </c>
      <c r="K21" s="173" t="e">
        <f t="shared" si="25"/>
        <v>#N/A</v>
      </c>
      <c r="L21" s="174" t="s">
        <v>22</v>
      </c>
      <c r="M21" s="175">
        <v>700000</v>
      </c>
      <c r="N21" s="179">
        <v>0</v>
      </c>
      <c r="O21" s="180">
        <v>0</v>
      </c>
      <c r="P21" s="178" t="e">
        <f t="shared" si="26"/>
        <v>#N/A</v>
      </c>
      <c r="Q21" s="2"/>
      <c r="R21" s="138">
        <f>INDEX('[2]Flat Rates 2023'!$A:$DZ,MATCH(T21,'[2]Flat Rates 2023'!$A:$A,0),MATCH(X21,'[2]Flat Rates 2023'!$A$1:$DZ$1,0))</f>
        <v>6.78</v>
      </c>
      <c r="S21" s="138" t="e">
        <f>INDEX(Control!$E$17:$O$21,MATCH(W21,Control!$E$17:$E$21,0),MATCH(T21,Control!$E$17:$O$17,0))</f>
        <v>#N/A</v>
      </c>
      <c r="T21" s="138" t="s">
        <v>134</v>
      </c>
      <c r="U21" s="116" t="e">
        <f>INDEX(Vessel_Minimum_MT,MATCH(W21,Control!$E$11:$E$15,0),MATCH(T21,Control!$E$11:$O$11,0))</f>
        <v>#N/A</v>
      </c>
      <c r="V21" s="140">
        <f t="shared" si="27"/>
        <v>64354.977116704802</v>
      </c>
      <c r="W21" s="147" t="s">
        <v>23</v>
      </c>
      <c r="X21" s="164" t="s">
        <v>55</v>
      </c>
      <c r="Y21" s="142" t="e">
        <f t="shared" si="28"/>
        <v>#N/A</v>
      </c>
      <c r="Z21" s="141">
        <v>500000</v>
      </c>
      <c r="AA21" s="141"/>
      <c r="AB21" s="263">
        <v>120</v>
      </c>
      <c r="AC21" s="149" t="e">
        <f t="shared" si="29"/>
        <v>#N/A</v>
      </c>
      <c r="AD21" s="144">
        <v>1</v>
      </c>
      <c r="AE21" s="141" t="e">
        <f>IF(INDEX(Index,MATCH(X21,TVM_PortList,0),MATCH("Type",Control!$Q$3:$U$3,0))="BL",INDEX(Index,MATCH(X21,TVM_PortList,0),MATCH("Payment",Control!$Q$3:$U$3,0))-INDEX(Index,MATCH(T21,TVM_PortList,0),MATCH("Payment",Control!$Q$3:$U$3,0)),AW21+INDEX(Index,MATCH(X21,TVM_PortList,0),MATCH("Payment",Control!$Q$3:$U$3,0))-INDEX(Index,MATCH(T21,TVM_PortList,0),MATCH("Payment",Control!$Q$3:$U$3,0)))</f>
        <v>#N/A</v>
      </c>
      <c r="AF21" s="143">
        <f t="shared" si="30"/>
        <v>4.8000000000000001E-2</v>
      </c>
      <c r="AG21" s="143" t="e">
        <f t="shared" si="31"/>
        <v>#N/A</v>
      </c>
      <c r="AH21" s="143">
        <f>INDEX(Lightering,MATCH($T21,Control!$AB$3:$AB$100,0),MATCH(MOLO!$W21,Control!$AB$3:$AF$3,0))*($Z21/$BD$18)*$BH$15/$Z21</f>
        <v>0</v>
      </c>
      <c r="AI21" s="143">
        <f t="shared" si="32"/>
        <v>0</v>
      </c>
      <c r="AJ21" s="143">
        <v>0</v>
      </c>
      <c r="AK21" s="143">
        <f t="shared" si="33"/>
        <v>5.0000000000000001E-3</v>
      </c>
      <c r="AL21" s="143">
        <f t="shared" si="34"/>
        <v>6.7299999999999999E-2</v>
      </c>
      <c r="AM21" s="143">
        <f>IF(INDEX(Control!$Q$3:$S$62,MATCH($X21,Control!$Q$3:$Q$62,0),MATCH(AM$8,Control!$Q$3:$S$3,0))=1,$BD$14*$BE$14,0)</f>
        <v>0.24</v>
      </c>
      <c r="AN21" s="143" t="e">
        <f>IF(INDEX(Control!$Q$3:$S$62,MATCH($X21,Control!$Q$3:$Q$62,0),MATCH(AN$8,Control!$Q$3:$S$3,0))=1,$BD$15/$Z21,0)</f>
        <v>#N/A</v>
      </c>
      <c r="AO21" s="143">
        <f t="shared" si="35"/>
        <v>0</v>
      </c>
      <c r="AP21" s="143">
        <f t="shared" si="36"/>
        <v>0</v>
      </c>
      <c r="AQ21" s="149" t="e">
        <f t="shared" ref="AQ21:AQ22" si="44">SUM(AF21:AP21)</f>
        <v>#N/A</v>
      </c>
      <c r="AR21" s="149" t="e">
        <f t="shared" si="38"/>
        <v>#N/A</v>
      </c>
      <c r="AS21" s="149">
        <f>AS22</f>
        <v>0</v>
      </c>
      <c r="AT21" s="149">
        <v>0</v>
      </c>
      <c r="AU21" s="135" t="e">
        <f t="shared" si="40"/>
        <v>#N/A</v>
      </c>
      <c r="AW21" s="153">
        <f>INDEX('[1]Transit Time'!$A:$DZ,MATCH(G21,'[1]Transit Time'!$A:$A,0),MATCH(J21,'[1]Transit Time'!$A$1:$DZ$1,0))+INDEX('[1]Transit Time'!$A:$DZ,MATCH(J21,'[1]Transit Time'!$A:$A,0),MATCH(T21,'[1]Transit Time'!$A$1:$DZ$1,0))+INDEX('[1]Transit Time'!$A:$DZ,MATCH(T21,'[1]Transit Time'!$A:$A,0),MATCH(X21,'[1]Transit Time'!$A$1:$DZ$1,0))</f>
        <v>5</v>
      </c>
      <c r="AY21" s="163">
        <f t="shared" si="41"/>
        <v>44810</v>
      </c>
      <c r="AZ21" s="163">
        <f t="shared" si="42"/>
        <v>44812</v>
      </c>
      <c r="BB21" s="133" t="s">
        <v>148</v>
      </c>
      <c r="BC21" s="3">
        <v>3.5</v>
      </c>
      <c r="BD21" s="268">
        <f>$BC$21*$BD$14/365/100</f>
        <v>1.1506849315068492E-2</v>
      </c>
      <c r="BI21" s="34"/>
    </row>
    <row r="22" spans="1:63" x14ac:dyDescent="0.35">
      <c r="A22" s="230">
        <f t="shared" si="22"/>
        <v>44805</v>
      </c>
      <c r="B22" s="230">
        <f t="shared" si="23"/>
        <v>44807</v>
      </c>
      <c r="D22" s="232"/>
      <c r="E22" s="233">
        <f>IF(G22=J22,0,INDEX('[2]Flat Rates 2023'!$A:$DB,MATCH(G22,'[2]Flat Rates 2023'!$A:$A,0),MATCH(J22,'[2]Flat Rates 2023'!$A$1:$DB$1,0)))</f>
        <v>0</v>
      </c>
      <c r="F22" s="233" t="e">
        <f>INDEX(Control!$E$17:$O$21,MATCH(L22,Control!$E$17:$E$21,0),MATCH(G22,Control!$E$17:$O$17,0))</f>
        <v>#N/A</v>
      </c>
      <c r="G22" s="233" t="s">
        <v>134</v>
      </c>
      <c r="H22" s="234" t="e">
        <f>INDEX(Vessel_Minimum_MT,MATCH(L22,Control!$E$11:$E$15,0),MATCH(G22,Control!$E$11:$O$11,0))</f>
        <v>#N/A</v>
      </c>
      <c r="I22" s="235">
        <f t="shared" si="24"/>
        <v>90096.96796338672</v>
      </c>
      <c r="J22" s="233" t="s">
        <v>45</v>
      </c>
      <c r="K22" s="233" t="e">
        <f t="shared" si="25"/>
        <v>#N/A</v>
      </c>
      <c r="L22" s="236" t="s">
        <v>23</v>
      </c>
      <c r="M22" s="235">
        <v>700000</v>
      </c>
      <c r="N22" s="237">
        <v>0</v>
      </c>
      <c r="O22" s="238">
        <v>0</v>
      </c>
      <c r="P22" s="239" t="e">
        <f t="shared" si="26"/>
        <v>#N/A</v>
      </c>
      <c r="Q22" s="2"/>
      <c r="R22" s="138">
        <f>INDEX('[2]Flat Rates 2023'!$A:$DZ,MATCH(T22,'[2]Flat Rates 2023'!$A:$A,0),MATCH(X22,'[2]Flat Rates 2023'!$A$1:$DZ$1,0))</f>
        <v>9.64</v>
      </c>
      <c r="S22" s="220" t="e">
        <f>INDEX(Control!$E$17:$O$21,MATCH(W22,Control!$E$17:$E$21,0),MATCH(T22,Control!$E$17:$O$17,0))</f>
        <v>#N/A</v>
      </c>
      <c r="T22" s="220" t="s">
        <v>134</v>
      </c>
      <c r="U22" s="213" t="e">
        <f>INDEX(Vessel_Minimum_MT,MATCH(W22,Control!$E$11:$E$15,0),MATCH(T22,Control!$E$11:$O$11,0))</f>
        <v>#N/A</v>
      </c>
      <c r="V22" s="222">
        <f t="shared" si="27"/>
        <v>64354.977116704802</v>
      </c>
      <c r="W22" s="215" t="s">
        <v>23</v>
      </c>
      <c r="X22" s="223" t="s">
        <v>80</v>
      </c>
      <c r="Y22" s="212" t="e">
        <f t="shared" si="28"/>
        <v>#N/A</v>
      </c>
      <c r="Z22" s="214">
        <v>500000</v>
      </c>
      <c r="AA22" s="214"/>
      <c r="AB22" s="262">
        <v>110</v>
      </c>
      <c r="AC22" s="225" t="e">
        <f t="shared" si="29"/>
        <v>#N/A</v>
      </c>
      <c r="AD22" s="226">
        <v>1</v>
      </c>
      <c r="AE22" s="214" t="e">
        <f>IF(INDEX(Index,MATCH(X22,TVM_PortList,0),MATCH("Type",Control!$Q$3:$U$3,0))="BL",INDEX(Index,MATCH(X22,TVM_PortList,0),MATCH("Payment",Control!$Q$3:$U$3,0))-INDEX(Index,MATCH(T22,TVM_PortList,0),MATCH("Payment",Control!$Q$3:$U$3,0)),AW22+INDEX(Index,MATCH(X22,TVM_PortList,0),MATCH("Payment",Control!$Q$3:$U$3,0))-INDEX(Index,MATCH(T22,TVM_PortList,0),MATCH("Payment",Control!$Q$3:$U$3,0)))</f>
        <v>#N/A</v>
      </c>
      <c r="AF22" s="227">
        <f t="shared" si="30"/>
        <v>4.8000000000000001E-2</v>
      </c>
      <c r="AG22" s="227" t="e">
        <f t="shared" si="31"/>
        <v>#N/A</v>
      </c>
      <c r="AH22" s="227">
        <f>INDEX(Lightering,MATCH($T22,Control!$AB$3:$AB$100,0),MATCH(MOLO!$W22,Control!$AB$3:$AF$3,0))*($Z22/$BD$18)*$BH$15/$Z22</f>
        <v>0</v>
      </c>
      <c r="AI22" s="227">
        <f t="shared" si="32"/>
        <v>0</v>
      </c>
      <c r="AJ22" s="227">
        <v>0</v>
      </c>
      <c r="AK22" s="227">
        <f t="shared" si="33"/>
        <v>5.0000000000000001E-3</v>
      </c>
      <c r="AL22" s="227">
        <f t="shared" si="34"/>
        <v>6.7299999999999999E-2</v>
      </c>
      <c r="AM22" s="227">
        <f>IF(INDEX(Control!$Q$3:$S$62,MATCH($X22,Control!$Q$3:$Q$62,0),MATCH(AM$8,Control!$Q$3:$S$3,0))=1,$BD$14*$BE$14,0)</f>
        <v>0.24</v>
      </c>
      <c r="AN22" s="227" t="e">
        <f>IF(INDEX(Control!$Q$3:$S$62,MATCH($X22,Control!$Q$3:$Q$62,0),MATCH(AN$8,Control!$Q$3:$S$3,0))=1,$BD$15/$Z22,0)</f>
        <v>#N/A</v>
      </c>
      <c r="AO22" s="227">
        <f t="shared" si="35"/>
        <v>0</v>
      </c>
      <c r="AP22" s="227">
        <f t="shared" si="36"/>
        <v>0</v>
      </c>
      <c r="AQ22" s="225" t="e">
        <f t="shared" si="44"/>
        <v>#N/A</v>
      </c>
      <c r="AR22" s="225" t="e">
        <f t="shared" si="38"/>
        <v>#N/A</v>
      </c>
      <c r="AS22" s="225">
        <f t="shared" si="39"/>
        <v>0</v>
      </c>
      <c r="AT22" s="225">
        <v>0</v>
      </c>
      <c r="AU22" s="228" t="e">
        <f t="shared" si="40"/>
        <v>#N/A</v>
      </c>
      <c r="AV22" s="220"/>
      <c r="AW22" s="229">
        <f>INDEX('[1]Transit Time'!$A:$DZ,MATCH(G22,'[1]Transit Time'!$A:$A,0),MATCH(J22,'[1]Transit Time'!$A$1:$DZ$1,0))+INDEX('[1]Transit Time'!$A:$DZ,MATCH(J22,'[1]Transit Time'!$A:$A,0),MATCH(T22,'[1]Transit Time'!$A$1:$DZ$1,0))+INDEX('[1]Transit Time'!$A:$DZ,MATCH(T22,'[1]Transit Time'!$A:$A,0),MATCH(X22,'[1]Transit Time'!$A$1:$DZ$1,0))</f>
        <v>7</v>
      </c>
      <c r="AX22" s="220"/>
      <c r="AY22" s="230">
        <f t="shared" si="41"/>
        <v>44812</v>
      </c>
      <c r="AZ22" s="230">
        <f t="shared" si="42"/>
        <v>44814</v>
      </c>
      <c r="BB22" s="133"/>
      <c r="BD22" s="268"/>
      <c r="BI22" s="34"/>
    </row>
    <row r="23" spans="1:63" ht="16" thickBot="1" x14ac:dyDescent="0.4">
      <c r="A23" s="163">
        <f t="shared" si="22"/>
        <v>44805</v>
      </c>
      <c r="B23" s="163">
        <f t="shared" si="23"/>
        <v>44807</v>
      </c>
      <c r="D23" s="170"/>
      <c r="E23" s="173">
        <f>IF(G23=J23,0,INDEX('[2]Flat Rates 2023'!$A:$DB,MATCH(G23,'[2]Flat Rates 2023'!$A:$A,0),MATCH(J23,'[2]Flat Rates 2023'!$A$1:$DB$1,0)))</f>
        <v>0</v>
      </c>
      <c r="F23" s="173" t="e">
        <f>INDEX(Control!$E$17:$O$21,MATCH(L23,Control!$E$17:$E$21,0),MATCH(G23,Control!$E$17:$O$17,0))</f>
        <v>#N/A</v>
      </c>
      <c r="G23" s="173" t="s">
        <v>134</v>
      </c>
      <c r="H23" s="172" t="e">
        <f>INDEX(Vessel_Minimum_MT,MATCH(L23,Control!$E$11:$E$15,0),MATCH(G23,Control!$E$11:$O$11,0))</f>
        <v>#N/A</v>
      </c>
      <c r="I23" s="175">
        <f t="shared" si="24"/>
        <v>90096.96796338672</v>
      </c>
      <c r="J23" s="173" t="s">
        <v>45</v>
      </c>
      <c r="K23" s="173" t="e">
        <f t="shared" si="25"/>
        <v>#N/A</v>
      </c>
      <c r="L23" s="174" t="s">
        <v>22</v>
      </c>
      <c r="M23" s="175">
        <v>700000</v>
      </c>
      <c r="N23" s="179">
        <v>0</v>
      </c>
      <c r="O23" s="180">
        <v>0</v>
      </c>
      <c r="P23" s="178" t="e">
        <f t="shared" si="26"/>
        <v>#N/A</v>
      </c>
      <c r="Q23" s="2"/>
      <c r="R23" s="138" t="e">
        <f>INDEX('[2]Flat Rates 2023'!$A:$DZ,MATCH(T23,'[2]Flat Rates 2023'!$A:$A,0),MATCH(X23,'[2]Flat Rates 2023'!$A$1:$DZ$1,0))</f>
        <v>#N/A</v>
      </c>
      <c r="S23" s="138" t="e">
        <f>INDEX(Control!$E$17:$O$21,MATCH(W23,Control!$E$17:$E$21,0),MATCH(T23,Control!$E$17:$O$17,0))</f>
        <v>#N/A</v>
      </c>
      <c r="T23" s="138" t="s">
        <v>134</v>
      </c>
      <c r="U23" s="116" t="e">
        <f>INDEX(Vessel_Minimum_MT,MATCH(W23,Control!$E$11:$E$15,0),MATCH(T23,Control!$E$11:$O$11,0))</f>
        <v>#N/A</v>
      </c>
      <c r="V23" s="140">
        <f t="shared" si="27"/>
        <v>64354.977116704802</v>
      </c>
      <c r="W23" s="147" t="s">
        <v>23</v>
      </c>
      <c r="X23" s="164" t="s">
        <v>133</v>
      </c>
      <c r="Y23" s="142" t="e">
        <f t="shared" si="28"/>
        <v>#N/A</v>
      </c>
      <c r="Z23" s="141">
        <v>500000</v>
      </c>
      <c r="AA23" s="141"/>
      <c r="AB23" s="151">
        <v>200</v>
      </c>
      <c r="AC23" s="149" t="e">
        <f t="shared" si="29"/>
        <v>#N/A</v>
      </c>
      <c r="AD23" s="144"/>
      <c r="AE23" s="141" t="e">
        <f>IF(INDEX(Index,MATCH(X23,TVM_PortList,0),MATCH("Type",Control!$Q$3:$U$3,0))="BL",INDEX(Index,MATCH(X23,TVM_PortList,0),MATCH("Payment",Control!$Q$3:$U$3,0))-INDEX(Index,MATCH(T23,TVM_PortList,0),MATCH("Payment",Control!$Q$3:$U$3,0)),AW23+INDEX(Index,MATCH(X23,TVM_PortList,0),MATCH("Payment",Control!$Q$3:$U$3,0))-INDEX(Index,MATCH(T23,TVM_PortList,0),MATCH("Payment",Control!$Q$3:$U$3,0)))</f>
        <v>#N/A</v>
      </c>
      <c r="AF23" s="143">
        <f t="shared" si="30"/>
        <v>0</v>
      </c>
      <c r="AG23" s="143" t="e">
        <f t="shared" si="31"/>
        <v>#N/A</v>
      </c>
      <c r="AH23" s="143">
        <f>INDEX(Lightering,MATCH($T23,Control!$AB$3:$AB$100,0),MATCH(MOLO!$W23,Control!$AB$3:$AF$3,0))*($Z23/$BD$18)*$BH$15/$Z23</f>
        <v>0</v>
      </c>
      <c r="AI23" s="143">
        <f t="shared" si="32"/>
        <v>0</v>
      </c>
      <c r="AJ23" s="143">
        <v>0</v>
      </c>
      <c r="AK23" s="143">
        <f t="shared" si="33"/>
        <v>5.0000000000000001E-3</v>
      </c>
      <c r="AL23" s="143">
        <f t="shared" si="34"/>
        <v>6.7299999999999999E-2</v>
      </c>
      <c r="AM23" s="143" t="e">
        <f>IF(INDEX(Control!$Q$3:$S$62,MATCH($X23,Control!$Q$3:$Q$62,0),MATCH(AM$8,Control!$Q$3:$S$3,0))=1,$BD$14*$BE$14,0)</f>
        <v>#N/A</v>
      </c>
      <c r="AN23" s="143" t="e">
        <f>IF(INDEX(Control!$Q$3:$S$62,MATCH($X23,Control!$Q$3:$Q$62,0),MATCH(AN$8,Control!$Q$3:$S$3,0))=1,$BD$15/$Z23,0)</f>
        <v>#N/A</v>
      </c>
      <c r="AO23" s="143">
        <f t="shared" si="35"/>
        <v>0</v>
      </c>
      <c r="AP23" s="143">
        <f t="shared" si="36"/>
        <v>0</v>
      </c>
      <c r="AQ23" s="149" t="e">
        <f t="shared" ref="AQ23" si="45">SUM(AF23:AP23)</f>
        <v>#N/A</v>
      </c>
      <c r="AR23" s="149" t="e">
        <f t="shared" si="38"/>
        <v>#N/A</v>
      </c>
      <c r="AS23" s="149" t="e">
        <f t="shared" si="39"/>
        <v>#VALUE!</v>
      </c>
      <c r="AT23" s="149">
        <v>0</v>
      </c>
      <c r="AU23" s="135" t="e">
        <f t="shared" si="40"/>
        <v>#N/A</v>
      </c>
      <c r="AW23" s="153" t="e">
        <f>INDEX('[1]Transit Time'!$A:$DZ,MATCH(G23,'[1]Transit Time'!$A:$A,0),MATCH(J23,'[1]Transit Time'!$A$1:$DZ$1,0))+INDEX('[1]Transit Time'!$A:$DZ,MATCH(J23,'[1]Transit Time'!$A:$A,0),MATCH(T23,'[1]Transit Time'!$A$1:$DZ$1,0))+INDEX('[1]Transit Time'!$A:$DZ,MATCH(T23,'[1]Transit Time'!$A:$A,0),MATCH(X23,'[1]Transit Time'!$A$1:$DZ$1,0))</f>
        <v>#N/A</v>
      </c>
      <c r="AY23" s="163" t="e">
        <f t="shared" si="41"/>
        <v>#N/A</v>
      </c>
      <c r="AZ23" s="163" t="str">
        <f t="shared" si="42"/>
        <v/>
      </c>
      <c r="BB23" s="133"/>
      <c r="BD23" s="268"/>
      <c r="BI23" s="34"/>
    </row>
    <row r="24" spans="1:63" ht="19.5" customHeight="1" thickBot="1" x14ac:dyDescent="0.5">
      <c r="A24"/>
      <c r="B24"/>
      <c r="D24" s="1069" t="str">
        <f>D7</f>
        <v>CORPUS-PTP</v>
      </c>
      <c r="E24" s="1070"/>
      <c r="F24" s="1070"/>
      <c r="G24" s="1070"/>
      <c r="H24" s="1070"/>
      <c r="I24" s="1070"/>
      <c r="J24" s="1070"/>
      <c r="K24" s="1070"/>
      <c r="L24" s="1070"/>
      <c r="M24" s="1070"/>
      <c r="N24" s="1070"/>
      <c r="O24" s="1070"/>
      <c r="P24" s="1071"/>
      <c r="Q24" s="2"/>
      <c r="R24" s="9"/>
      <c r="S24" s="9"/>
      <c r="T24" s="9"/>
      <c r="U24" s="9"/>
      <c r="V24" s="9"/>
      <c r="W24" s="1069" t="s">
        <v>280</v>
      </c>
      <c r="X24" s="1070"/>
      <c r="Y24" s="1070"/>
      <c r="Z24" s="1070"/>
      <c r="AA24" s="1070"/>
      <c r="AB24" s="1070"/>
      <c r="AC24" s="1070"/>
      <c r="AD24" s="1070"/>
      <c r="AE24" s="1070"/>
      <c r="AF24" s="1070"/>
      <c r="AG24" s="1070"/>
      <c r="AH24" s="1070"/>
      <c r="AI24" s="1070"/>
      <c r="AJ24" s="1070"/>
      <c r="AK24" s="1070"/>
      <c r="AL24" s="1070"/>
      <c r="AM24" s="1070"/>
      <c r="AN24" s="1070"/>
      <c r="AO24" s="1070"/>
      <c r="AP24" s="1070"/>
      <c r="AQ24" s="1070"/>
      <c r="AR24" s="1070"/>
      <c r="AS24" s="1070"/>
      <c r="AT24" s="1070"/>
      <c r="AU24" s="1071"/>
      <c r="AW24"/>
      <c r="AY24"/>
      <c r="AZ24"/>
      <c r="BC24" s="124"/>
    </row>
    <row r="25" spans="1:63" ht="29.5" customHeight="1" x14ac:dyDescent="0.35">
      <c r="A25" s="1005" t="s">
        <v>167</v>
      </c>
      <c r="B25" s="1005"/>
      <c r="D25" s="120" t="s">
        <v>276</v>
      </c>
      <c r="E25" s="152" t="s">
        <v>172</v>
      </c>
      <c r="F25" s="152" t="s">
        <v>2</v>
      </c>
      <c r="G25" s="152" t="s">
        <v>173</v>
      </c>
      <c r="H25" s="152" t="s">
        <v>174</v>
      </c>
      <c r="I25" s="125" t="s">
        <v>175</v>
      </c>
      <c r="J25" s="152" t="s">
        <v>177</v>
      </c>
      <c r="K25" s="152" t="s">
        <v>178</v>
      </c>
      <c r="L25" s="122" t="s">
        <v>176</v>
      </c>
      <c r="M25" s="120" t="s">
        <v>200</v>
      </c>
      <c r="N25" s="120" t="s">
        <v>277</v>
      </c>
      <c r="O25" s="121"/>
      <c r="P25" s="123" t="s">
        <v>278</v>
      </c>
      <c r="Q25" s="2"/>
      <c r="R25" s="120" t="s">
        <v>172</v>
      </c>
      <c r="S25" s="120" t="e">
        <f>INDEX(Control!$E$17:$J$21,MATCH(W25,Control!$E$17:$E$21,0),MATCH(T25,Control!$E$17:$J$17,0))</f>
        <v>#N/A</v>
      </c>
      <c r="T25" s="120" t="s">
        <v>173</v>
      </c>
      <c r="U25" s="152" t="str">
        <f>$U$8</f>
        <v>Vessel MT</v>
      </c>
      <c r="V25" s="120" t="s">
        <v>175</v>
      </c>
      <c r="W25" s="120" t="s">
        <v>176</v>
      </c>
      <c r="X25" s="120" t="s">
        <v>177</v>
      </c>
      <c r="Y25" s="120" t="s">
        <v>178</v>
      </c>
      <c r="Z25" s="120" t="s">
        <v>200</v>
      </c>
      <c r="AA25" s="146" t="s">
        <v>201</v>
      </c>
      <c r="AB25" s="128" t="s">
        <v>202</v>
      </c>
      <c r="AC25" s="150" t="s">
        <v>182</v>
      </c>
      <c r="AD25" s="136" t="s">
        <v>137</v>
      </c>
      <c r="AE25" s="146" t="s">
        <v>281</v>
      </c>
      <c r="AF25" s="136" t="s">
        <v>184</v>
      </c>
      <c r="AG25" s="136" t="s">
        <v>140</v>
      </c>
      <c r="AH25" s="136" t="str">
        <f>AH17</f>
        <v>STS</v>
      </c>
      <c r="AI25" s="136" t="s">
        <v>186</v>
      </c>
      <c r="AJ25" s="136" t="s">
        <v>187</v>
      </c>
      <c r="AK25" s="136" t="s">
        <v>141</v>
      </c>
      <c r="AL25" s="136" t="s">
        <v>188</v>
      </c>
      <c r="AM25" s="136" t="s">
        <v>17</v>
      </c>
      <c r="AN25" s="136" t="s">
        <v>207</v>
      </c>
      <c r="AO25" s="136" t="s">
        <v>189</v>
      </c>
      <c r="AP25" s="136" t="s">
        <v>152</v>
      </c>
      <c r="AQ25" s="150" t="s">
        <v>208</v>
      </c>
      <c r="AR25" s="150" t="s">
        <v>209</v>
      </c>
      <c r="AS25" s="150" t="s">
        <v>210</v>
      </c>
      <c r="AT25" s="150" t="str">
        <f>AT17</f>
        <v>Basis</v>
      </c>
      <c r="AU25" s="137" t="s">
        <v>211</v>
      </c>
      <c r="AW25" s="137" t="s">
        <v>195</v>
      </c>
      <c r="AY25" s="1011" t="s">
        <v>196</v>
      </c>
      <c r="AZ25" s="1011"/>
      <c r="BD25" s="35"/>
      <c r="BE25" s="35"/>
    </row>
    <row r="26" spans="1:63" x14ac:dyDescent="0.35">
      <c r="A26" s="163">
        <f t="shared" si="22"/>
        <v>44805</v>
      </c>
      <c r="B26" s="163">
        <f t="shared" si="23"/>
        <v>44807</v>
      </c>
      <c r="D26" s="8"/>
      <c r="E26" s="138">
        <f>INDEX('[2]Flat Rates 2023'!$A:$DB,MATCH(G26,'[2]Flat Rates 2023'!$A:$A,0),MATCH(J26,'[2]Flat Rates 2023'!$A$1:$DB$1,0))</f>
        <v>6.78</v>
      </c>
      <c r="F26" s="138" t="e">
        <f>INDEX(Control!$E$17:$O$21,MATCH(L26,Control!$E$17:$E$21,0),MATCH(G26,Control!$E$17:$O$17,0))</f>
        <v>#N/A</v>
      </c>
      <c r="G26" s="138" t="s">
        <v>134</v>
      </c>
      <c r="H26" s="116" t="e">
        <f>INDEX(Vessel_Minimum_MT,MATCH(L26,Control!$E$11:$E$15,0),MATCH(G26,Control!$E$11:$O$11,0))</f>
        <v>#N/A</v>
      </c>
      <c r="I26" s="116">
        <f>M26/$BD$17</f>
        <v>96532.465675057203</v>
      </c>
      <c r="J26" s="142" t="s">
        <v>55</v>
      </c>
      <c r="K26" s="138" t="e">
        <f t="shared" ref="K26:K27" si="46">IF(J26=G26,"",CONCATENATE(CONCATENATE(VLOOKUP(G26,Zones,2,FALSE),"/",VLOOKUP(J26,Zones,2,FALSE))))</f>
        <v>#N/A</v>
      </c>
      <c r="L26" s="147" t="s">
        <v>23</v>
      </c>
      <c r="M26" s="141">
        <v>750000</v>
      </c>
      <c r="N26" s="17">
        <v>170</v>
      </c>
      <c r="O26" s="18">
        <v>125</v>
      </c>
      <c r="P26" s="148" t="e">
        <f t="shared" ref="P26:P27" si="47">IF($G26="Esmeraldas",IF(N26&gt;1000,IF(O26=0,N26,O26)/M26*1.1,((H26*E26*(IF(O26=0,N26,O26)/100))+IF(I26&lt;H26,0,(I26-H26)*E26*IF(O26=0,N26,O26)/100*F26))/M26*1.1),IF(N26&gt;1000,IF(O26=0,N26,O26)/M26,((H26*E26*(IF(O26=0,N26,O26)/100))+IF(I26&lt;H26,0,(I26-H26)*E26*IF(O26=0,N26,O26)/100*F26)))/M26)</f>
        <v>#N/A</v>
      </c>
      <c r="Q26" s="2"/>
      <c r="R26" s="138">
        <f>INDEX('[2]Flat Rates 2023'!$A:$DZ,MATCH(T26,'[2]Flat Rates 2023'!$A:$A,0),MATCH(X26,'[2]Flat Rates 2023'!$A$1:$DZ$1,0))</f>
        <v>25.45</v>
      </c>
      <c r="S26" s="138">
        <f>INDEX(Control!$E$17:$O$21,MATCH(W26,Control!$E$17:$E$21,0),MATCH(T26,Control!$E$17:$O$17,0))</f>
        <v>0.5</v>
      </c>
      <c r="T26" s="138" t="s">
        <v>63</v>
      </c>
      <c r="U26" s="116">
        <f>INDEX(Vessel_Minimum_MT,MATCH(W26,Control!$E$11:$E$15,0),MATCH(T26,Control!$E$11:$O$11,0))</f>
        <v>145000</v>
      </c>
      <c r="V26" s="140">
        <f>Z26/$BD$17</f>
        <v>135145.45194508007</v>
      </c>
      <c r="W26" s="147" t="s">
        <v>24</v>
      </c>
      <c r="X26" s="164" t="s">
        <v>100</v>
      </c>
      <c r="Y26" s="142" t="str">
        <f>IF(X26=T26,"",CONCATENATE(CONCATENATE(VLOOKUP(T26,Zones,2,FALSE),"/",VLOOKUP(X26,Zones,2,FALSE))))</f>
        <v>Panama WC/KOREA</v>
      </c>
      <c r="Z26" s="141">
        <v>1050000</v>
      </c>
      <c r="AA26" s="141">
        <v>3750000</v>
      </c>
      <c r="AB26" s="151"/>
      <c r="AC26" s="148">
        <f t="shared" ref="AC26:AC27" si="48">IF(AA26&gt;1000,IF(AB26=0,AA26,AB26)/Z26,((U26*R26*(IF(AB26=0,AA26,AB26)/100))+IF(V26&lt;U26,0,(V26-U26)*R26*IF(AB26=0,AA26,AB26)/100*S26))/Z26)</f>
        <v>3.5714285714285716</v>
      </c>
      <c r="AD26" s="144">
        <v>2</v>
      </c>
      <c r="AE26" s="155">
        <f>IF(INDEX(Index,MATCH(X26,TVM_PortList,0),MATCH("Type",Control!$Q$3:$U$3,0))="BL",INDEX(Index,MATCH(X26,TVM_PortList,0),MATCH("Payment",Control!$Q$3:$U$3,0))-INDEX(Index,MATCH(T26,TVM_PortList,0),MATCH("Payment",Control!$Q$3:$U$3,0)),AW26+INDEX(Index,MATCH(X26,TVM_PortList,0),MATCH("Payment",Control!$Q$3:$U$3,0))-INDEX(Index,MATCH(T26,TVM_PortList,0),MATCH("Payment",Control!$Q$3:$U$3,0)))</f>
        <v>41</v>
      </c>
      <c r="AF26" s="143">
        <f>AD26*VLOOKUP($W26,$BF$9:$BH$13,3,FALSE)/$Z26</f>
        <v>4.3809523809523812E-2</v>
      </c>
      <c r="AG26" s="143">
        <f t="shared" ref="AG26:AG27" si="49">IF(AE26&lt;0,0,$AE26*$BD$11)</f>
        <v>0.47178082191780818</v>
      </c>
      <c r="AH26" s="143">
        <f>INDEX(Lightering,MATCH($T26,Control!$AB$3:$AB$100,0),MATCH(MOLO!$W26,Control!$AB$3:$AF$3,0))*($Z26/$BD$18)*$BH$15/$Z26</f>
        <v>0</v>
      </c>
      <c r="AI26" s="143">
        <f>IF(G26="Corpus Christi",$BD$10,0)</f>
        <v>0</v>
      </c>
      <c r="AJ26" s="143">
        <v>0</v>
      </c>
      <c r="AK26" s="143">
        <f t="shared" ref="AK26:AK27" si="50">$BD$12</f>
        <v>5.0000000000000001E-3</v>
      </c>
      <c r="AL26" s="143">
        <f t="shared" ref="AL26:AL27" si="51">$BD$13</f>
        <v>6.7299999999999999E-2</v>
      </c>
      <c r="AM26" s="143">
        <f>IF(INDEX(Control!$Q$3:$S$62,MATCH($X26,Control!$Q$3:$Q$62,0),MATCH(AM$8,Control!$Q$3:$S$3,0))=1,$BD$14*$BE$14,0)</f>
        <v>0.24</v>
      </c>
      <c r="AN26" s="143" t="e">
        <f>IF(INDEX(Control!$Q$3:$S$62,MATCH($X26,Control!$Q$3:$Q$62,0),MATCH(AN$8,Control!$Q$3:$S$3,0))=1,$BD$15/$Z26,0)</f>
        <v>#N/A</v>
      </c>
      <c r="AO26" s="143">
        <f t="shared" ref="AO26:AO27" si="52">$BD$16</f>
        <v>0</v>
      </c>
      <c r="AP26" s="143">
        <f>IF(AND(J26="Chiriqui Grande",T26="Puerto Armuelles"),$BG$18,0)</f>
        <v>0.55000000000000004</v>
      </c>
      <c r="AQ26" s="149" t="e">
        <f t="shared" ref="AQ26:AQ27" si="53">SUM(AF26:AP26)</f>
        <v>#N/A</v>
      </c>
      <c r="AR26" s="149" t="e">
        <f>+P26+AC26+AQ26</f>
        <v>#N/A</v>
      </c>
      <c r="AS26" s="149" t="e">
        <f t="shared" ref="AS26:AS27" si="54">IF(MONTH(A26)=MONTH(AZ26),0,IF(MONTH(AZ26)-MONTH(A26)&gt;1,VLOOKUP("Spreads",$AR$3:$AU$4,MATCH(EOMONTH(AZ26,0),$AR$3:$AU$3,0),FALSE)+VLOOKUP("Spreads",$AR$3:$AU$4,MATCH(EOMONTH(AZ26,-1),$AR$3:$AU$3,0),FALSE),VLOOKUP("Spreads",$AR$3:$AU$4,MATCH(EOMONTH(AZ26,0),$AR$3:$AU$3,0))))</f>
        <v>#N/A</v>
      </c>
      <c r="AT26" s="149">
        <f t="shared" ref="AT26:AT27" si="55">+IF($AQ$6=1,HLOOKUP(EOMONTH(AZ26,0),$AS$3:$AU$6,4,FALSE),IF($AQ$6=2,-HLOOKUP(EOMONTH(AZ26,0),$AS$3:$AU$6,3,FALSE),0))</f>
        <v>0</v>
      </c>
      <c r="AU26" s="261" t="e">
        <f>$L$3+AR26+AS26+AT26</f>
        <v>#N/A</v>
      </c>
      <c r="AW26" s="153">
        <f>INDEX('[1]Transit Time'!$A:$DZ,MATCH(G26,'[1]Transit Time'!$A:$A,0),MATCH(J26,'[1]Transit Time'!$A$1:$DZ$1,0))+INDEX('[1]Transit Time'!$A:$DZ,MATCH(J26,'[1]Transit Time'!$A:$A,0),MATCH(T26,'[1]Transit Time'!$A$1:$DZ$1,0))+INDEX('[1]Transit Time'!$A:$DZ,MATCH(T26,'[1]Transit Time'!$A:$A,0),MATCH(X26,'[1]Transit Time'!$A$1:$DZ$1,0))</f>
        <v>46</v>
      </c>
      <c r="AY26" s="163">
        <f>IF(ISBLANK(A26),"",A26+$AW26)</f>
        <v>44851</v>
      </c>
      <c r="AZ26" s="163">
        <f>IFERROR(IF(ISBLANK(B26),"",B26+$AW26),"")</f>
        <v>44853</v>
      </c>
      <c r="BC26" s="361"/>
    </row>
    <row r="27" spans="1:63" ht="16" thickBot="1" x14ac:dyDescent="0.4">
      <c r="A27" s="230">
        <f t="shared" si="22"/>
        <v>44805</v>
      </c>
      <c r="B27" s="230">
        <f t="shared" si="23"/>
        <v>44807</v>
      </c>
      <c r="D27" s="211"/>
      <c r="E27" s="212">
        <f>INDEX('[2]Flat Rates 2023'!$A:$DB,MATCH(G27,'[2]Flat Rates 2023'!$A:$A,0),MATCH(J27,'[2]Flat Rates 2023'!$A$1:$DB$1,0))</f>
        <v>6.78</v>
      </c>
      <c r="F27" s="212" t="e">
        <f>INDEX(Control!$E$17:$O$21,MATCH(L27,Control!$E$17:$E$21,0),MATCH(G27,Control!$E$17:$O$17,0))</f>
        <v>#N/A</v>
      </c>
      <c r="G27" s="212" t="s">
        <v>134</v>
      </c>
      <c r="H27" s="213" t="e">
        <f>INDEX(Vessel_Minimum_MT,MATCH(L27,Control!$E$11:$E$15,0),MATCH(G27,Control!$E$11:$O$11,0))</f>
        <v>#N/A</v>
      </c>
      <c r="I27" s="214">
        <f>M27/$BD$17</f>
        <v>96532.465675057203</v>
      </c>
      <c r="J27" s="212" t="s">
        <v>55</v>
      </c>
      <c r="K27" s="212" t="e">
        <f t="shared" si="46"/>
        <v>#N/A</v>
      </c>
      <c r="L27" s="215" t="s">
        <v>23</v>
      </c>
      <c r="M27" s="214">
        <v>750000</v>
      </c>
      <c r="N27" s="217">
        <v>170</v>
      </c>
      <c r="O27" s="218">
        <v>125</v>
      </c>
      <c r="P27" s="219" t="e">
        <f t="shared" si="47"/>
        <v>#N/A</v>
      </c>
      <c r="Q27" s="2"/>
      <c r="R27" s="138">
        <f>INDEX('[2]Flat Rates 2023'!$A:$DZ,MATCH(T27,'[2]Flat Rates 2023'!$A:$A,0),MATCH(X27,'[2]Flat Rates 2023'!$A$1:$DZ$1,0))</f>
        <v>25.45</v>
      </c>
      <c r="S27" s="220">
        <f>INDEX(Control!$E$17:$O$21,MATCH(W27,Control!$E$17:$E$21,0),MATCH(T27,Control!$E$17:$O$17,0))</f>
        <v>0.5</v>
      </c>
      <c r="T27" s="220" t="s">
        <v>63</v>
      </c>
      <c r="U27" s="213">
        <f>INDEX(Vessel_Minimum_MT,MATCH(W27,Control!$E$11:$E$15,0),MATCH(T27,Control!$E$11:$O$11,0))</f>
        <v>270000</v>
      </c>
      <c r="V27" s="222">
        <f>Z27/$BD$17</f>
        <v>257419.90846681921</v>
      </c>
      <c r="W27" s="215" t="s">
        <v>25</v>
      </c>
      <c r="X27" s="223" t="s">
        <v>100</v>
      </c>
      <c r="Y27" s="212" t="str">
        <f>IF(X27=T27,"",CONCATENATE(CONCATENATE(VLOOKUP(T27,Zones,2,FALSE),"/",VLOOKUP(X27,Zones,2,FALSE))))</f>
        <v>Panama WC/KOREA</v>
      </c>
      <c r="Z27" s="214">
        <v>2000000</v>
      </c>
      <c r="AA27" s="214">
        <v>1001</v>
      </c>
      <c r="AB27" s="224">
        <v>2800000</v>
      </c>
      <c r="AC27" s="225">
        <f t="shared" si="48"/>
        <v>1.4</v>
      </c>
      <c r="AD27" s="226">
        <v>2</v>
      </c>
      <c r="AE27" s="214">
        <f>IF(INDEX(Index,MATCH(X27,TVM_PortList,0),MATCH("Type",Control!$Q$3:$U$3,0))="BL",INDEX(Index,MATCH(X27,TVM_PortList,0),MATCH("Payment",Control!$Q$3:$U$3,0))-INDEX(Index,MATCH(T27,TVM_PortList,0),MATCH("Payment",Control!$Q$3:$U$3,0)),AW27+INDEX(Index,MATCH(X27,TVM_PortList,0),MATCH("Payment",Control!$Q$3:$U$3,0))-INDEX(Index,MATCH(T27,TVM_PortList,0),MATCH("Payment",Control!$Q$3:$U$3,0)))</f>
        <v>41</v>
      </c>
      <c r="AF27" s="227">
        <f>AD27*VLOOKUP($W27,$BF$9:$BH$13,3,FALSE)/$Z27</f>
        <v>3.3000000000000002E-2</v>
      </c>
      <c r="AG27" s="227">
        <f t="shared" si="49"/>
        <v>0.47178082191780818</v>
      </c>
      <c r="AH27" s="227">
        <f>INDEX(Lightering,MATCH($T27,Control!$AB$3:$AB$100,0),MATCH(MOLO!$W27,Control!$AB$3:$AF$3,0))*($Z27/$BD$18)*$BH$15/$Z27</f>
        <v>0</v>
      </c>
      <c r="AI27" s="227">
        <f>IF(G27="Corpus Christi",$BD$10,0)</f>
        <v>0</v>
      </c>
      <c r="AJ27" s="227">
        <v>0</v>
      </c>
      <c r="AK27" s="227">
        <f t="shared" si="50"/>
        <v>5.0000000000000001E-3</v>
      </c>
      <c r="AL27" s="227">
        <f t="shared" si="51"/>
        <v>6.7299999999999999E-2</v>
      </c>
      <c r="AM27" s="227">
        <f>IF(INDEX(Control!$Q$3:$S$62,MATCH($X27,Control!$Q$3:$Q$62,0),MATCH(AM$8,Control!$Q$3:$S$3,0))=1,$BD$14*$BE$14,0)</f>
        <v>0.24</v>
      </c>
      <c r="AN27" s="227" t="e">
        <f>IF(INDEX(Control!$Q$3:$S$62,MATCH($X27,Control!$Q$3:$Q$62,0),MATCH(AN$8,Control!$Q$3:$S$3,0))=1,$BD$15/$Z27,0)</f>
        <v>#N/A</v>
      </c>
      <c r="AO27" s="227">
        <f t="shared" si="52"/>
        <v>0</v>
      </c>
      <c r="AP27" s="227">
        <f>IF(AND(J27="Chiriqui Grande",T27="Puerto Armuelles"),$BG$18,0)</f>
        <v>0.55000000000000004</v>
      </c>
      <c r="AQ27" s="225" t="e">
        <f t="shared" si="53"/>
        <v>#N/A</v>
      </c>
      <c r="AR27" s="225" t="e">
        <f>+P27+AC27+AQ27</f>
        <v>#N/A</v>
      </c>
      <c r="AS27" s="225" t="e">
        <f t="shared" si="54"/>
        <v>#N/A</v>
      </c>
      <c r="AT27" s="225">
        <f t="shared" si="55"/>
        <v>0</v>
      </c>
      <c r="AU27" s="135" t="e">
        <f>$L$3+AR27+AS27+AT27</f>
        <v>#N/A</v>
      </c>
      <c r="AV27" s="220"/>
      <c r="AW27" s="229">
        <f>INDEX('[1]Transit Time'!$A:$DZ,MATCH(G27,'[1]Transit Time'!$A:$A,0),MATCH(J27,'[1]Transit Time'!$A$1:$DZ$1,0))+INDEX('[1]Transit Time'!$A:$DZ,MATCH(J27,'[1]Transit Time'!$A:$A,0),MATCH(T27,'[1]Transit Time'!$A$1:$DZ$1,0))+INDEX('[1]Transit Time'!$A:$DZ,MATCH(T27,'[1]Transit Time'!$A:$A,0),MATCH(X27,'[1]Transit Time'!$A$1:$DZ$1,0))</f>
        <v>46</v>
      </c>
      <c r="AX27" s="220"/>
      <c r="AY27" s="230">
        <f>IF(ISBLANK(A27),"",A27+$AW27)</f>
        <v>44851</v>
      </c>
      <c r="AZ27" s="230">
        <f>IFERROR(IF(ISBLANK(B27),"",B27+$AW27),"")</f>
        <v>44853</v>
      </c>
      <c r="BB27"/>
      <c r="BC27"/>
      <c r="BD27"/>
      <c r="BE27"/>
      <c r="BF27"/>
      <c r="BG27"/>
      <c r="BH27"/>
      <c r="BI27"/>
      <c r="BJ27"/>
      <c r="BK27"/>
    </row>
    <row r="28" spans="1:63" ht="17.25" customHeight="1" thickBot="1" x14ac:dyDescent="0.5">
      <c r="A28"/>
      <c r="B28"/>
      <c r="D28" s="1069"/>
      <c r="E28" s="1070"/>
      <c r="F28" s="1070"/>
      <c r="G28" s="1070"/>
      <c r="H28" s="1070"/>
      <c r="I28" s="1070"/>
      <c r="J28" s="1070"/>
      <c r="K28" s="1070"/>
      <c r="L28" s="1070"/>
      <c r="M28" s="1070"/>
      <c r="N28" s="1070"/>
      <c r="O28" s="1070"/>
      <c r="P28" s="1071"/>
      <c r="Q28" s="2"/>
      <c r="R28" s="9"/>
      <c r="S28" s="9"/>
      <c r="T28" s="9"/>
      <c r="U28" s="129"/>
      <c r="V28" s="9"/>
      <c r="W28" s="1069" t="s">
        <v>168</v>
      </c>
      <c r="X28" s="1070"/>
      <c r="Y28" s="1070"/>
      <c r="Z28" s="1070"/>
      <c r="AA28" s="1070"/>
      <c r="AB28" s="1070"/>
      <c r="AC28" s="1070"/>
      <c r="AD28" s="1070"/>
      <c r="AE28" s="1070"/>
      <c r="AF28" s="1070"/>
      <c r="AG28" s="1070"/>
      <c r="AH28" s="1070"/>
      <c r="AI28" s="1070"/>
      <c r="AJ28" s="1070"/>
      <c r="AK28" s="1070"/>
      <c r="AL28" s="1070"/>
      <c r="AM28" s="1070"/>
      <c r="AN28" s="1070"/>
      <c r="AO28" s="1070"/>
      <c r="AP28" s="1070"/>
      <c r="AQ28" s="1070"/>
      <c r="AR28" s="1070"/>
      <c r="AS28" s="1070"/>
      <c r="AT28" s="1070"/>
      <c r="AU28" s="1071"/>
      <c r="AW28"/>
      <c r="AY28"/>
      <c r="AZ28"/>
      <c r="BB28"/>
      <c r="BC28" s="76"/>
      <c r="BD28"/>
      <c r="BE28"/>
      <c r="BF28"/>
      <c r="BG28"/>
      <c r="BH28"/>
      <c r="BI28"/>
      <c r="BJ28"/>
      <c r="BK28"/>
    </row>
    <row r="29" spans="1:63" ht="29.5" customHeight="1" thickBot="1" x14ac:dyDescent="0.4">
      <c r="A29" s="1005" t="s">
        <v>167</v>
      </c>
      <c r="B29" s="1005"/>
      <c r="D29" s="120" t="s">
        <v>276</v>
      </c>
      <c r="E29" s="152" t="s">
        <v>172</v>
      </c>
      <c r="F29" s="152" t="s">
        <v>2</v>
      </c>
      <c r="G29" s="152" t="s">
        <v>173</v>
      </c>
      <c r="H29" s="152" t="s">
        <v>174</v>
      </c>
      <c r="I29" s="125" t="s">
        <v>175</v>
      </c>
      <c r="J29" s="152" t="s">
        <v>177</v>
      </c>
      <c r="K29" s="152" t="s">
        <v>178</v>
      </c>
      <c r="L29" s="122" t="s">
        <v>176</v>
      </c>
      <c r="M29" s="120" t="s">
        <v>200</v>
      </c>
      <c r="N29" s="120" t="s">
        <v>277</v>
      </c>
      <c r="O29" s="121" t="s">
        <v>202</v>
      </c>
      <c r="P29" s="123" t="s">
        <v>278</v>
      </c>
      <c r="Q29" s="2"/>
      <c r="R29" s="120" t="s">
        <v>172</v>
      </c>
      <c r="S29" s="120" t="e">
        <f>INDEX(Control!$E$17:$J$21,MATCH(W29,Control!$E$17:$E$21,0),MATCH(T29,Control!$E$17:$J$17,0))</f>
        <v>#N/A</v>
      </c>
      <c r="T29" s="120" t="s">
        <v>173</v>
      </c>
      <c r="U29" s="152" t="str">
        <f>$U$8</f>
        <v>Vessel MT</v>
      </c>
      <c r="V29" s="120" t="s">
        <v>175</v>
      </c>
      <c r="W29" s="120" t="s">
        <v>176</v>
      </c>
      <c r="X29" s="120" t="s">
        <v>177</v>
      </c>
      <c r="Y29" s="120" t="s">
        <v>178</v>
      </c>
      <c r="Z29" s="120" t="s">
        <v>200</v>
      </c>
      <c r="AA29" s="146" t="s">
        <v>201</v>
      </c>
      <c r="AB29" s="128" t="s">
        <v>202</v>
      </c>
      <c r="AC29" s="150" t="s">
        <v>182</v>
      </c>
      <c r="AD29" s="136" t="s">
        <v>137</v>
      </c>
      <c r="AE29" s="146" t="s">
        <v>281</v>
      </c>
      <c r="AF29" s="136" t="s">
        <v>184</v>
      </c>
      <c r="AG29" s="136" t="s">
        <v>140</v>
      </c>
      <c r="AH29" s="136" t="str">
        <f>AH25</f>
        <v>STS</v>
      </c>
      <c r="AI29" s="136" t="s">
        <v>186</v>
      </c>
      <c r="AJ29" s="136" t="s">
        <v>187</v>
      </c>
      <c r="AK29" s="136" t="s">
        <v>141</v>
      </c>
      <c r="AL29" s="136" t="s">
        <v>188</v>
      </c>
      <c r="AM29" s="136" t="s">
        <v>17</v>
      </c>
      <c r="AN29" s="136" t="s">
        <v>207</v>
      </c>
      <c r="AO29" s="136" t="s">
        <v>189</v>
      </c>
      <c r="AP29" s="136" t="s">
        <v>152</v>
      </c>
      <c r="AQ29" s="150" t="s">
        <v>208</v>
      </c>
      <c r="AR29" s="150" t="s">
        <v>209</v>
      </c>
      <c r="AS29" s="150" t="s">
        <v>210</v>
      </c>
      <c r="AT29" s="150" t="str">
        <f>AT25</f>
        <v>Basis</v>
      </c>
      <c r="AU29" s="137" t="s">
        <v>211</v>
      </c>
      <c r="AW29" s="137" t="s">
        <v>195</v>
      </c>
      <c r="AY29" s="1011" t="s">
        <v>196</v>
      </c>
      <c r="AZ29" s="1005"/>
      <c r="BB29"/>
      <c r="BC29"/>
      <c r="BD29"/>
      <c r="BE29"/>
      <c r="BF29"/>
      <c r="BG29"/>
      <c r="BH29"/>
      <c r="BI29"/>
      <c r="BJ29"/>
      <c r="BK29"/>
    </row>
    <row r="30" spans="1:63" ht="16" thickBot="1" x14ac:dyDescent="0.4">
      <c r="A30" s="163">
        <f t="shared" ref="A30:A39" si="56">+$A$9</f>
        <v>44805</v>
      </c>
      <c r="B30" s="163">
        <f t="shared" ref="B30:B39" si="57">IF(ISBLANK(A30),"",A30+2)</f>
        <v>44807</v>
      </c>
      <c r="D30" s="170"/>
      <c r="E30" s="171">
        <f>IF(G30=J30,0,INDEX('[2]Flat Rates 2023'!$A:$DB,MATCH(G30,'[2]Flat Rates 2023'!$A:$A,0),MATCH(J30,'[2]Flat Rates 2023'!$A$1:$DB$1,0)))</f>
        <v>0</v>
      </c>
      <c r="F30" s="171" t="e">
        <f>INDEX(Control!$E$17:$O$21,MATCH(L30,Control!$E$17:$E$21,0),MATCH(G30,Control!$E$17:$O$17,0))</f>
        <v>#N/A</v>
      </c>
      <c r="G30" s="171" t="s">
        <v>134</v>
      </c>
      <c r="H30" s="172" t="e">
        <f>INDEX(Vessel_Minimum_MT,MATCH(L30,Control!$E$11:$E$15,0),MATCH(G30,Control!$E$11:$O$11,0))</f>
        <v>#N/A</v>
      </c>
      <c r="I30" s="172">
        <f t="shared" ref="I30:I39" si="58">M30/$BD$17</f>
        <v>90096.96796338672</v>
      </c>
      <c r="J30" s="173" t="s">
        <v>45</v>
      </c>
      <c r="K30" s="171" t="e">
        <f t="shared" ref="K30:K39" si="59">IF(J30=G30,"",CONCATENATE(CONCATENATE(VLOOKUP(G30,Zones,2,FALSE),"/",VLOOKUP(J30,Zones,2,FALSE))))</f>
        <v>#N/A</v>
      </c>
      <c r="L30" s="174" t="s">
        <v>23</v>
      </c>
      <c r="M30" s="175">
        <v>700000</v>
      </c>
      <c r="N30" s="176">
        <v>0</v>
      </c>
      <c r="O30" s="177">
        <v>0</v>
      </c>
      <c r="P30" s="178" t="e">
        <f t="shared" ref="P30:P39" si="60">IF($G30="Esmeraldas",IF(N30&gt;1000,IF(O30=0,N30,O30)/M30*1.1,((H30*E30*(IF(O30=0,N30,O30)/100))+IF(I30&lt;H30,0,(I30-H30)*E30*IF(O30=0,N30,O30)/100*F30))/M30*1.1),IF(N30&gt;1000,IF(O30=0,N30,O30)/M30,((H30*E30*(IF(O30=0,N30,O30)/100))+IF(I30&lt;H30,0,(I30-H30)*E30*IF(O30=0,N30,O30)/100*F30)))/M30)</f>
        <v>#N/A</v>
      </c>
      <c r="Q30" s="2"/>
      <c r="R30" s="138">
        <f>INDEX('[2]Flat Rates 2023'!$A:$DZ,MATCH(T30,'[2]Flat Rates 2023'!$A:$A,0),MATCH(X30,'[2]Flat Rates 2023'!$A$1:$DZ$1,0))</f>
        <v>0</v>
      </c>
      <c r="S30" s="138" t="e">
        <f>INDEX(Control!$E$17:$O$21,MATCH(W30,Control!$E$17:$E$21,0),MATCH(T30,Control!$E$17:$O$17,0))</f>
        <v>#N/A</v>
      </c>
      <c r="T30" s="138" t="s">
        <v>134</v>
      </c>
      <c r="U30" s="116" t="e">
        <f>INDEX(Vessel_Minimum_MT,MATCH(W30,Control!$E$11:$E$15,0),MATCH(T30,Control!$E$11:$O$11,0))</f>
        <v>#N/A</v>
      </c>
      <c r="V30" s="140">
        <f t="shared" ref="V30:V39" si="61">Z30/$BD$17</f>
        <v>96532.465675057203</v>
      </c>
      <c r="W30" s="147" t="s">
        <v>23</v>
      </c>
      <c r="X30" s="164" t="s">
        <v>106</v>
      </c>
      <c r="Y30" s="142" t="e">
        <f t="shared" ref="Y30:Y39" si="62">IF(X30=T30,"",CONCATENATE(CONCATENATE(VLOOKUP(T30,Zones,2,FALSE),"/",VLOOKUP(X30,Zones,2,FALSE))))</f>
        <v>#N/A</v>
      </c>
      <c r="Z30" s="141">
        <v>750000</v>
      </c>
      <c r="AA30" s="141">
        <v>1001</v>
      </c>
      <c r="AB30" s="151">
        <v>2600000</v>
      </c>
      <c r="AC30" s="148">
        <f t="shared" ref="AC30:AC39" si="63">IF(AA30&gt;1000,IF(AB30=0,AA30,AB30)/Z30,((U30*R30*(IF(AB30=0,AA30,AB30)/100))+IF(V30&lt;U30,0,(V30-U30)*R30*IF(AB30=0,AA30,AB30)/100*S30))/Z30)</f>
        <v>3.4666666666666668</v>
      </c>
      <c r="AD30" s="144"/>
      <c r="AE30" s="155" t="e">
        <f>IF(INDEX(Index,MATCH(X30,TVM_PortList,0),MATCH("Type",Control!$Q$3:$U$3,0))="BL",INDEX(Index,MATCH(X30,TVM_PortList,0),MATCH("Payment",Control!$Q$3:$U$3,0))-INDEX(Index,MATCH(T30,TVM_PortList,0),MATCH("Payment",Control!$Q$3:$U$3,0)),AW30+INDEX(Index,MATCH(X30,TVM_PortList,0),MATCH("Payment",Control!$Q$3:$U$3,0))-INDEX(Index,MATCH(T30,TVM_PortList,0),MATCH("Payment",Control!$Q$3:$U$3,0)))</f>
        <v>#N/A</v>
      </c>
      <c r="AF30" s="143">
        <f t="shared" ref="AF30:AF39" si="64">AD30*VLOOKUP($W30,$BF$9:$BH$13,3,FALSE)/$Z30</f>
        <v>0</v>
      </c>
      <c r="AG30" s="143" t="e">
        <f t="shared" ref="AG30:AG39" si="65">IF(AE30&lt;0,0,$AE30*$BD$11)</f>
        <v>#N/A</v>
      </c>
      <c r="AH30" s="143">
        <f>INDEX(Lightering,MATCH($T30,Control!$AB$3:$AB$100,0),MATCH(MOLO!$W30,Control!$AB$3:$AF$3,0))*($Z30/$BD$18)*$BH$15/$Z30</f>
        <v>0</v>
      </c>
      <c r="AI30" s="143">
        <f t="shared" ref="AI30:AI39" si="66">IF(G30="Corpus Christi",$BD$10,0)</f>
        <v>0</v>
      </c>
      <c r="AJ30" s="143">
        <v>0</v>
      </c>
      <c r="AK30" s="143">
        <f t="shared" ref="AK30:AK39" si="67">$BD$12</f>
        <v>5.0000000000000001E-3</v>
      </c>
      <c r="AL30" s="143">
        <f t="shared" ref="AL30:AL39" si="68">$BD$13</f>
        <v>6.7299999999999999E-2</v>
      </c>
      <c r="AM30" s="143">
        <f>IF(INDEX(Control!$Q$3:$S$62,MATCH($X30,Control!$Q$3:$Q$62,0),MATCH(AM$8,Control!$Q$3:$S$3,0))=1,$BD$14*$BE$14,0)</f>
        <v>0.24</v>
      </c>
      <c r="AN30" s="143" t="e">
        <f>IF(INDEX(Control!$Q$3:$S$62,MATCH($X30,Control!$Q$3:$Q$62,0),MATCH(AN$8,Control!$Q$3:$S$3,0))=1,$BD$15/$Z30,0)</f>
        <v>#N/A</v>
      </c>
      <c r="AO30" s="143">
        <f t="shared" ref="AO30:AO39" si="69">$BD$16</f>
        <v>0</v>
      </c>
      <c r="AP30" s="143">
        <f t="shared" ref="AP30:AP39" si="70">IF(AND(J30="Chiriqui Grande",T30="Puerto Armuelles"),$BG$18,0)</f>
        <v>0</v>
      </c>
      <c r="AQ30" s="149" t="e">
        <f t="shared" ref="AQ30:AQ35" si="71">SUM(AF30:AP30)</f>
        <v>#N/A</v>
      </c>
      <c r="AR30" s="149" t="e">
        <f t="shared" ref="AR30:AR39" si="72">+P30+AC30+AQ30</f>
        <v>#N/A</v>
      </c>
      <c r="AS30" s="149"/>
      <c r="AT30" s="149">
        <f>+IF($AQ$6=1,HLOOKUP(EOMONTH(AZ30,0),$AS$3:$AU$6,4,FALSE),IF($AQ$6=2,-HLOOKUP(EOMONTH(AZ30,0),$AS$3:$AU$6,3,FALSE),0))</f>
        <v>0</v>
      </c>
      <c r="AU30" s="110" t="e">
        <f t="shared" ref="AU30:AU39" si="73">$L$3+AR30+AS30+AT30</f>
        <v>#N/A</v>
      </c>
      <c r="AW30" s="153">
        <v>39</v>
      </c>
      <c r="AY30" s="163">
        <f t="shared" ref="AY30:AY39" si="74">IF(ISBLANK(A30),"",A30+$AW30)</f>
        <v>44844</v>
      </c>
      <c r="AZ30" s="389">
        <v>44620</v>
      </c>
      <c r="BB30"/>
      <c r="BC30" s="308"/>
      <c r="BD30" s="308"/>
      <c r="BE30"/>
      <c r="BF30"/>
      <c r="BG30"/>
      <c r="BH30"/>
      <c r="BI30"/>
      <c r="BJ30"/>
      <c r="BK30"/>
    </row>
    <row r="31" spans="1:63" x14ac:dyDescent="0.35">
      <c r="A31" s="230">
        <f t="shared" si="56"/>
        <v>44805</v>
      </c>
      <c r="B31" s="230">
        <f t="shared" si="57"/>
        <v>44807</v>
      </c>
      <c r="D31" s="232"/>
      <c r="E31" s="233">
        <f>IF(G31=J31,0,INDEX('[2]Flat Rates 2023'!$A:$DB,MATCH(G31,'[2]Flat Rates 2023'!$A:$A,0),MATCH(J31,'[2]Flat Rates 2023'!$A$1:$DB$1,0)))</f>
        <v>0</v>
      </c>
      <c r="F31" s="233" t="e">
        <f>INDEX(Control!$E$17:$O$21,MATCH(L31,Control!$E$17:$E$21,0),MATCH(G31,Control!$E$17:$O$17,0))</f>
        <v>#N/A</v>
      </c>
      <c r="G31" s="233" t="s">
        <v>134</v>
      </c>
      <c r="H31" s="234" t="e">
        <f>INDEX(Vessel_Minimum_MT,MATCH(L31,Control!$E$11:$E$15,0),MATCH(G31,Control!$E$11:$O$11,0))</f>
        <v>#N/A</v>
      </c>
      <c r="I31" s="235">
        <f t="shared" si="58"/>
        <v>90096.96796338672</v>
      </c>
      <c r="J31" s="233" t="s">
        <v>45</v>
      </c>
      <c r="K31" s="233" t="e">
        <f t="shared" si="59"/>
        <v>#N/A</v>
      </c>
      <c r="L31" s="236" t="s">
        <v>23</v>
      </c>
      <c r="M31" s="235">
        <v>700000</v>
      </c>
      <c r="N31" s="237">
        <v>0</v>
      </c>
      <c r="O31" s="238">
        <v>0</v>
      </c>
      <c r="P31" s="239" t="e">
        <f t="shared" si="60"/>
        <v>#N/A</v>
      </c>
      <c r="Q31" s="2"/>
      <c r="R31" s="138">
        <f>INDEX('[2]Flat Rates 2023'!$A:$DZ,MATCH(T31,'[2]Flat Rates 2023'!$A:$A,0),MATCH(X31,'[2]Flat Rates 2023'!$A$1:$DZ$1,0))</f>
        <v>0</v>
      </c>
      <c r="S31" s="220" t="e">
        <f>INDEX(Control!$E$17:$O$21,MATCH(W31,Control!$E$17:$E$21,0),MATCH(T31,Control!$E$17:$O$17,0))</f>
        <v>#N/A</v>
      </c>
      <c r="T31" s="220" t="s">
        <v>134</v>
      </c>
      <c r="U31" s="213" t="e">
        <f>INDEX(Vessel_Minimum_MT,MATCH(W31,Control!$E$11:$E$15,0),MATCH(T31,Control!$E$11:$O$11,0))</f>
        <v>#N/A</v>
      </c>
      <c r="V31" s="222">
        <f t="shared" si="61"/>
        <v>263855.40617848968</v>
      </c>
      <c r="W31" s="215" t="s">
        <v>25</v>
      </c>
      <c r="X31" s="223" t="s">
        <v>100</v>
      </c>
      <c r="Y31" s="212" t="e">
        <f t="shared" si="62"/>
        <v>#N/A</v>
      </c>
      <c r="Z31" s="214">
        <f>$Z$35</f>
        <v>2050000</v>
      </c>
      <c r="AA31" s="214">
        <v>1001</v>
      </c>
      <c r="AB31" s="224">
        <f>AB35</f>
        <v>5000000</v>
      </c>
      <c r="AC31" s="225">
        <f t="shared" si="63"/>
        <v>2.4390243902439024</v>
      </c>
      <c r="AD31" s="226">
        <v>5</v>
      </c>
      <c r="AE31" s="214" t="e">
        <f>IF(INDEX(Index,MATCH(X31,TVM_PortList,0),MATCH("Type",Control!$Q$3:$U$3,0))="BL",INDEX(Index,MATCH(X31,TVM_PortList,0),MATCH("Payment",Control!$Q$3:$U$3,0))-INDEX(Index,MATCH(T31,TVM_PortList,0),MATCH("Payment",Control!$Q$3:$U$3,0)),AW31+INDEX(Index,MATCH(X31,TVM_PortList,0),MATCH("Payment",Control!$Q$3:$U$3,0))-INDEX(Index,MATCH(T31,TVM_PortList,0),MATCH("Payment",Control!$Q$3:$U$3,0)))</f>
        <v>#N/A</v>
      </c>
      <c r="AF31" s="227">
        <f t="shared" si="64"/>
        <v>8.0487804878048783E-2</v>
      </c>
      <c r="AG31" s="227" t="e">
        <f t="shared" si="65"/>
        <v>#N/A</v>
      </c>
      <c r="AH31" s="227">
        <f>INDEX(Lightering,MATCH($T31,Control!$AB$3:$AB$100,0),MATCH(MOLO!$W31,Control!$AB$3:$AF$3,0))*($Z31/$BD$18)*$BH$15/$Z31</f>
        <v>0</v>
      </c>
      <c r="AI31" s="227">
        <f t="shared" si="66"/>
        <v>0</v>
      </c>
      <c r="AJ31" s="227">
        <v>0</v>
      </c>
      <c r="AK31" s="227">
        <f t="shared" si="67"/>
        <v>5.0000000000000001E-3</v>
      </c>
      <c r="AL31" s="227">
        <f t="shared" si="68"/>
        <v>6.7299999999999999E-2</v>
      </c>
      <c r="AM31" s="227">
        <f>IF(INDEX(Control!$Q$3:$S$62,MATCH($X31,Control!$Q$3:$Q$62,0),MATCH(AM$8,Control!$Q$3:$S$3,0))=1,$BD$14*$BE$14,0)</f>
        <v>0.24</v>
      </c>
      <c r="AN31" s="227" t="e">
        <f>IF(INDEX(Control!$Q$3:$S$62,MATCH($X31,Control!$Q$3:$Q$62,0),MATCH(AN$8,Control!$Q$3:$S$3,0))=1,$BD$15/$Z31,0)</f>
        <v>#N/A</v>
      </c>
      <c r="AO31" s="227">
        <f t="shared" si="69"/>
        <v>0</v>
      </c>
      <c r="AP31" s="227">
        <f t="shared" si="70"/>
        <v>0</v>
      </c>
      <c r="AQ31" s="225" t="e">
        <f t="shared" si="71"/>
        <v>#N/A</v>
      </c>
      <c r="AR31" s="225" t="e">
        <f t="shared" si="72"/>
        <v>#N/A</v>
      </c>
      <c r="AS31" s="225">
        <f t="shared" ref="AS31:AS39" si="75">IF(MONTH(A31)=MONTH(AZ31),0,IF(MONTH(AZ31)-MONTH(A31)&gt;1,VLOOKUP("Spreads",$AR$3:$AU$4,MATCH(EOMONTH(AZ31,0),$AR$3:$AU$3,0),FALSE)+VLOOKUP("Spreads",$AR$3:$AU$4,MATCH(EOMONTH(AZ31,-1),$AR$3:$AU$3,0),FALSE),VLOOKUP("Spreads",$AR$3:$AU$4,MATCH(EOMONTH(AZ31,0),$AR$3:$AU$3,0))))</f>
        <v>0</v>
      </c>
      <c r="AT31" s="225">
        <f t="shared" ref="AT31:AT39" si="76">+IF($AQ$6=1,HLOOKUP(EOMONTH(AZ31,0),$AS$3:$AU$6,4,FALSE),IF($AQ$6=2,-HLOOKUP(EOMONTH(AZ31,0),$AS$3:$AU$6,3,FALSE),0))</f>
        <v>0</v>
      </c>
      <c r="AU31" s="135" t="e">
        <f t="shared" si="73"/>
        <v>#N/A</v>
      </c>
      <c r="AV31" s="220"/>
      <c r="AW31" s="229">
        <f>INDEX('[1]Transit Time'!$A:$DZ,MATCH(G31,'[1]Transit Time'!$A:$A,0),MATCH(J31,'[1]Transit Time'!$A$1:$DZ$1,0))+INDEX('[1]Transit Time'!$A:$DZ,MATCH(J31,'[1]Transit Time'!$A:$A,0),MATCH(T31,'[1]Transit Time'!$A$1:$DZ$1,0))+INDEX('[1]Transit Time'!$A:$DZ,MATCH(T31,'[1]Transit Time'!$A:$A,0),MATCH(X31,'[1]Transit Time'!$A$1:$DZ$1,0))</f>
        <v>0</v>
      </c>
      <c r="AX31" s="220"/>
      <c r="AY31" s="230">
        <f t="shared" si="74"/>
        <v>44805</v>
      </c>
      <c r="AZ31" s="209">
        <f t="shared" ref="AZ31:AZ39" si="77">IFERROR(IF(ISBLANK(B31),"",B31+$AW31),"")</f>
        <v>44807</v>
      </c>
      <c r="BB31"/>
      <c r="BC31" s="308"/>
      <c r="BD31" s="308"/>
      <c r="BE31"/>
      <c r="BF31"/>
      <c r="BG31"/>
      <c r="BH31"/>
      <c r="BI31"/>
      <c r="BJ31"/>
      <c r="BK31"/>
    </row>
    <row r="32" spans="1:63" x14ac:dyDescent="0.35">
      <c r="A32" s="163">
        <f t="shared" si="56"/>
        <v>44805</v>
      </c>
      <c r="B32" s="163">
        <f t="shared" si="57"/>
        <v>44807</v>
      </c>
      <c r="D32" s="170"/>
      <c r="E32" s="173">
        <f>IF(G32=J32,0,INDEX('[2]Flat Rates 2023'!$A:$DB,MATCH(G32,'[2]Flat Rates 2023'!$A:$A,0),MATCH(J32,'[2]Flat Rates 2023'!$A$1:$DB$1,0)))</f>
        <v>0</v>
      </c>
      <c r="F32" s="173" t="e">
        <f>INDEX(Control!$E$17:$O$21,MATCH(L32,Control!$E$17:$E$21,0),MATCH(G32,Control!$E$17:$O$17,0))</f>
        <v>#N/A</v>
      </c>
      <c r="G32" s="173" t="str">
        <f t="shared" ref="G32:G39" si="78">$G$9</f>
        <v>Trinidad</v>
      </c>
      <c r="H32" s="172" t="e">
        <f>INDEX(Vessel_Minimum_MT,MATCH(L32,Control!$E$11:$E$15,0),MATCH(G32,Control!$E$11:$O$11,0))</f>
        <v>#N/A</v>
      </c>
      <c r="I32" s="175">
        <f t="shared" si="58"/>
        <v>90096.96796338672</v>
      </c>
      <c r="J32" s="173" t="s">
        <v>45</v>
      </c>
      <c r="K32" s="173" t="e">
        <f t="shared" si="59"/>
        <v>#N/A</v>
      </c>
      <c r="L32" s="174" t="s">
        <v>23</v>
      </c>
      <c r="M32" s="175">
        <v>700000</v>
      </c>
      <c r="N32" s="179">
        <v>0</v>
      </c>
      <c r="O32" s="180">
        <v>0</v>
      </c>
      <c r="P32" s="178" t="e">
        <f t="shared" si="60"/>
        <v>#N/A</v>
      </c>
      <c r="Q32" s="2"/>
      <c r="R32" s="138">
        <f>INDEX('[2]Flat Rates 2023'!$A:$DZ,MATCH(T32,'[2]Flat Rates 2023'!$A:$A,0),MATCH(X32,'[2]Flat Rates 2023'!$A$1:$DZ$1,0))</f>
        <v>0</v>
      </c>
      <c r="S32" s="138" t="e">
        <f>INDEX(Control!$E$17:$O$21,MATCH(W32,Control!$E$17:$E$21,0),MATCH(T32,Control!$E$17:$O$17,0))</f>
        <v>#N/A</v>
      </c>
      <c r="T32" s="138" t="s">
        <v>134</v>
      </c>
      <c r="U32" s="116" t="e">
        <f>INDEX(Vessel_Minimum_MT,MATCH(W32,Control!$E$11:$E$15,0),MATCH(T32,Control!$E$11:$O$11,0))</f>
        <v>#N/A</v>
      </c>
      <c r="V32" s="140">
        <f t="shared" si="61"/>
        <v>128709.9542334096</v>
      </c>
      <c r="W32" s="147" t="s">
        <v>24</v>
      </c>
      <c r="X32" s="164" t="s">
        <v>51</v>
      </c>
      <c r="Y32" s="142" t="e">
        <f t="shared" si="62"/>
        <v>#N/A</v>
      </c>
      <c r="Z32" s="141">
        <v>1000000</v>
      </c>
      <c r="AA32" s="141">
        <v>1001</v>
      </c>
      <c r="AB32" s="49">
        <f>AB34</f>
        <v>3500000</v>
      </c>
      <c r="AC32" s="149">
        <f t="shared" si="63"/>
        <v>3.5</v>
      </c>
      <c r="AD32" s="144">
        <v>5</v>
      </c>
      <c r="AE32" s="141" t="e">
        <f>IF(INDEX(Index,MATCH(X32,TVM_PortList,0),MATCH("Type",Control!$Q$3:$U$3,0))="BL",INDEX(Index,MATCH(X32,TVM_PortList,0),MATCH("Payment",Control!$Q$3:$U$3,0))-INDEX(Index,MATCH(T32,TVM_PortList,0),MATCH("Payment",Control!$Q$3:$U$3,0)),AW32+INDEX(Index,MATCH(X32,TVM_PortList,0),MATCH("Payment",Control!$Q$3:$U$3,0))-INDEX(Index,MATCH(T32,TVM_PortList,0),MATCH("Payment",Control!$Q$3:$U$3,0)))</f>
        <v>#N/A</v>
      </c>
      <c r="AF32" s="143">
        <f t="shared" si="64"/>
        <v>0.115</v>
      </c>
      <c r="AG32" s="143" t="e">
        <f t="shared" si="65"/>
        <v>#N/A</v>
      </c>
      <c r="AH32" s="143">
        <f>INDEX(Lightering,MATCH($T32,Control!$AB$3:$AB$100,0),MATCH(MOLO!$W32,Control!$AB$3:$AF$3,0))*($Z32/$BD$18)*$BH$15/$Z32</f>
        <v>0</v>
      </c>
      <c r="AI32" s="143">
        <f t="shared" si="66"/>
        <v>0</v>
      </c>
      <c r="AJ32" s="143">
        <v>0</v>
      </c>
      <c r="AK32" s="143">
        <f t="shared" si="67"/>
        <v>5.0000000000000001E-3</v>
      </c>
      <c r="AL32" s="143">
        <f t="shared" si="68"/>
        <v>6.7299999999999999E-2</v>
      </c>
      <c r="AM32" s="143">
        <f>IF(INDEX(Control!$Q$3:$S$62,MATCH($X32,Control!$Q$3:$Q$62,0),MATCH(AM$8,Control!$Q$3:$S$3,0))=1,$BD$14*$BE$14,0)</f>
        <v>0.24</v>
      </c>
      <c r="AN32" s="143" t="e">
        <f>IF(INDEX(Control!$Q$3:$S$62,MATCH($X32,Control!$Q$3:$Q$62,0),MATCH(AN$8,Control!$Q$3:$S$3,0))=1,$BD$15/$Z32,0)</f>
        <v>#N/A</v>
      </c>
      <c r="AO32" s="143">
        <f t="shared" si="69"/>
        <v>0</v>
      </c>
      <c r="AP32" s="143">
        <f t="shared" si="70"/>
        <v>0</v>
      </c>
      <c r="AQ32" s="149" t="e">
        <f t="shared" si="71"/>
        <v>#N/A</v>
      </c>
      <c r="AR32" s="200" t="e">
        <f t="shared" si="72"/>
        <v>#N/A</v>
      </c>
      <c r="AS32" s="149">
        <f t="shared" si="75"/>
        <v>0</v>
      </c>
      <c r="AT32" s="149">
        <f t="shared" si="76"/>
        <v>0</v>
      </c>
      <c r="AU32" s="145" t="e">
        <f t="shared" si="73"/>
        <v>#N/A</v>
      </c>
      <c r="AW32" s="153">
        <f>INDEX('[1]Transit Time'!$A:$DZ,MATCH(G32,'[1]Transit Time'!$A:$A,0),MATCH(J32,'[1]Transit Time'!$A$1:$DZ$1,0))+INDEX('[1]Transit Time'!$A:$DZ,MATCH(J32,'[1]Transit Time'!$A:$A,0),MATCH(T32,'[1]Transit Time'!$A$1:$DZ$1,0))+INDEX('[1]Transit Time'!$A:$DZ,MATCH(T32,'[1]Transit Time'!$A:$A,0),MATCH(X32,'[1]Transit Time'!$A$1:$DZ$1,0))</f>
        <v>0</v>
      </c>
      <c r="AY32" s="163">
        <f t="shared" si="74"/>
        <v>44805</v>
      </c>
      <c r="AZ32" s="163">
        <f t="shared" si="77"/>
        <v>44807</v>
      </c>
      <c r="BB32"/>
      <c r="BC32"/>
      <c r="BD32"/>
      <c r="BE32"/>
      <c r="BF32"/>
      <c r="BG32"/>
      <c r="BH32"/>
      <c r="BI32"/>
      <c r="BJ32"/>
      <c r="BK32"/>
    </row>
    <row r="33" spans="1:63" ht="16" thickBot="1" x14ac:dyDescent="0.4">
      <c r="A33" s="230">
        <f t="shared" si="56"/>
        <v>44805</v>
      </c>
      <c r="B33" s="230">
        <f t="shared" si="57"/>
        <v>44807</v>
      </c>
      <c r="D33" s="232"/>
      <c r="E33" s="233">
        <f>IF(G33=J33,0,INDEX('[2]Flat Rates 2023'!$A:$DB,MATCH(G33,'[2]Flat Rates 2023'!$A:$A,0),MATCH(J33,'[2]Flat Rates 2023'!$A$1:$DB$1,0)))</f>
        <v>0</v>
      </c>
      <c r="F33" s="233" t="e">
        <f>INDEX(Control!$E$17:$O$21,MATCH(L33,Control!$E$17:$E$21,0),MATCH(G33,Control!$E$17:$O$17,0))</f>
        <v>#N/A</v>
      </c>
      <c r="G33" s="233" t="str">
        <f t="shared" si="78"/>
        <v>Trinidad</v>
      </c>
      <c r="H33" s="234" t="e">
        <f>INDEX(Vessel_Minimum_MT,MATCH(L33,Control!$E$11:$E$15,0),MATCH(G33,Control!$E$11:$O$11,0))</f>
        <v>#N/A</v>
      </c>
      <c r="I33" s="235">
        <f t="shared" si="58"/>
        <v>90096.96796338672</v>
      </c>
      <c r="J33" s="233" t="s">
        <v>45</v>
      </c>
      <c r="K33" s="233" t="e">
        <f t="shared" si="59"/>
        <v>#N/A</v>
      </c>
      <c r="L33" s="236" t="s">
        <v>23</v>
      </c>
      <c r="M33" s="235">
        <v>700000</v>
      </c>
      <c r="N33" s="237">
        <v>0</v>
      </c>
      <c r="O33" s="238">
        <v>0</v>
      </c>
      <c r="P33" s="239" t="e">
        <f t="shared" si="60"/>
        <v>#N/A</v>
      </c>
      <c r="Q33" s="2"/>
      <c r="R33" s="138">
        <f>INDEX('[2]Flat Rates 2023'!$A:$DZ,MATCH(T33,'[2]Flat Rates 2023'!$A:$A,0),MATCH(X33,'[2]Flat Rates 2023'!$A$1:$DZ$1,0))</f>
        <v>0</v>
      </c>
      <c r="S33" s="220" t="e">
        <f>INDEX(Control!$E$17:$O$21,MATCH(W33,Control!$E$17:$E$21,0),MATCH(T33,Control!$E$17:$O$17,0))</f>
        <v>#N/A</v>
      </c>
      <c r="T33" s="220" t="s">
        <v>134</v>
      </c>
      <c r="U33" s="213" t="e">
        <f>INDEX(Vessel_Minimum_MT,MATCH(W33,Control!$E$11:$E$15,0),MATCH(T33,Control!$E$11:$O$11,0))</f>
        <v>#N/A</v>
      </c>
      <c r="V33" s="222">
        <f t="shared" si="61"/>
        <v>263855.40617848968</v>
      </c>
      <c r="W33" s="215" t="s">
        <v>25</v>
      </c>
      <c r="X33" s="223" t="s">
        <v>51</v>
      </c>
      <c r="Y33" s="212" t="e">
        <f t="shared" si="62"/>
        <v>#N/A</v>
      </c>
      <c r="Z33" s="214">
        <f>$Z$35</f>
        <v>2050000</v>
      </c>
      <c r="AA33" s="214">
        <v>1001</v>
      </c>
      <c r="AB33" s="264">
        <f>AB35</f>
        <v>5000000</v>
      </c>
      <c r="AC33" s="225">
        <f t="shared" si="63"/>
        <v>2.4390243902439024</v>
      </c>
      <c r="AD33" s="226">
        <v>5</v>
      </c>
      <c r="AE33" s="214" t="e">
        <f>IF(INDEX(Index,MATCH(X33,TVM_PortList,0),MATCH("Type",Control!$Q$3:$U$3,0))="BL",INDEX(Index,MATCH(X33,TVM_PortList,0),MATCH("Payment",Control!$Q$3:$U$3,0))-INDEX(Index,MATCH(T33,TVM_PortList,0),MATCH("Payment",Control!$Q$3:$U$3,0)),AW33+INDEX(Index,MATCH(X33,TVM_PortList,0),MATCH("Payment",Control!$Q$3:$U$3,0))-INDEX(Index,MATCH(T33,TVM_PortList,0),MATCH("Payment",Control!$Q$3:$U$3,0)))</f>
        <v>#N/A</v>
      </c>
      <c r="AF33" s="227">
        <f t="shared" si="64"/>
        <v>8.0487804878048783E-2</v>
      </c>
      <c r="AG33" s="227" t="e">
        <f t="shared" si="65"/>
        <v>#N/A</v>
      </c>
      <c r="AH33" s="227">
        <f>INDEX(Lightering,MATCH($T33,Control!$AB$3:$AB$100,0),MATCH(MOLO!$W33,Control!$AB$3:$AF$3,0))*($Z33/$BD$18)*$BH$15/$Z33</f>
        <v>0</v>
      </c>
      <c r="AI33" s="227">
        <f t="shared" si="66"/>
        <v>0</v>
      </c>
      <c r="AJ33" s="227">
        <v>0</v>
      </c>
      <c r="AK33" s="227">
        <f t="shared" si="67"/>
        <v>5.0000000000000001E-3</v>
      </c>
      <c r="AL33" s="227">
        <f t="shared" si="68"/>
        <v>6.7299999999999999E-2</v>
      </c>
      <c r="AM33" s="227">
        <f>IF(INDEX(Control!$Q$3:$S$62,MATCH($X33,Control!$Q$3:$Q$62,0),MATCH(AM$8,Control!$Q$3:$S$3,0))=1,$BD$14*$BE$14,0)</f>
        <v>0.24</v>
      </c>
      <c r="AN33" s="227" t="e">
        <f>IF(INDEX(Control!$Q$3:$S$62,MATCH($X33,Control!$Q$3:$Q$62,0),MATCH(AN$8,Control!$Q$3:$S$3,0))=1,$BD$15/$Z33,0)</f>
        <v>#N/A</v>
      </c>
      <c r="AO33" s="227">
        <f t="shared" si="69"/>
        <v>0</v>
      </c>
      <c r="AP33" s="227">
        <f t="shared" si="70"/>
        <v>0</v>
      </c>
      <c r="AQ33" s="225" t="e">
        <f t="shared" si="71"/>
        <v>#N/A</v>
      </c>
      <c r="AR33" s="225" t="e">
        <f t="shared" si="72"/>
        <v>#N/A</v>
      </c>
      <c r="AS33" s="225">
        <f t="shared" si="75"/>
        <v>0</v>
      </c>
      <c r="AT33" s="225">
        <f t="shared" si="76"/>
        <v>0</v>
      </c>
      <c r="AU33" s="135" t="e">
        <f t="shared" si="73"/>
        <v>#N/A</v>
      </c>
      <c r="AV33" s="220"/>
      <c r="AW33" s="229">
        <f>INDEX('[1]Transit Time'!$A:$DZ,MATCH(G33,'[1]Transit Time'!$A:$A,0),MATCH(J33,'[1]Transit Time'!$A$1:$DZ$1,0))+INDEX('[1]Transit Time'!$A:$DZ,MATCH(J33,'[1]Transit Time'!$A:$A,0),MATCH(T33,'[1]Transit Time'!$A$1:$DZ$1,0))+INDEX('[1]Transit Time'!$A:$DZ,MATCH(T33,'[1]Transit Time'!$A:$A,0),MATCH(X33,'[1]Transit Time'!$A$1:$DZ$1,0))</f>
        <v>0</v>
      </c>
      <c r="AX33" s="220"/>
      <c r="AY33" s="230">
        <f t="shared" si="74"/>
        <v>44805</v>
      </c>
      <c r="AZ33" s="230">
        <f t="shared" si="77"/>
        <v>44807</v>
      </c>
      <c r="BB33"/>
      <c r="BC33"/>
      <c r="BD33"/>
      <c r="BE33"/>
      <c r="BF33"/>
      <c r="BG33"/>
      <c r="BH33"/>
      <c r="BI33"/>
      <c r="BJ33"/>
      <c r="BK33"/>
    </row>
    <row r="34" spans="1:63" x14ac:dyDescent="0.35">
      <c r="A34" s="163">
        <f t="shared" si="56"/>
        <v>44805</v>
      </c>
      <c r="B34" s="163">
        <f t="shared" si="57"/>
        <v>44807</v>
      </c>
      <c r="D34" s="170"/>
      <c r="E34" s="173">
        <f>IF(G34=J34,0,INDEX('[2]Flat Rates 2023'!$A:$DB,MATCH(G34,'[2]Flat Rates 2023'!$A:$A,0),MATCH(J34,'[2]Flat Rates 2023'!$A$1:$DB$1,0)))</f>
        <v>0</v>
      </c>
      <c r="F34" s="173" t="e">
        <f>INDEX(Control!$E$17:$O$21,MATCH(L34,Control!$E$17:$E$21,0),MATCH(G34,Control!$E$17:$O$17,0))</f>
        <v>#N/A</v>
      </c>
      <c r="G34" s="173" t="str">
        <f t="shared" si="78"/>
        <v>Trinidad</v>
      </c>
      <c r="H34" s="172" t="e">
        <f>INDEX(Vessel_Minimum_MT,MATCH(L34,Control!$E$11:$E$15,0),MATCH(G34,Control!$E$11:$O$11,0))</f>
        <v>#N/A</v>
      </c>
      <c r="I34" s="175">
        <f t="shared" si="58"/>
        <v>90096.96796338672</v>
      </c>
      <c r="J34" s="173" t="s">
        <v>45</v>
      </c>
      <c r="K34" s="173" t="e">
        <f t="shared" si="59"/>
        <v>#N/A</v>
      </c>
      <c r="L34" s="174" t="s">
        <v>23</v>
      </c>
      <c r="M34" s="175">
        <v>700000</v>
      </c>
      <c r="N34" s="179">
        <v>0</v>
      </c>
      <c r="O34" s="180">
        <v>0</v>
      </c>
      <c r="P34" s="178" t="e">
        <f t="shared" si="60"/>
        <v>#N/A</v>
      </c>
      <c r="Q34" s="2"/>
      <c r="R34" s="138">
        <f>INDEX('[2]Flat Rates 2023'!$A:$DZ,MATCH(T34,'[2]Flat Rates 2023'!$A:$A,0),MATCH(X34,'[2]Flat Rates 2023'!$A$1:$DZ$1,0))</f>
        <v>0</v>
      </c>
      <c r="S34" s="138" t="e">
        <f>INDEX(Control!$E$17:$O$21,MATCH(W34,Control!$E$17:$E$21,0),MATCH(T34,Control!$E$17:$O$17,0))</f>
        <v>#N/A</v>
      </c>
      <c r="T34" s="138" t="s">
        <v>134</v>
      </c>
      <c r="U34" s="116" t="e">
        <f>INDEX(Vessel_Minimum_MT,MATCH(W34,Control!$E$11:$E$15,0),MATCH(T34,Control!$E$11:$O$11,0))</f>
        <v>#N/A</v>
      </c>
      <c r="V34" s="140">
        <f t="shared" si="61"/>
        <v>128709.9542334096</v>
      </c>
      <c r="W34" s="147" t="s">
        <v>24</v>
      </c>
      <c r="X34" s="164" t="s">
        <v>106</v>
      </c>
      <c r="Y34" s="142" t="e">
        <f t="shared" si="62"/>
        <v>#N/A</v>
      </c>
      <c r="Z34" s="15">
        <v>1000000</v>
      </c>
      <c r="AA34" s="141">
        <v>1001</v>
      </c>
      <c r="AB34" s="265">
        <v>3500000</v>
      </c>
      <c r="AC34" s="149">
        <f t="shared" si="63"/>
        <v>3.5</v>
      </c>
      <c r="AD34" s="28">
        <v>5</v>
      </c>
      <c r="AE34" s="141" t="e">
        <f>IF(INDEX(Index,MATCH(X34,TVM_PortList,0),MATCH("Type",Control!$Q$3:$U$3,0))="BL",INDEX(Index,MATCH(X34,TVM_PortList,0),MATCH("Payment",Control!$Q$3:$U$3,0))-INDEX(Index,MATCH(T34,TVM_PortList,0),MATCH("Payment",Control!$Q$3:$U$3,0)),AW34+INDEX(Index,MATCH(X34,TVM_PortList,0),MATCH("Payment",Control!$Q$3:$U$3,0))-INDEX(Index,MATCH(T34,TVM_PortList,0),MATCH("Payment",Control!$Q$3:$U$3,0)))</f>
        <v>#N/A</v>
      </c>
      <c r="AF34" s="143">
        <f t="shared" si="64"/>
        <v>0.115</v>
      </c>
      <c r="AG34" s="143" t="e">
        <f t="shared" si="65"/>
        <v>#N/A</v>
      </c>
      <c r="AH34" s="143">
        <f>INDEX(Lightering,MATCH($T34,Control!$AB$3:$AB$100,0),MATCH(MOLO!$W34,Control!$AB$3:$AF$3,0))*($Z34/$BD$18)*$BH$15/$Z34</f>
        <v>0</v>
      </c>
      <c r="AI34" s="143">
        <f t="shared" si="66"/>
        <v>0</v>
      </c>
      <c r="AJ34" s="143">
        <v>0</v>
      </c>
      <c r="AK34" s="143">
        <f t="shared" si="67"/>
        <v>5.0000000000000001E-3</v>
      </c>
      <c r="AL34" s="143">
        <f t="shared" si="68"/>
        <v>6.7299999999999999E-2</v>
      </c>
      <c r="AM34" s="143">
        <f>IF(INDEX(Control!$Q$3:$S$62,MATCH($X34,Control!$Q$3:$Q$62,0),MATCH(AM$8,Control!$Q$3:$S$3,0))=1,$BD$14*$BE$14,0)</f>
        <v>0.24</v>
      </c>
      <c r="AN34" s="143" t="e">
        <f>IF(INDEX(Control!$Q$3:$S$62,MATCH($X34,Control!$Q$3:$Q$62,0),MATCH(AN$8,Control!$Q$3:$S$3,0))=1,$BD$15/$Z34,0)</f>
        <v>#N/A</v>
      </c>
      <c r="AO34" s="143">
        <f t="shared" si="69"/>
        <v>0</v>
      </c>
      <c r="AP34" s="143">
        <f t="shared" si="70"/>
        <v>0</v>
      </c>
      <c r="AQ34" s="149" t="e">
        <f t="shared" si="71"/>
        <v>#N/A</v>
      </c>
      <c r="AR34" s="199" t="e">
        <f t="shared" si="72"/>
        <v>#N/A</v>
      </c>
      <c r="AS34" s="149">
        <f t="shared" si="75"/>
        <v>0</v>
      </c>
      <c r="AT34" s="149">
        <f t="shared" si="76"/>
        <v>0</v>
      </c>
      <c r="AU34" s="145" t="e">
        <f t="shared" si="73"/>
        <v>#N/A</v>
      </c>
      <c r="AW34" s="153">
        <f>INDEX('[1]Transit Time'!$A:$DZ,MATCH(G34,'[1]Transit Time'!$A:$A,0),MATCH(J34,'[1]Transit Time'!$A$1:$DZ$1,0))+INDEX('[1]Transit Time'!$A:$DZ,MATCH(J34,'[1]Transit Time'!$A:$A,0),MATCH(T34,'[1]Transit Time'!$A$1:$DZ$1,0))+INDEX('[1]Transit Time'!$A:$DZ,MATCH(T34,'[1]Transit Time'!$A:$A,0),MATCH(X34,'[1]Transit Time'!$A$1:$DZ$1,0))</f>
        <v>0</v>
      </c>
      <c r="AY34" s="163">
        <f t="shared" si="74"/>
        <v>44805</v>
      </c>
      <c r="AZ34" s="163">
        <f t="shared" si="77"/>
        <v>44807</v>
      </c>
      <c r="BB34"/>
      <c r="BC34"/>
      <c r="BD34"/>
      <c r="BE34"/>
      <c r="BF34"/>
      <c r="BG34"/>
      <c r="BH34"/>
      <c r="BI34"/>
      <c r="BJ34"/>
      <c r="BK34"/>
    </row>
    <row r="35" spans="1:63" ht="16" thickBot="1" x14ac:dyDescent="0.4">
      <c r="A35" s="230">
        <f t="shared" si="56"/>
        <v>44805</v>
      </c>
      <c r="B35" s="230">
        <f t="shared" si="57"/>
        <v>44807</v>
      </c>
      <c r="D35" s="232"/>
      <c r="E35" s="240">
        <f>IF(G35=J35,0,INDEX('[2]Flat Rates 2023'!$A:$DB,MATCH(G35,'[2]Flat Rates 2023'!$A:$A,0),MATCH(J35,'[2]Flat Rates 2023'!$A$1:$DB$1,0)))</f>
        <v>0</v>
      </c>
      <c r="F35" s="240" t="e">
        <f>INDEX(Control!$E$17:$O$21,MATCH(L35,Control!$E$17:$E$21,0),MATCH(G35,Control!$E$17:$O$17,0))</f>
        <v>#N/A</v>
      </c>
      <c r="G35" s="240" t="str">
        <f t="shared" si="78"/>
        <v>Trinidad</v>
      </c>
      <c r="H35" s="234" t="e">
        <f>INDEX(Vessel_Minimum_MT,MATCH(L35,Control!$E$11:$E$15,0),MATCH(G35,Control!$E$11:$O$11,0))</f>
        <v>#N/A</v>
      </c>
      <c r="I35" s="241">
        <f t="shared" si="58"/>
        <v>90096.96796338672</v>
      </c>
      <c r="J35" s="233" t="s">
        <v>45</v>
      </c>
      <c r="K35" s="240" t="e">
        <f t="shared" si="59"/>
        <v>#N/A</v>
      </c>
      <c r="L35" s="236" t="s">
        <v>23</v>
      </c>
      <c r="M35" s="235">
        <v>700000</v>
      </c>
      <c r="N35" s="242">
        <v>0</v>
      </c>
      <c r="O35" s="243">
        <v>0</v>
      </c>
      <c r="P35" s="239" t="e">
        <f t="shared" si="60"/>
        <v>#N/A</v>
      </c>
      <c r="Q35" s="2"/>
      <c r="R35" s="138">
        <f>INDEX('[2]Flat Rates 2023'!$A:$DZ,MATCH(T35,'[2]Flat Rates 2023'!$A:$A,0),MATCH(X35,'[2]Flat Rates 2023'!$A$1:$DZ$1,0))</f>
        <v>0</v>
      </c>
      <c r="S35" s="220" t="e">
        <f>INDEX(Control!$E$17:$O$21,MATCH(W35,Control!$E$17:$E$21,0),MATCH(T35,Control!$E$17:$O$17,0))</f>
        <v>#N/A</v>
      </c>
      <c r="T35" s="220" t="s">
        <v>134</v>
      </c>
      <c r="U35" s="213" t="e">
        <f>INDEX(Vessel_Minimum_MT,MATCH(W35,Control!$E$11:$E$15,0),MATCH(T35,Control!$E$11:$O$11,0))</f>
        <v>#N/A</v>
      </c>
      <c r="V35" s="222">
        <f t="shared" si="61"/>
        <v>263855.40617848968</v>
      </c>
      <c r="W35" s="215" t="s">
        <v>25</v>
      </c>
      <c r="X35" s="223" t="s">
        <v>106</v>
      </c>
      <c r="Y35" s="212" t="e">
        <f t="shared" si="62"/>
        <v>#N/A</v>
      </c>
      <c r="Z35" s="304">
        <v>2050000</v>
      </c>
      <c r="AA35" s="214">
        <v>1001</v>
      </c>
      <c r="AB35" s="266">
        <v>5000000</v>
      </c>
      <c r="AC35" s="225">
        <f t="shared" si="63"/>
        <v>2.4390243902439024</v>
      </c>
      <c r="AD35" s="306">
        <v>5</v>
      </c>
      <c r="AE35" s="214" t="e">
        <f>IF(INDEX(Index,MATCH(X35,TVM_PortList,0),MATCH("Type",Control!$Q$3:$U$3,0))="BL",INDEX(Index,MATCH(X35,TVM_PortList,0),MATCH("Payment",Control!$Q$3:$U$3,0))-INDEX(Index,MATCH(T35,TVM_PortList,0),MATCH("Payment",Control!$Q$3:$U$3,0)),AW35+INDEX(Index,MATCH(X35,TVM_PortList,0),MATCH("Payment",Control!$Q$3:$U$3,0))-INDEX(Index,MATCH(T35,TVM_PortList,0),MATCH("Payment",Control!$Q$3:$U$3,0)))</f>
        <v>#N/A</v>
      </c>
      <c r="AF35" s="227">
        <f t="shared" si="64"/>
        <v>8.0487804878048783E-2</v>
      </c>
      <c r="AG35" s="227" t="e">
        <f t="shared" si="65"/>
        <v>#N/A</v>
      </c>
      <c r="AH35" s="227">
        <f>INDEX(Lightering,MATCH($T35,Control!$AB$3:$AB$100,0),MATCH(MOLO!$W35,Control!$AB$3:$AF$3,0))*($Z35/$BD$18)*$BH$15/$Z35</f>
        <v>0</v>
      </c>
      <c r="AI35" s="227">
        <f t="shared" si="66"/>
        <v>0</v>
      </c>
      <c r="AJ35" s="227">
        <v>0</v>
      </c>
      <c r="AK35" s="227">
        <f t="shared" si="67"/>
        <v>5.0000000000000001E-3</v>
      </c>
      <c r="AL35" s="227">
        <f t="shared" si="68"/>
        <v>6.7299999999999999E-2</v>
      </c>
      <c r="AM35" s="227">
        <f>IF(INDEX(Control!$Q$3:$S$62,MATCH($X35,Control!$Q$3:$Q$62,0),MATCH(AM$8,Control!$Q$3:$S$3,0))=1,$BD$14*$BE$14,0)</f>
        <v>0.24</v>
      </c>
      <c r="AN35" s="227" t="e">
        <f>IF(INDEX(Control!$Q$3:$S$62,MATCH($X35,Control!$Q$3:$Q$62,0),MATCH(AN$8,Control!$Q$3:$S$3,0))=1,$BD$15/$Z35,0)</f>
        <v>#N/A</v>
      </c>
      <c r="AO35" s="227">
        <f t="shared" si="69"/>
        <v>0</v>
      </c>
      <c r="AP35" s="227">
        <f t="shared" si="70"/>
        <v>0</v>
      </c>
      <c r="AQ35" s="225" t="e">
        <f t="shared" si="71"/>
        <v>#N/A</v>
      </c>
      <c r="AR35" s="225" t="e">
        <f t="shared" si="72"/>
        <v>#N/A</v>
      </c>
      <c r="AS35" s="225">
        <f t="shared" si="75"/>
        <v>0</v>
      </c>
      <c r="AT35" s="225">
        <f t="shared" si="76"/>
        <v>0</v>
      </c>
      <c r="AU35" s="260" t="e">
        <f t="shared" si="73"/>
        <v>#N/A</v>
      </c>
      <c r="AV35" s="220"/>
      <c r="AW35" s="229">
        <f>INDEX('[1]Transit Time'!$A:$DZ,MATCH(G35,'[1]Transit Time'!$A:$A,0),MATCH(J35,'[1]Transit Time'!$A$1:$DZ$1,0))+INDEX('[1]Transit Time'!$A:$DZ,MATCH(J35,'[1]Transit Time'!$A:$A,0),MATCH(T35,'[1]Transit Time'!$A$1:$DZ$1,0))+INDEX('[1]Transit Time'!$A:$DZ,MATCH(T35,'[1]Transit Time'!$A:$A,0),MATCH(X35,'[1]Transit Time'!$A$1:$DZ$1,0))</f>
        <v>0</v>
      </c>
      <c r="AX35" s="220"/>
      <c r="AY35" s="230">
        <f t="shared" si="74"/>
        <v>44805</v>
      </c>
      <c r="AZ35" s="230">
        <f t="shared" si="77"/>
        <v>44807</v>
      </c>
      <c r="BB35"/>
      <c r="BC35"/>
      <c r="BD35"/>
      <c r="BE35"/>
      <c r="BF35"/>
      <c r="BG35"/>
      <c r="BH35"/>
      <c r="BI35"/>
      <c r="BJ35"/>
      <c r="BK35"/>
    </row>
    <row r="36" spans="1:63" x14ac:dyDescent="0.35">
      <c r="A36" s="163">
        <f t="shared" si="56"/>
        <v>44805</v>
      </c>
      <c r="B36" s="163">
        <f t="shared" si="57"/>
        <v>44807</v>
      </c>
      <c r="D36" s="170"/>
      <c r="E36" s="173">
        <f>IF(G36=J36,0,INDEX('[2]Flat Rates 2023'!$A:$DB,MATCH(G36,'[2]Flat Rates 2023'!$A:$A,0),MATCH(J36,'[2]Flat Rates 2023'!$A$1:$DB$1,0)))</f>
        <v>0</v>
      </c>
      <c r="F36" s="173" t="e">
        <f>INDEX(Control!$E$17:$O$21,MATCH(L36,Control!$E$17:$E$21,0),MATCH(G36,Control!$E$17:$O$17,0))</f>
        <v>#N/A</v>
      </c>
      <c r="G36" s="173" t="str">
        <f t="shared" si="78"/>
        <v>Trinidad</v>
      </c>
      <c r="H36" s="172" t="e">
        <f>INDEX(Vessel_Minimum_MT,MATCH(L36,Control!$E$11:$E$15,0),MATCH(G36,Control!$E$11:$O$11,0))</f>
        <v>#N/A</v>
      </c>
      <c r="I36" s="175">
        <f t="shared" si="58"/>
        <v>90096.96796338672</v>
      </c>
      <c r="J36" s="173" t="s">
        <v>45</v>
      </c>
      <c r="K36" s="173" t="e">
        <f t="shared" si="59"/>
        <v>#N/A</v>
      </c>
      <c r="L36" s="174" t="s">
        <v>23</v>
      </c>
      <c r="M36" s="175">
        <v>700000</v>
      </c>
      <c r="N36" s="179">
        <v>0</v>
      </c>
      <c r="O36" s="180">
        <v>0</v>
      </c>
      <c r="P36" s="178" t="e">
        <f t="shared" si="60"/>
        <v>#N/A</v>
      </c>
      <c r="Q36" s="2"/>
      <c r="R36" s="138">
        <f>INDEX('[2]Flat Rates 2023'!$A:$DZ,MATCH(T36,'[2]Flat Rates 2023'!$A:$A,0),MATCH(X36,'[2]Flat Rates 2023'!$A$1:$DZ$1,0))</f>
        <v>0</v>
      </c>
      <c r="S36" s="138" t="e">
        <f>INDEX(Control!$E$17:$O$21,MATCH(W36,Control!$E$17:$E$21,0),MATCH(T36,Control!$E$17:$O$17,0))</f>
        <v>#N/A</v>
      </c>
      <c r="T36" s="138" t="s">
        <v>134</v>
      </c>
      <c r="U36" s="116" t="e">
        <f>INDEX(Vessel_Minimum_MT,MATCH(W36,Control!$E$11:$E$15,0),MATCH(T36,Control!$E$11:$O$11,0))</f>
        <v>#N/A</v>
      </c>
      <c r="V36" s="140">
        <f t="shared" si="61"/>
        <v>128709.9542334096</v>
      </c>
      <c r="W36" s="147" t="s">
        <v>24</v>
      </c>
      <c r="X36" s="164" t="s">
        <v>114</v>
      </c>
      <c r="Y36" s="142" t="e">
        <f t="shared" si="62"/>
        <v>#N/A</v>
      </c>
      <c r="Z36" s="54">
        <v>1000000</v>
      </c>
      <c r="AA36" s="141">
        <v>1001</v>
      </c>
      <c r="AB36" s="202">
        <f>AB34-450000</f>
        <v>3050000</v>
      </c>
      <c r="AC36" s="149">
        <f t="shared" si="63"/>
        <v>3.05</v>
      </c>
      <c r="AD36" s="305">
        <v>5</v>
      </c>
      <c r="AE36" s="141" t="e">
        <f>IF(INDEX(Index,MATCH(X36,TVM_PortList,0),MATCH("Type",Control!$Q$3:$U$3,0))="BL",INDEX(Index,MATCH(X36,TVM_PortList,0),MATCH("Payment",Control!$Q$3:$U$3,0))-INDEX(Index,MATCH(T36,TVM_PortList,0),MATCH("Payment",Control!$Q$3:$U$3,0)),AW36+INDEX(Index,MATCH(X36,TVM_PortList,0),MATCH("Payment",Control!$Q$3:$U$3,0))-INDEX(Index,MATCH(T36,TVM_PortList,0),MATCH("Payment",Control!$Q$3:$U$3,0)))</f>
        <v>#N/A</v>
      </c>
      <c r="AF36" s="143">
        <f t="shared" si="64"/>
        <v>0.115</v>
      </c>
      <c r="AG36" s="143" t="e">
        <f t="shared" si="65"/>
        <v>#N/A</v>
      </c>
      <c r="AH36" s="143">
        <f>INDEX(Lightering,MATCH($T36,Control!$AB$3:$AB$100,0),MATCH(MOLO!$W36,Control!$AB$3:$AF$3,0))*($Z36/$BD$18)*$BH$15/$Z36</f>
        <v>0</v>
      </c>
      <c r="AI36" s="143">
        <f t="shared" si="66"/>
        <v>0</v>
      </c>
      <c r="AJ36" s="143">
        <v>0</v>
      </c>
      <c r="AK36" s="143">
        <f t="shared" si="67"/>
        <v>5.0000000000000001E-3</v>
      </c>
      <c r="AL36" s="143">
        <f t="shared" si="68"/>
        <v>6.7299999999999999E-2</v>
      </c>
      <c r="AM36" s="143">
        <f>IF(INDEX(Control!$Q$3:$S$62,MATCH($X36,Control!$Q$3:$Q$62,0),MATCH(AM$8,Control!$Q$3:$S$3,0))=1,$BD$14*$BE$14,0)</f>
        <v>0.24</v>
      </c>
      <c r="AN36" s="143" t="e">
        <f>IF(INDEX(Control!$Q$3:$S$62,MATCH($X36,Control!$Q$3:$Q$62,0),MATCH(AN$8,Control!$Q$3:$S$3,0))=1,$BD$15/$Z36,0)</f>
        <v>#N/A</v>
      </c>
      <c r="AO36" s="143">
        <f t="shared" si="69"/>
        <v>0</v>
      </c>
      <c r="AP36" s="143">
        <f t="shared" si="70"/>
        <v>0</v>
      </c>
      <c r="AQ36" s="149" t="e">
        <f t="shared" ref="AQ36:AQ38" si="79">SUM(AF36:AP36)</f>
        <v>#N/A</v>
      </c>
      <c r="AR36" s="199" t="e">
        <f t="shared" si="72"/>
        <v>#N/A</v>
      </c>
      <c r="AS36" s="149">
        <f t="shared" si="75"/>
        <v>0</v>
      </c>
      <c r="AT36" s="149">
        <f t="shared" si="76"/>
        <v>0</v>
      </c>
      <c r="AU36" s="145" t="e">
        <f t="shared" si="73"/>
        <v>#N/A</v>
      </c>
      <c r="AW36" s="153">
        <f>INDEX('[1]Transit Time'!$A:$DZ,MATCH(G36,'[1]Transit Time'!$A:$A,0),MATCH(J36,'[1]Transit Time'!$A$1:$DZ$1,0))+INDEX('[1]Transit Time'!$A:$DZ,MATCH(J36,'[1]Transit Time'!$A:$A,0),MATCH(T36,'[1]Transit Time'!$A$1:$DZ$1,0))+INDEX('[1]Transit Time'!$A:$DZ,MATCH(T36,'[1]Transit Time'!$A:$A,0),MATCH(X36,'[1]Transit Time'!$A$1:$DZ$1,0))</f>
        <v>0</v>
      </c>
      <c r="AY36" s="163">
        <f t="shared" si="74"/>
        <v>44805</v>
      </c>
      <c r="AZ36" s="163">
        <f t="shared" si="77"/>
        <v>44807</v>
      </c>
      <c r="BB36"/>
      <c r="BC36"/>
      <c r="BD36"/>
      <c r="BE36"/>
      <c r="BF36"/>
      <c r="BG36"/>
      <c r="BH36"/>
      <c r="BI36"/>
      <c r="BJ36"/>
      <c r="BK36"/>
    </row>
    <row r="37" spans="1:63" ht="16" thickBot="1" x14ac:dyDescent="0.4">
      <c r="A37" s="230">
        <f t="shared" si="56"/>
        <v>44805</v>
      </c>
      <c r="B37" s="230">
        <f t="shared" si="57"/>
        <v>44807</v>
      </c>
      <c r="D37" s="232"/>
      <c r="E37" s="240">
        <f>IF(G37=J37,0,INDEX('[2]Flat Rates 2023'!$A:$DB,MATCH(G37,'[2]Flat Rates 2023'!$A:$A,0),MATCH(J37,'[2]Flat Rates 2023'!$A$1:$DB$1,0)))</f>
        <v>0</v>
      </c>
      <c r="F37" s="240" t="e">
        <f>INDEX(Control!$E$17:$O$21,MATCH(L37,Control!$E$17:$E$21,0),MATCH(G37,Control!$E$17:$O$17,0))</f>
        <v>#N/A</v>
      </c>
      <c r="G37" s="240" t="str">
        <f t="shared" si="78"/>
        <v>Trinidad</v>
      </c>
      <c r="H37" s="234" t="e">
        <f>INDEX(Vessel_Minimum_MT,MATCH(L37,Control!$E$11:$E$15,0),MATCH(G37,Control!$E$11:$O$11,0))</f>
        <v>#N/A</v>
      </c>
      <c r="I37" s="241">
        <f t="shared" si="58"/>
        <v>90096.96796338672</v>
      </c>
      <c r="J37" s="233" t="s">
        <v>45</v>
      </c>
      <c r="K37" s="240" t="e">
        <f t="shared" si="59"/>
        <v>#N/A</v>
      </c>
      <c r="L37" s="236" t="s">
        <v>23</v>
      </c>
      <c r="M37" s="235">
        <v>700000</v>
      </c>
      <c r="N37" s="242">
        <v>0</v>
      </c>
      <c r="O37" s="243">
        <v>0</v>
      </c>
      <c r="P37" s="239" t="e">
        <f t="shared" si="60"/>
        <v>#N/A</v>
      </c>
      <c r="Q37" s="2"/>
      <c r="R37" s="138">
        <f>INDEX('[2]Flat Rates 2023'!$A:$DZ,MATCH(T37,'[2]Flat Rates 2023'!$A:$A,0),MATCH(X37,'[2]Flat Rates 2023'!$A$1:$DZ$1,0))</f>
        <v>0</v>
      </c>
      <c r="S37" s="220" t="e">
        <f>INDEX(Control!$E$17:$O$21,MATCH(W37,Control!$E$17:$E$21,0),MATCH(T37,Control!$E$17:$O$17,0))</f>
        <v>#N/A</v>
      </c>
      <c r="T37" s="220" t="s">
        <v>134</v>
      </c>
      <c r="U37" s="213" t="e">
        <f>INDEX(Vessel_Minimum_MT,MATCH(W37,Control!$E$11:$E$15,0),MATCH(T37,Control!$E$11:$O$11,0))</f>
        <v>#N/A</v>
      </c>
      <c r="V37" s="222">
        <f t="shared" si="61"/>
        <v>263855.40617848968</v>
      </c>
      <c r="W37" s="215" t="s">
        <v>25</v>
      </c>
      <c r="X37" s="223" t="s">
        <v>114</v>
      </c>
      <c r="Y37" s="212" t="e">
        <f t="shared" si="62"/>
        <v>#N/A</v>
      </c>
      <c r="Z37" s="214">
        <f>$Z$35</f>
        <v>2050000</v>
      </c>
      <c r="AA37" s="214">
        <v>1001</v>
      </c>
      <c r="AB37" s="224">
        <f>AB35-1000000</f>
        <v>4000000</v>
      </c>
      <c r="AC37" s="225">
        <f t="shared" si="63"/>
        <v>1.9512195121951219</v>
      </c>
      <c r="AD37" s="226">
        <v>6</v>
      </c>
      <c r="AE37" s="214" t="e">
        <f>IF(INDEX(Index,MATCH(X37,TVM_PortList,0),MATCH("Type",Control!$Q$3:$U$3,0))="BL",INDEX(Index,MATCH(X37,TVM_PortList,0),MATCH("Payment",Control!$Q$3:$U$3,0))-INDEX(Index,MATCH(T37,TVM_PortList,0),MATCH("Payment",Control!$Q$3:$U$3,0)),AW37+INDEX(Index,MATCH(X37,TVM_PortList,0),MATCH("Payment",Control!$Q$3:$U$3,0))-INDEX(Index,MATCH(T37,TVM_PortList,0),MATCH("Payment",Control!$Q$3:$U$3,0)))</f>
        <v>#N/A</v>
      </c>
      <c r="AF37" s="227">
        <f t="shared" si="64"/>
        <v>9.6585365853658539E-2</v>
      </c>
      <c r="AG37" s="227" t="e">
        <f t="shared" si="65"/>
        <v>#N/A</v>
      </c>
      <c r="AH37" s="227">
        <f>INDEX(Lightering,MATCH($T37,Control!$AB$3:$AB$100,0),MATCH(MOLO!$W37,Control!$AB$3:$AF$3,0))*($Z37/$BD$18)*$BH$15/$Z37</f>
        <v>0</v>
      </c>
      <c r="AI37" s="227">
        <f t="shared" si="66"/>
        <v>0</v>
      </c>
      <c r="AJ37" s="227">
        <v>0</v>
      </c>
      <c r="AK37" s="227">
        <f t="shared" si="67"/>
        <v>5.0000000000000001E-3</v>
      </c>
      <c r="AL37" s="227">
        <f t="shared" si="68"/>
        <v>6.7299999999999999E-2</v>
      </c>
      <c r="AM37" s="227">
        <f>IF(INDEX(Control!$Q$3:$S$62,MATCH($X37,Control!$Q$3:$Q$62,0),MATCH(AM$8,Control!$Q$3:$S$3,0))=1,$BD$14*$BE$14,0)</f>
        <v>0.24</v>
      </c>
      <c r="AN37" s="227" t="e">
        <f>IF(INDEX(Control!$Q$3:$S$62,MATCH($X37,Control!$Q$3:$Q$62,0),MATCH(AN$8,Control!$Q$3:$S$3,0))=1,$BD$15/$Z37,0)</f>
        <v>#N/A</v>
      </c>
      <c r="AO37" s="227">
        <f t="shared" si="69"/>
        <v>0</v>
      </c>
      <c r="AP37" s="227">
        <f t="shared" si="70"/>
        <v>0</v>
      </c>
      <c r="AQ37" s="225" t="e">
        <f t="shared" si="79"/>
        <v>#N/A</v>
      </c>
      <c r="AR37" s="225" t="e">
        <f t="shared" si="72"/>
        <v>#N/A</v>
      </c>
      <c r="AS37" s="225">
        <f t="shared" si="75"/>
        <v>0</v>
      </c>
      <c r="AT37" s="225">
        <f t="shared" si="76"/>
        <v>0</v>
      </c>
      <c r="AU37" s="260" t="e">
        <f t="shared" si="73"/>
        <v>#N/A</v>
      </c>
      <c r="AV37" s="220"/>
      <c r="AW37" s="229">
        <f>INDEX('[1]Transit Time'!$A:$DZ,MATCH(G37,'[1]Transit Time'!$A:$A,0),MATCH(J37,'[1]Transit Time'!$A$1:$DZ$1,0))+INDEX('[1]Transit Time'!$A:$DZ,MATCH(J37,'[1]Transit Time'!$A:$A,0),MATCH(T37,'[1]Transit Time'!$A$1:$DZ$1,0))+INDEX('[1]Transit Time'!$A:$DZ,MATCH(T37,'[1]Transit Time'!$A:$A,0),MATCH(X37,'[1]Transit Time'!$A$1:$DZ$1,0))</f>
        <v>0</v>
      </c>
      <c r="AX37" s="220"/>
      <c r="AY37" s="230">
        <f t="shared" si="74"/>
        <v>44805</v>
      </c>
      <c r="AZ37" s="380">
        <f t="shared" si="77"/>
        <v>44807</v>
      </c>
      <c r="BB37"/>
      <c r="BC37"/>
      <c r="BD37"/>
      <c r="BE37"/>
      <c r="BF37"/>
      <c r="BG37"/>
      <c r="BH37"/>
      <c r="BI37"/>
      <c r="BJ37"/>
      <c r="BK37"/>
    </row>
    <row r="38" spans="1:63" ht="16" thickBot="1" x14ac:dyDescent="0.4">
      <c r="A38" s="163">
        <f t="shared" si="56"/>
        <v>44805</v>
      </c>
      <c r="B38" s="163">
        <f t="shared" si="57"/>
        <v>44807</v>
      </c>
      <c r="D38" s="170"/>
      <c r="E38" s="173">
        <f>IF(G38=J38,0,INDEX('[2]Flat Rates 2023'!$A:$DB,MATCH(G38,'[2]Flat Rates 2023'!$A:$A,0),MATCH(J38,'[2]Flat Rates 2023'!$A$1:$DB$1,0)))</f>
        <v>0</v>
      </c>
      <c r="F38" s="173" t="e">
        <f>INDEX(Control!$E$17:$O$21,MATCH(L38,Control!$E$17:$E$21,0),MATCH(G38,Control!$E$17:$O$17,0))</f>
        <v>#N/A</v>
      </c>
      <c r="G38" s="173" t="str">
        <f t="shared" si="78"/>
        <v>Trinidad</v>
      </c>
      <c r="H38" s="172" t="e">
        <f>INDEX(Vessel_Minimum_MT,MATCH(L38,Control!$E$11:$E$15,0),MATCH(G38,Control!$E$11:$O$11,0))</f>
        <v>#N/A</v>
      </c>
      <c r="I38" s="175">
        <f t="shared" si="58"/>
        <v>90096.96796338672</v>
      </c>
      <c r="J38" s="173" t="s">
        <v>45</v>
      </c>
      <c r="K38" s="173" t="e">
        <f t="shared" si="59"/>
        <v>#N/A</v>
      </c>
      <c r="L38" s="174" t="s">
        <v>23</v>
      </c>
      <c r="M38" s="175">
        <v>700000</v>
      </c>
      <c r="N38" s="179">
        <v>0</v>
      </c>
      <c r="O38" s="180">
        <v>0</v>
      </c>
      <c r="P38" s="178" t="e">
        <f t="shared" si="60"/>
        <v>#N/A</v>
      </c>
      <c r="Q38" s="2"/>
      <c r="R38" s="138">
        <f>INDEX('[2]Flat Rates 2023'!$A:$DZ,MATCH(T38,'[2]Flat Rates 2023'!$A:$A,0),MATCH(X38,'[2]Flat Rates 2023'!$A$1:$DZ$1,0))</f>
        <v>0</v>
      </c>
      <c r="S38" s="138" t="e">
        <f>INDEX(Control!$E$17:$O$21,MATCH(W38,Control!$E$17:$E$21,0),MATCH(T38,Control!$E$17:$O$17,0))</f>
        <v>#N/A</v>
      </c>
      <c r="T38" s="138" t="s">
        <v>134</v>
      </c>
      <c r="U38" s="116" t="e">
        <f>INDEX(Vessel_Minimum_MT,MATCH(W38,Control!$E$11:$E$15,0),MATCH(T38,Control!$E$11:$O$11,0))</f>
        <v>#N/A</v>
      </c>
      <c r="V38" s="140">
        <f t="shared" si="61"/>
        <v>112621.2099542334</v>
      </c>
      <c r="W38" s="147" t="s">
        <v>24</v>
      </c>
      <c r="X38" s="164" t="s">
        <v>86</v>
      </c>
      <c r="Y38" s="142" t="e">
        <f t="shared" si="62"/>
        <v>#N/A</v>
      </c>
      <c r="Z38" s="141">
        <v>875000</v>
      </c>
      <c r="AA38" s="141">
        <v>1001</v>
      </c>
      <c r="AB38" s="151">
        <f>AB36-200000</f>
        <v>2850000</v>
      </c>
      <c r="AC38" s="149">
        <f t="shared" si="63"/>
        <v>3.2571428571428571</v>
      </c>
      <c r="AD38" s="144">
        <v>1</v>
      </c>
      <c r="AE38" s="141" t="e">
        <f>IF(INDEX(Index,MATCH(X38,TVM_PortList,0),MATCH("Type",Control!$Q$3:$U$3,0))="BL",INDEX(Index,MATCH(X38,TVM_PortList,0),MATCH("Payment",Control!$Q$3:$U$3,0))-INDEX(Index,MATCH(T38,TVM_PortList,0),MATCH("Payment",Control!$Q$3:$U$3,0)),AW38+INDEX(Index,MATCH(X38,TVM_PortList,0),MATCH("Payment",Control!$Q$3:$U$3,0))-INDEX(Index,MATCH(T38,TVM_PortList,0),MATCH("Payment",Control!$Q$3:$U$3,0)))</f>
        <v>#N/A</v>
      </c>
      <c r="AF38" s="143">
        <f t="shared" si="64"/>
        <v>2.6285714285714287E-2</v>
      </c>
      <c r="AG38" s="143" t="e">
        <f t="shared" si="65"/>
        <v>#N/A</v>
      </c>
      <c r="AH38" s="143">
        <f>INDEX(Lightering,MATCH($T38,Control!$AB$3:$AB$100,0),MATCH(MOLO!$W38,Control!$AB$3:$AF$3,0))*($Z38/$BD$18)*$BH$15/$Z38</f>
        <v>0</v>
      </c>
      <c r="AI38" s="143">
        <f t="shared" si="66"/>
        <v>0</v>
      </c>
      <c r="AJ38" s="143">
        <v>0</v>
      </c>
      <c r="AK38" s="143">
        <f t="shared" si="67"/>
        <v>5.0000000000000001E-3</v>
      </c>
      <c r="AL38" s="143">
        <f t="shared" si="68"/>
        <v>6.7299999999999999E-2</v>
      </c>
      <c r="AM38" s="143">
        <f>IF(INDEX(Control!$Q$3:$S$62,MATCH($X38,Control!$Q$3:$Q$62,0),MATCH(AM$8,Control!$Q$3:$S$3,0))=1,$BD$14*$BE$14,0)</f>
        <v>0.24</v>
      </c>
      <c r="AN38" s="143" t="e">
        <f>IF(INDEX(Control!$Q$3:$S$62,MATCH($X38,Control!$Q$3:$Q$62,0),MATCH(AN$8,Control!$Q$3:$S$3,0))=1,$BD$15/$Z38,0)</f>
        <v>#N/A</v>
      </c>
      <c r="AO38" s="143">
        <f t="shared" si="69"/>
        <v>0</v>
      </c>
      <c r="AP38" s="143">
        <f t="shared" si="70"/>
        <v>0</v>
      </c>
      <c r="AQ38" s="149" t="e">
        <f t="shared" si="79"/>
        <v>#N/A</v>
      </c>
      <c r="AR38" s="199" t="e">
        <f t="shared" si="72"/>
        <v>#N/A</v>
      </c>
      <c r="AS38" s="149">
        <f t="shared" si="75"/>
        <v>0</v>
      </c>
      <c r="AT38" s="149">
        <f t="shared" si="76"/>
        <v>0</v>
      </c>
      <c r="AU38" s="145" t="e">
        <f t="shared" si="73"/>
        <v>#N/A</v>
      </c>
      <c r="AW38" s="153">
        <f>INDEX('[1]Transit Time'!$A:$DZ,MATCH(G38,'[1]Transit Time'!$A:$A,0),MATCH(J38,'[1]Transit Time'!$A$1:$DZ$1,0))+INDEX('[1]Transit Time'!$A:$DZ,MATCH(J38,'[1]Transit Time'!$A:$A,0),MATCH(T38,'[1]Transit Time'!$A$1:$DZ$1,0))+INDEX('[1]Transit Time'!$A:$DZ,MATCH(T38,'[1]Transit Time'!$A:$A,0),MATCH(X38,'[1]Transit Time'!$A$1:$DZ$1,0))</f>
        <v>0</v>
      </c>
      <c r="AY38" s="163">
        <f t="shared" si="74"/>
        <v>44805</v>
      </c>
      <c r="AZ38" s="381">
        <f t="shared" si="77"/>
        <v>44807</v>
      </c>
      <c r="BB38"/>
      <c r="BC38"/>
      <c r="BD38"/>
      <c r="BE38"/>
      <c r="BF38"/>
      <c r="BG38"/>
      <c r="BH38"/>
      <c r="BI38"/>
      <c r="BJ38"/>
      <c r="BK38"/>
    </row>
    <row r="39" spans="1:63" ht="16" thickBot="1" x14ac:dyDescent="0.4">
      <c r="A39" s="230">
        <f t="shared" si="56"/>
        <v>44805</v>
      </c>
      <c r="B39" s="230">
        <f t="shared" si="57"/>
        <v>44807</v>
      </c>
      <c r="D39" s="232"/>
      <c r="E39" s="240">
        <f>IF(G39=J39,0,INDEX('[2]Flat Rates 2023'!$A:$DB,MATCH(G39,'[2]Flat Rates 2023'!$A:$A,0),MATCH(J39,'[2]Flat Rates 2023'!$A$1:$DB$1,0)))</f>
        <v>0</v>
      </c>
      <c r="F39" s="240" t="e">
        <f>INDEX(Control!$E$17:$O$21,MATCH(L39,Control!$E$17:$E$21,0),MATCH(G39,Control!$E$17:$O$17,0))</f>
        <v>#N/A</v>
      </c>
      <c r="G39" s="240" t="str">
        <f t="shared" si="78"/>
        <v>Trinidad</v>
      </c>
      <c r="H39" s="234" t="e">
        <f>INDEX(Vessel_Minimum_MT,MATCH(L39,Control!$E$11:$E$15,0),MATCH(G39,Control!$E$11:$O$11,0))</f>
        <v>#N/A</v>
      </c>
      <c r="I39" s="241">
        <f t="shared" si="58"/>
        <v>90096.96796338672</v>
      </c>
      <c r="J39" s="233" t="s">
        <v>45</v>
      </c>
      <c r="K39" s="240" t="e">
        <f t="shared" si="59"/>
        <v>#N/A</v>
      </c>
      <c r="L39" s="236" t="s">
        <v>23</v>
      </c>
      <c r="M39" s="235">
        <v>700000</v>
      </c>
      <c r="N39" s="242">
        <v>0</v>
      </c>
      <c r="O39" s="243">
        <v>0</v>
      </c>
      <c r="P39" s="239" t="e">
        <f t="shared" si="60"/>
        <v>#N/A</v>
      </c>
      <c r="Q39" s="2"/>
      <c r="R39" s="138">
        <f>INDEX('[2]Flat Rates 2023'!$A:$DZ,MATCH(T39,'[2]Flat Rates 2023'!$A:$A,0),MATCH(X39,'[2]Flat Rates 2023'!$A$1:$DZ$1,0))</f>
        <v>0</v>
      </c>
      <c r="S39" s="220" t="e">
        <f>INDEX(Control!$E$17:$O$21,MATCH(W39,Control!$E$17:$E$21,0),MATCH(T39,Control!$E$17:$O$17,0))</f>
        <v>#N/A</v>
      </c>
      <c r="T39" s="220" t="s">
        <v>134</v>
      </c>
      <c r="U39" s="213" t="e">
        <f>INDEX(Vessel_Minimum_MT,MATCH(W39,Control!$E$11:$E$15,0),MATCH(T39,Control!$E$11:$O$11,0))</f>
        <v>#N/A</v>
      </c>
      <c r="V39" s="222">
        <f t="shared" si="61"/>
        <v>263855.40617848968</v>
      </c>
      <c r="W39" s="215" t="s">
        <v>25</v>
      </c>
      <c r="X39" s="223" t="s">
        <v>86</v>
      </c>
      <c r="Y39" s="212" t="e">
        <f t="shared" si="62"/>
        <v>#N/A</v>
      </c>
      <c r="Z39" s="214">
        <f>$Z$35</f>
        <v>2050000</v>
      </c>
      <c r="AA39" s="214">
        <v>1001</v>
      </c>
      <c r="AB39" s="224">
        <f>AB37</f>
        <v>4000000</v>
      </c>
      <c r="AC39" s="225">
        <f t="shared" si="63"/>
        <v>1.9512195121951219</v>
      </c>
      <c r="AD39" s="226">
        <v>5</v>
      </c>
      <c r="AE39" s="214" t="e">
        <f>IF(INDEX(Index,MATCH(X39,TVM_PortList,0),MATCH("Type",Control!$Q$3:$U$3,0))="BL",INDEX(Index,MATCH(X39,TVM_PortList,0),MATCH("Payment",Control!$Q$3:$U$3,0))-INDEX(Index,MATCH(T39,TVM_PortList,0),MATCH("Payment",Control!$Q$3:$U$3,0)),AW39+INDEX(Index,MATCH(X39,TVM_PortList,0),MATCH("Payment",Control!$Q$3:$U$3,0))-INDEX(Index,MATCH(T39,TVM_PortList,0),MATCH("Payment",Control!$Q$3:$U$3,0)))</f>
        <v>#N/A</v>
      </c>
      <c r="AF39" s="227">
        <f t="shared" si="64"/>
        <v>8.0487804878048783E-2</v>
      </c>
      <c r="AG39" s="227" t="e">
        <f t="shared" si="65"/>
        <v>#N/A</v>
      </c>
      <c r="AH39" s="227">
        <f>INDEX(Lightering,MATCH($T39,Control!$AB$3:$AB$100,0),MATCH(MOLO!$W39,Control!$AB$3:$AF$3,0))*($Z39/$BD$18)*$BH$15/$Z39</f>
        <v>0</v>
      </c>
      <c r="AI39" s="227">
        <f t="shared" si="66"/>
        <v>0</v>
      </c>
      <c r="AJ39" s="227">
        <v>0</v>
      </c>
      <c r="AK39" s="227">
        <f t="shared" si="67"/>
        <v>5.0000000000000001E-3</v>
      </c>
      <c r="AL39" s="227">
        <f t="shared" si="68"/>
        <v>6.7299999999999999E-2</v>
      </c>
      <c r="AM39" s="227">
        <f>IF(INDEX(Control!$Q$3:$S$62,MATCH($X39,Control!$Q$3:$Q$62,0),MATCH(AM$8,Control!$Q$3:$S$3,0))=1,$BD$14*$BE$14,0)</f>
        <v>0.24</v>
      </c>
      <c r="AN39" s="227" t="e">
        <f>IF(INDEX(Control!$Q$3:$S$62,MATCH($X39,Control!$Q$3:$Q$62,0),MATCH(AN$8,Control!$Q$3:$S$3,0))=1,$BD$15/$Z39,0)</f>
        <v>#N/A</v>
      </c>
      <c r="AO39" s="227">
        <f t="shared" si="69"/>
        <v>0</v>
      </c>
      <c r="AP39" s="227">
        <f t="shared" si="70"/>
        <v>0</v>
      </c>
      <c r="AQ39" s="225" t="e">
        <f>SUM(AF39:AP39)</f>
        <v>#N/A</v>
      </c>
      <c r="AR39" s="225" t="e">
        <f t="shared" si="72"/>
        <v>#N/A</v>
      </c>
      <c r="AS39" s="225">
        <f t="shared" si="75"/>
        <v>0</v>
      </c>
      <c r="AT39" s="225">
        <f t="shared" si="76"/>
        <v>0</v>
      </c>
      <c r="AU39" s="260" t="e">
        <f t="shared" si="73"/>
        <v>#N/A</v>
      </c>
      <c r="AV39" s="220"/>
      <c r="AW39" s="229">
        <f>INDEX('[1]Transit Time'!$A:$DZ,MATCH(G39,'[1]Transit Time'!$A:$A,0),MATCH(J39,'[1]Transit Time'!$A$1:$DZ$1,0))+INDEX('[1]Transit Time'!$A:$DZ,MATCH(J39,'[1]Transit Time'!$A:$A,0),MATCH(T39,'[1]Transit Time'!$A$1:$DZ$1,0))+INDEX('[1]Transit Time'!$A:$DZ,MATCH(T39,'[1]Transit Time'!$A:$A,0),MATCH(X39,'[1]Transit Time'!$A$1:$DZ$1,0))</f>
        <v>0</v>
      </c>
      <c r="AX39" s="220"/>
      <c r="AY39" s="230">
        <f t="shared" si="74"/>
        <v>44805</v>
      </c>
      <c r="AZ39" s="209">
        <f t="shared" si="77"/>
        <v>44807</v>
      </c>
      <c r="BB39"/>
      <c r="BC39"/>
      <c r="BD39"/>
      <c r="BE39"/>
      <c r="BF39"/>
      <c r="BG39"/>
      <c r="BH39"/>
      <c r="BI39"/>
      <c r="BJ39"/>
      <c r="BK39"/>
    </row>
    <row r="40" spans="1:63" ht="21" customHeight="1" thickBot="1" x14ac:dyDescent="0.5">
      <c r="A40"/>
      <c r="B40"/>
      <c r="D40" s="1069"/>
      <c r="E40" s="1070"/>
      <c r="F40" s="1070"/>
      <c r="G40" s="1070"/>
      <c r="H40" s="1070"/>
      <c r="I40" s="1070"/>
      <c r="J40" s="1070"/>
      <c r="K40" s="1070"/>
      <c r="L40" s="1070"/>
      <c r="M40" s="1070"/>
      <c r="N40" s="1070"/>
      <c r="O40" s="1070"/>
      <c r="P40" s="1071"/>
      <c r="Q40" s="2"/>
      <c r="R40" s="9"/>
      <c r="S40" s="9"/>
      <c r="T40" s="9"/>
      <c r="U40" s="9"/>
      <c r="V40" s="9"/>
      <c r="W40" s="1069" t="s">
        <v>219</v>
      </c>
      <c r="X40" s="1070"/>
      <c r="Y40" s="1070"/>
      <c r="Z40" s="1070"/>
      <c r="AA40" s="1070"/>
      <c r="AB40" s="1070"/>
      <c r="AC40" s="1070"/>
      <c r="AD40" s="1070"/>
      <c r="AE40" s="1070"/>
      <c r="AF40" s="1070"/>
      <c r="AG40" s="1070"/>
      <c r="AH40" s="1070"/>
      <c r="AI40" s="1070"/>
      <c r="AJ40" s="1070"/>
      <c r="AK40" s="1070"/>
      <c r="AL40" s="1070"/>
      <c r="AM40" s="1070"/>
      <c r="AN40" s="1070"/>
      <c r="AO40" s="1070"/>
      <c r="AP40" s="1070"/>
      <c r="AQ40" s="1070"/>
      <c r="AR40" s="1070"/>
      <c r="AS40" s="1070"/>
      <c r="AT40" s="1070"/>
      <c r="AU40" s="1071"/>
      <c r="AW40"/>
      <c r="AY40"/>
      <c r="AZ40"/>
      <c r="BB40"/>
      <c r="BC40"/>
      <c r="BD40"/>
      <c r="BE40"/>
      <c r="BF40"/>
      <c r="BG40"/>
      <c r="BH40"/>
      <c r="BI40"/>
      <c r="BJ40"/>
      <c r="BK40"/>
    </row>
    <row r="41" spans="1:63" ht="29.5" customHeight="1" thickBot="1" x14ac:dyDescent="0.4">
      <c r="A41" s="1005" t="s">
        <v>167</v>
      </c>
      <c r="B41" s="1005"/>
      <c r="D41" s="120" t="s">
        <v>276</v>
      </c>
      <c r="E41" s="152" t="s">
        <v>172</v>
      </c>
      <c r="F41" s="152" t="s">
        <v>2</v>
      </c>
      <c r="G41" s="152" t="s">
        <v>173</v>
      </c>
      <c r="H41" s="152" t="s">
        <v>174</v>
      </c>
      <c r="I41" s="125" t="s">
        <v>175</v>
      </c>
      <c r="J41" s="152" t="s">
        <v>177</v>
      </c>
      <c r="K41" s="152" t="s">
        <v>178</v>
      </c>
      <c r="L41" s="122" t="s">
        <v>176</v>
      </c>
      <c r="M41" s="120" t="s">
        <v>200</v>
      </c>
      <c r="N41" s="120" t="str">
        <f>$N$8</f>
        <v>WS Rate</v>
      </c>
      <c r="O41" s="121" t="s">
        <v>202</v>
      </c>
      <c r="P41" s="123" t="s">
        <v>278</v>
      </c>
      <c r="Q41" s="2"/>
      <c r="R41" s="120" t="s">
        <v>172</v>
      </c>
      <c r="S41" s="120" t="s">
        <v>2</v>
      </c>
      <c r="T41" s="120" t="s">
        <v>173</v>
      </c>
      <c r="U41" s="152" t="str">
        <f>$U$8</f>
        <v>Vessel MT</v>
      </c>
      <c r="V41" s="120" t="s">
        <v>175</v>
      </c>
      <c r="W41" s="120" t="s">
        <v>176</v>
      </c>
      <c r="X41" s="120" t="s">
        <v>177</v>
      </c>
      <c r="Y41" s="120" t="s">
        <v>178</v>
      </c>
      <c r="Z41" s="120" t="s">
        <v>200</v>
      </c>
      <c r="AA41" s="146" t="str">
        <f>$AA$8</f>
        <v xml:space="preserve">Current WS Rate </v>
      </c>
      <c r="AB41" s="128" t="s">
        <v>202</v>
      </c>
      <c r="AC41" s="150" t="s">
        <v>182</v>
      </c>
      <c r="AD41" s="136" t="s">
        <v>183</v>
      </c>
      <c r="AE41" s="146" t="s">
        <v>279</v>
      </c>
      <c r="AF41" s="136" t="s">
        <v>184</v>
      </c>
      <c r="AG41" s="136" t="s">
        <v>140</v>
      </c>
      <c r="AH41" s="136" t="str">
        <f>AH50</f>
        <v>STS</v>
      </c>
      <c r="AI41" s="136" t="s">
        <v>186</v>
      </c>
      <c r="AJ41" s="136" t="s">
        <v>187</v>
      </c>
      <c r="AK41" s="136" t="s">
        <v>141</v>
      </c>
      <c r="AL41" s="136" t="s">
        <v>188</v>
      </c>
      <c r="AM41" s="136" t="s">
        <v>17</v>
      </c>
      <c r="AN41" s="136" t="s">
        <v>207</v>
      </c>
      <c r="AO41" s="136" t="s">
        <v>189</v>
      </c>
      <c r="AP41" s="136" t="s">
        <v>152</v>
      </c>
      <c r="AQ41" s="150" t="s">
        <v>208</v>
      </c>
      <c r="AR41" s="150" t="s">
        <v>209</v>
      </c>
      <c r="AS41" s="150" t="s">
        <v>210</v>
      </c>
      <c r="AT41" s="150" t="str">
        <f>AT29</f>
        <v>Basis</v>
      </c>
      <c r="AU41" s="137" t="s">
        <v>211</v>
      </c>
      <c r="AW41" s="137" t="s">
        <v>195</v>
      </c>
      <c r="AY41" s="1011" t="s">
        <v>196</v>
      </c>
      <c r="AZ41" s="1011"/>
      <c r="BB41"/>
      <c r="BC41"/>
      <c r="BD41"/>
      <c r="BE41"/>
      <c r="BF41"/>
      <c r="BG41"/>
      <c r="BH41"/>
      <c r="BI41"/>
      <c r="BJ41"/>
      <c r="BK41"/>
    </row>
    <row r="42" spans="1:63" ht="17.25" customHeight="1" thickBot="1" x14ac:dyDescent="0.4">
      <c r="A42" s="163">
        <f>A39</f>
        <v>44805</v>
      </c>
      <c r="B42" s="163">
        <f t="shared" ref="B42:B48" si="80">IF(ISBLANK(A42),"",A42+2)</f>
        <v>44807</v>
      </c>
      <c r="D42" s="64"/>
      <c r="E42" s="65">
        <f>IF(G42=J42,0,INDEX('[2]Flat Rates 2023'!$A:$DB,MATCH(G42,'[2]Flat Rates 2023'!$A:$A,0),MATCH(J42,'[2]Flat Rates 2023'!$A$1:$DB$1,0)))</f>
        <v>0</v>
      </c>
      <c r="F42" s="65" t="e">
        <f>INDEX(Control!$E$17:$O$21,MATCH(L42,Control!$E$17:$E$21,0),MATCH(G42,Control!$E$17:$O$17,0))</f>
        <v>#N/A</v>
      </c>
      <c r="G42" s="65" t="str">
        <f t="shared" ref="G42:G48" si="81">$G$9</f>
        <v>Trinidad</v>
      </c>
      <c r="H42" s="116" t="e">
        <f>INDEX(Vessel_Minimum_MT,MATCH(L42,Control!$E$11:$E$15,0),MATCH(G42,Control!$E$11:$O$11,0))</f>
        <v>#N/A</v>
      </c>
      <c r="I42" s="131">
        <f t="shared" ref="I42:I48" si="82">M42/$BD$17</f>
        <v>90096.96796338672</v>
      </c>
      <c r="J42" s="65" t="s">
        <v>45</v>
      </c>
      <c r="K42" s="65" t="e">
        <f t="shared" ref="K42:K48" si="83">IF(J42=G42,"",CONCATENATE(CONCATENATE(VLOOKUP(G42,Zones,2,FALSE),"/",VLOOKUP(J42,Zones,2,FALSE))))</f>
        <v>#N/A</v>
      </c>
      <c r="L42" s="156" t="s">
        <v>22</v>
      </c>
      <c r="M42" s="68">
        <v>700000</v>
      </c>
      <c r="N42" s="69">
        <v>0</v>
      </c>
      <c r="O42" s="70">
        <v>0</v>
      </c>
      <c r="P42" s="71" t="e">
        <f t="shared" ref="P42:P48" si="84">IF($G42="Esmeraldas",IF(N42&gt;1000,IF(O42=0,N42,O42)/M42*1.1,((H42*E42*(IF(O42=0,N42,O42)/100))+IF(I42&lt;H42,0,(I42-H42)*E42*IF(O42=0,N42,O42)/100*F42))/M42*1.1),IF(N42&gt;1000,IF(O42=0,N42,O42)/M42,((H42*E42*(IF(O42=0,N42,O42)/100))+IF(I42&lt;H42,0,(I42-H42)*E42*IF(O42=0,N42,O42)/100*F42)))/M42)</f>
        <v>#N/A</v>
      </c>
      <c r="Q42" s="2"/>
      <c r="R42" s="138">
        <f>INDEX('[2]Flat Rates 2023'!$A:$DZ,MATCH(T42,'[2]Flat Rates 2023'!$A:$A,0),MATCH(X42,'[2]Flat Rates 2023'!$A$1:$DZ$1,0))</f>
        <v>0</v>
      </c>
      <c r="S42" s="138" t="e">
        <f>INDEX(Control!$E$17:$O$21,MATCH(W42,Control!$E$17:$E$21,0),MATCH(T42,Control!$E$17:$O$17,0))</f>
        <v>#N/A</v>
      </c>
      <c r="T42" s="138" t="s">
        <v>134</v>
      </c>
      <c r="U42" s="116" t="e">
        <f>INDEX(Vessel_Minimum_MT,MATCH(W42,Control!$E$11:$E$15,0),MATCH(T42,Control!$E$11:$O$11,0))</f>
        <v>#N/A</v>
      </c>
      <c r="V42" s="140">
        <f t="shared" ref="V42:V48" si="85">Z42/$BD$17</f>
        <v>92671.167048054922</v>
      </c>
      <c r="W42" s="48" t="s">
        <v>23</v>
      </c>
      <c r="X42" s="164" t="s">
        <v>42</v>
      </c>
      <c r="Y42" s="142" t="e">
        <f t="shared" ref="Y42:Y48" si="86">IF(X42=T42,"",CONCATENATE(CONCATENATE(VLOOKUP(T42,Zones,2,FALSE),"/",VLOOKUP(X42,Zones,2,FALSE))))</f>
        <v>#N/A</v>
      </c>
      <c r="Z42" s="379">
        <v>720000</v>
      </c>
      <c r="AA42" s="141">
        <v>70</v>
      </c>
      <c r="AB42" s="263">
        <v>100</v>
      </c>
      <c r="AC42" s="149" t="e">
        <f>IF(AA42&gt;1000,IF(AB42=0,AA42,AB42)/Z42,((U42*R42*(IF(AB42=0,AA42,AB42)/100))+IF(V42&lt;U42,0,(V42-U42)*R42*IF(AB42=0,AA42,AB42)/100*S42))/Z42)</f>
        <v>#N/A</v>
      </c>
      <c r="AD42" s="144">
        <v>1</v>
      </c>
      <c r="AE42" s="155" t="e">
        <f>IF(INDEX(Index,MATCH(X42,TVM_PortList,0),MATCH("Type",Control!$Q$3:$U$3,0))="BL",INDEX(Index,MATCH(X42,TVM_PortList,0),MATCH("Payment",Control!$Q$3:$U$3,0))-INDEX(Index,MATCH(T42,TVM_PortList,0),MATCH("Payment",Control!$Q$3:$U$3,0)),AW42+INDEX(Index,MATCH(X42,TVM_PortList,0),MATCH("Payment",Control!$Q$3:$U$3,0))-INDEX(Index,MATCH(T42,TVM_PortList,0),MATCH("Payment",Control!$Q$3:$U$3,0)))</f>
        <v>#N/A</v>
      </c>
      <c r="AF42" s="143">
        <f t="shared" ref="AF42:AF48" si="87">AD42*VLOOKUP($W42,$BF$9:$BH$13,3,FALSE)/$Z42</f>
        <v>3.3333333333333333E-2</v>
      </c>
      <c r="AG42" s="143" t="e">
        <f t="shared" ref="AG42:AG48" si="88">IF(AE42&lt;0,0,$AE42*$BD$11)</f>
        <v>#N/A</v>
      </c>
      <c r="AH42" s="143">
        <f>INDEX(Lightering,MATCH($T42,Control!$AB$3:$AB$100,0),MATCH(MOLO!$W42,Control!$AB$3:$AF$3,0))*($Z42/$BD$18)*$BH$15/$Z42</f>
        <v>0</v>
      </c>
      <c r="AI42" s="143">
        <f t="shared" ref="AI42:AI48" si="89">IF(G42="Corpus Christi",$BD$10,0)</f>
        <v>0</v>
      </c>
      <c r="AJ42" s="143">
        <v>0</v>
      </c>
      <c r="AK42" s="143">
        <f t="shared" ref="AK42:AK48" si="90">$BD$12</f>
        <v>5.0000000000000001E-3</v>
      </c>
      <c r="AL42" s="143">
        <f t="shared" ref="AL42:AL48" si="91">$BD$13</f>
        <v>6.7299999999999999E-2</v>
      </c>
      <c r="AM42" s="143">
        <f>IF(INDEX(Control!$Q$3:$S$62,MATCH($X42,Control!$Q$3:$Q$62,0),MATCH(AM$8,Control!$Q$3:$S$3,0))=1,$BD$14*$BE$14,0)</f>
        <v>0</v>
      </c>
      <c r="AN42" s="143" t="e">
        <f>IF(INDEX(Control!$Q$3:$S$62,MATCH($X42,Control!$Q$3:$Q$62,0),MATCH(AN$8,Control!$Q$3:$S$3,0))=1,$BD$15/$Z42,0)</f>
        <v>#N/A</v>
      </c>
      <c r="AO42" s="143">
        <f>IF(X42="Rotterdam",0.19,"")</f>
        <v>0.19</v>
      </c>
      <c r="AP42" s="143">
        <f t="shared" ref="AP42:AP48" si="92">IF(AND(J42="Chiriqui Grande",T42="Puerto Armuelles"),$BG$18,0)</f>
        <v>0</v>
      </c>
      <c r="AQ42" s="149" t="e">
        <f t="shared" ref="AQ42:AQ43" si="93">SUM(AF42:AP42)</f>
        <v>#N/A</v>
      </c>
      <c r="AR42" s="149" t="e">
        <f t="shared" ref="AR42:AR48" si="94">+P42+AC42+AQ42</f>
        <v>#N/A</v>
      </c>
      <c r="AS42" s="149">
        <f t="shared" ref="AS42:AS48" si="95">IF(MONTH(A42)=MONTH(AZ42),0,IF(MONTH(AZ42)-MONTH(A42)&gt;1,VLOOKUP("Spreads",$AR$3:$AU$4,MATCH(EOMONTH(AZ42,0),$AR$3:$AU$3,0),FALSE)+VLOOKUP("Spreads",$AR$3:$AU$4,MATCH(EOMONTH(AZ42,-1),$AR$3:$AU$3,0),FALSE),VLOOKUP("Spreads",$AR$3:$AU$4,MATCH(EOMONTH(AZ42,0),$AR$3:$AU$3,0))))</f>
        <v>0</v>
      </c>
      <c r="AT42" s="149">
        <f>IFERROR(-HLOOKUP(EOMONTH(AZ42,0),$AS$3:$AU$6,3,FALSE),0)</f>
        <v>0</v>
      </c>
      <c r="AU42" s="135" t="e">
        <f t="shared" ref="AU42:AU48" si="96">$L$3+AR42+AS42+AT42</f>
        <v>#N/A</v>
      </c>
      <c r="AW42" s="153">
        <f>INDEX('[1]Transit Time'!$A:$DZ,MATCH(G42,'[1]Transit Time'!$A:$A,0),MATCH(J42,'[1]Transit Time'!$A$1:$DZ$1,0))+INDEX('[1]Transit Time'!$A:$DZ,MATCH(J42,'[1]Transit Time'!$A:$A,0),MATCH(T42,'[1]Transit Time'!$A$1:$DZ$1,0))+INDEX('[1]Transit Time'!$A:$DZ,MATCH(T42,'[1]Transit Time'!$A:$A,0),MATCH(X42,'[1]Transit Time'!$A$1:$DZ$1,0))</f>
        <v>0</v>
      </c>
      <c r="AY42" s="163">
        <f>IF(ISBLANK(A42),"",A42+$AW42)</f>
        <v>44805</v>
      </c>
      <c r="AZ42" s="163">
        <f t="shared" ref="AZ42:AZ48" si="97">IFERROR(IF(ISBLANK(B42),"",B42+$AW42),"")</f>
        <v>44807</v>
      </c>
      <c r="BA42" s="78">
        <f>((Z42-VLOOKUP(W42,$BJ$10:$BK$14,2,FALSE))/$BD$18)</f>
        <v>0.22666666666666666</v>
      </c>
      <c r="BB42"/>
      <c r="BC42"/>
      <c r="BD42"/>
      <c r="BE42"/>
      <c r="BF42"/>
      <c r="BG42"/>
      <c r="BH42"/>
      <c r="BI42"/>
      <c r="BJ42"/>
      <c r="BK42"/>
    </row>
    <row r="43" spans="1:63" x14ac:dyDescent="0.35">
      <c r="A43" s="230">
        <f t="shared" ref="A43:A48" si="98">+$A$9</f>
        <v>44805</v>
      </c>
      <c r="B43" s="230">
        <f t="shared" si="80"/>
        <v>44807</v>
      </c>
      <c r="D43" s="244"/>
      <c r="E43" s="245">
        <f>IF(G43=J43,0,INDEX('[2]Flat Rates 2023'!$A:$DB,MATCH(G43,'[2]Flat Rates 2023'!$A:$A,0),MATCH(J43,'[2]Flat Rates 2023'!$A$1:$DB$1,0)))</f>
        <v>0</v>
      </c>
      <c r="F43" s="245" t="e">
        <f>INDEX(Control!$E$17:$O$21,MATCH(L43,Control!$E$17:$E$21,0),MATCH(G43,Control!$E$17:$O$17,0))</f>
        <v>#N/A</v>
      </c>
      <c r="G43" s="245" t="str">
        <f t="shared" si="81"/>
        <v>Trinidad</v>
      </c>
      <c r="H43" s="213" t="e">
        <f>INDEX(Vessel_Minimum_MT,MATCH(L43,Control!$E$11:$E$15,0),MATCH(G43,Control!$E$11:$O$11,0))</f>
        <v>#N/A</v>
      </c>
      <c r="I43" s="246">
        <f t="shared" si="82"/>
        <v>90096.96796338672</v>
      </c>
      <c r="J43" s="245" t="s">
        <v>45</v>
      </c>
      <c r="K43" s="245" t="e">
        <f t="shared" si="83"/>
        <v>#N/A</v>
      </c>
      <c r="L43" s="247" t="s">
        <v>22</v>
      </c>
      <c r="M43" s="246">
        <v>700000</v>
      </c>
      <c r="N43" s="248">
        <v>0</v>
      </c>
      <c r="O43" s="249">
        <v>0</v>
      </c>
      <c r="P43" s="250" t="e">
        <f t="shared" si="84"/>
        <v>#N/A</v>
      </c>
      <c r="Q43" s="2"/>
      <c r="R43" s="138">
        <f>INDEX('[2]Flat Rates 2023'!$A:$DZ,MATCH(T43,'[2]Flat Rates 2023'!$A:$A,0),MATCH(X43,'[2]Flat Rates 2023'!$A$1:$DZ$1,0))</f>
        <v>0</v>
      </c>
      <c r="S43" s="220" t="e">
        <f>INDEX(Control!$E$17:$O$21,MATCH(W43,Control!$E$17:$E$21,0),MATCH(T43,Control!$E$17:$O$17,0))</f>
        <v>#N/A</v>
      </c>
      <c r="T43" s="220" t="s">
        <v>134</v>
      </c>
      <c r="U43" s="213" t="e">
        <f>INDEX(Vessel_Minimum_MT,MATCH(W43,Control!$E$11:$E$15,0),MATCH(T43,Control!$E$11:$O$11,0))</f>
        <v>#N/A</v>
      </c>
      <c r="V43" s="222">
        <f t="shared" si="85"/>
        <v>92671.167048054922</v>
      </c>
      <c r="W43" s="215" t="s">
        <v>23</v>
      </c>
      <c r="X43" s="223" t="s">
        <v>47</v>
      </c>
      <c r="Y43" s="212" t="e">
        <f t="shared" si="86"/>
        <v>#N/A</v>
      </c>
      <c r="Z43" s="312">
        <f t="shared" ref="Z43:Z46" si="99">$Z$42</f>
        <v>720000</v>
      </c>
      <c r="AA43" s="214">
        <v>70</v>
      </c>
      <c r="AB43" s="262">
        <f>AB42</f>
        <v>100</v>
      </c>
      <c r="AC43" s="225" t="e">
        <f t="shared" ref="AC43:AC48" si="100">IF(AA43&gt;1000,IF(AB43=0,AA43,AB43)/Z43,((U43*R43*(IF(AB43=0,AA43,AB43)/100))+IF(V43&lt;U43,0,(V43-U43)*R43*IF(AB43=0,AA43,AB43)/100*S43))/Z43)</f>
        <v>#N/A</v>
      </c>
      <c r="AD43" s="226">
        <f t="shared" ref="AD43:AD48" si="101">$AD$42</f>
        <v>1</v>
      </c>
      <c r="AE43" s="214" t="e">
        <f>IF(INDEX(Index,MATCH(X43,TVM_PortList,0),MATCH("Type",Control!$Q$3:$U$3,0))="BL",INDEX(Index,MATCH(X43,TVM_PortList,0),MATCH("Payment",Control!$Q$3:$U$3,0))-INDEX(Index,MATCH(T43,TVM_PortList,0),MATCH("Payment",Control!$Q$3:$U$3,0)),AW43+INDEX(Index,MATCH(X43,TVM_PortList,0),MATCH("Payment",Control!$Q$3:$U$3,0))-INDEX(Index,MATCH(T43,TVM_PortList,0),MATCH("Payment",Control!$Q$3:$U$3,0)))</f>
        <v>#N/A</v>
      </c>
      <c r="AF43" s="227">
        <f t="shared" si="87"/>
        <v>3.3333333333333333E-2</v>
      </c>
      <c r="AG43" s="227" t="e">
        <f t="shared" si="88"/>
        <v>#N/A</v>
      </c>
      <c r="AH43" s="227">
        <f>INDEX(Lightering,MATCH($T43,Control!$AB$3:$AB$100,0),MATCH(MOLO!$W43,Control!$AB$3:$AF$3,0))*($Z43/$BD$18)*$BH$15/$Z43</f>
        <v>0</v>
      </c>
      <c r="AI43" s="227">
        <f t="shared" si="89"/>
        <v>0</v>
      </c>
      <c r="AJ43" s="227">
        <v>0</v>
      </c>
      <c r="AK43" s="227">
        <f t="shared" si="90"/>
        <v>5.0000000000000001E-3</v>
      </c>
      <c r="AL43" s="227">
        <f t="shared" si="91"/>
        <v>6.7299999999999999E-2</v>
      </c>
      <c r="AM43" s="227">
        <f>IF(INDEX(Control!$Q$3:$S$62,MATCH($X43,Control!$Q$3:$Q$62,0),MATCH(AM$8,Control!$Q$3:$S$3,0))=1,$BD$14*$BE$14,0)</f>
        <v>0</v>
      </c>
      <c r="AN43" s="227" t="e">
        <f>IF(INDEX(Control!$Q$3:$S$62,MATCH($X43,Control!$Q$3:$Q$62,0),MATCH(AN$8,Control!$Q$3:$S$3,0))=1,$BD$15/$Z43,0)</f>
        <v>#N/A</v>
      </c>
      <c r="AO43" s="227" t="str">
        <f t="shared" ref="AO43:AO48" si="102">IF(X43="Rotterdam",0.19,"")</f>
        <v/>
      </c>
      <c r="AP43" s="227">
        <f t="shared" si="92"/>
        <v>0</v>
      </c>
      <c r="AQ43" s="225" t="e">
        <f t="shared" si="93"/>
        <v>#N/A</v>
      </c>
      <c r="AR43" s="225" t="e">
        <f t="shared" si="94"/>
        <v>#N/A</v>
      </c>
      <c r="AS43" s="225">
        <f t="shared" si="95"/>
        <v>0</v>
      </c>
      <c r="AT43" s="225">
        <f t="shared" ref="AT43:AT48" si="103">IFERROR(-HLOOKUP(EOMONTH(AZ43,0),$AS$3:$AU$6,3,FALSE),0)</f>
        <v>0</v>
      </c>
      <c r="AU43" s="228" t="e">
        <f t="shared" si="96"/>
        <v>#N/A</v>
      </c>
      <c r="AV43" s="220"/>
      <c r="AW43" s="229">
        <f>INDEX('[1]Transit Time'!$A:$DZ,MATCH(G43,'[1]Transit Time'!$A:$A,0),MATCH(J43,'[1]Transit Time'!$A$1:$DZ$1,0))+INDEX('[1]Transit Time'!$A:$DZ,MATCH(J43,'[1]Transit Time'!$A:$A,0),MATCH(T43,'[1]Transit Time'!$A$1:$DZ$1,0))+INDEX('[1]Transit Time'!$A:$DZ,MATCH(T43,'[1]Transit Time'!$A:$A,0),MATCH(X43,'[1]Transit Time'!$A$1:$DZ$1,0))</f>
        <v>0</v>
      </c>
      <c r="AX43" s="204"/>
      <c r="AY43" s="230">
        <f t="shared" ref="AY43:AY48" si="104">IF(ISBLANK(A43),"",A43+$AW43)</f>
        <v>44805</v>
      </c>
      <c r="AZ43" s="230">
        <f t="shared" si="97"/>
        <v>44807</v>
      </c>
      <c r="BB43"/>
      <c r="BC43"/>
      <c r="BD43"/>
      <c r="BE43"/>
      <c r="BF43"/>
      <c r="BG43"/>
      <c r="BH43"/>
      <c r="BI43"/>
      <c r="BJ43"/>
      <c r="BK43"/>
    </row>
    <row r="44" spans="1:63" x14ac:dyDescent="0.35">
      <c r="A44" s="163">
        <f t="shared" si="98"/>
        <v>44805</v>
      </c>
      <c r="B44" s="163">
        <f t="shared" si="80"/>
        <v>44807</v>
      </c>
      <c r="D44" s="157"/>
      <c r="E44" s="158">
        <f>IF(G44=J44,0,INDEX('[2]Flat Rates 2023'!$A:$DB,MATCH(G44,'[2]Flat Rates 2023'!$A:$A,0),MATCH(J44,'[2]Flat Rates 2023'!$A$1:$DB$1,0)))</f>
        <v>0</v>
      </c>
      <c r="F44" s="158" t="e">
        <f>INDEX(Control!$E$17:$O$21,MATCH(L44,Control!$E$17:$E$21,0),MATCH(G44,Control!$E$17:$O$17,0))</f>
        <v>#N/A</v>
      </c>
      <c r="G44" s="158" t="str">
        <f t="shared" si="81"/>
        <v>Trinidad</v>
      </c>
      <c r="H44" s="116" t="e">
        <f>INDEX(Vessel_Minimum_MT,MATCH(L44,Control!$E$11:$E$15,0),MATCH(G44,Control!$E$11:$O$11,0))</f>
        <v>#N/A</v>
      </c>
      <c r="I44" s="159">
        <f t="shared" si="82"/>
        <v>90096.96796338672</v>
      </c>
      <c r="J44" s="158" t="s">
        <v>45</v>
      </c>
      <c r="K44" s="158" t="e">
        <f t="shared" si="83"/>
        <v>#N/A</v>
      </c>
      <c r="L44" s="156" t="s">
        <v>22</v>
      </c>
      <c r="M44" s="159">
        <v>700000</v>
      </c>
      <c r="N44" s="160">
        <v>0</v>
      </c>
      <c r="O44" s="161">
        <v>0</v>
      </c>
      <c r="P44" s="162" t="e">
        <f t="shared" si="84"/>
        <v>#N/A</v>
      </c>
      <c r="Q44" s="2"/>
      <c r="R44" s="138">
        <f>INDEX('[2]Flat Rates 2023'!$A:$DZ,MATCH(T44,'[2]Flat Rates 2023'!$A:$A,0),MATCH(X44,'[2]Flat Rates 2023'!$A$1:$DZ$1,0))</f>
        <v>0</v>
      </c>
      <c r="S44" s="138" t="e">
        <f>INDEX(Control!$E$17:$O$21,MATCH(W44,Control!$E$17:$E$21,0),MATCH(T44,Control!$E$17:$O$17,0))</f>
        <v>#N/A</v>
      </c>
      <c r="T44" s="138" t="s">
        <v>134</v>
      </c>
      <c r="U44" s="116" t="e">
        <f>INDEX(Vessel_Minimum_MT,MATCH(W44,Control!$E$11:$E$15,0),MATCH(T44,Control!$E$11:$O$11,0))</f>
        <v>#N/A</v>
      </c>
      <c r="V44" s="140">
        <f t="shared" si="85"/>
        <v>92671.167048054922</v>
      </c>
      <c r="W44" s="405" t="s">
        <v>23</v>
      </c>
      <c r="X44" s="164" t="s">
        <v>39</v>
      </c>
      <c r="Y44" s="142" t="e">
        <f t="shared" si="86"/>
        <v>#N/A</v>
      </c>
      <c r="Z44" s="141">
        <f t="shared" si="99"/>
        <v>720000</v>
      </c>
      <c r="AA44" s="141">
        <v>70</v>
      </c>
      <c r="AB44" s="151">
        <f>AB43</f>
        <v>100</v>
      </c>
      <c r="AC44" s="149" t="e">
        <f t="shared" si="100"/>
        <v>#N/A</v>
      </c>
      <c r="AD44" s="144">
        <f t="shared" si="101"/>
        <v>1</v>
      </c>
      <c r="AE44" s="155" t="e">
        <f>IF(INDEX(Index,MATCH(X44,TVM_PortList,0),MATCH("Type",Control!$Q$3:$U$3,0))="BL",INDEX(Index,MATCH(X44,TVM_PortList,0),MATCH("Payment",Control!$Q$3:$U$3,0))-INDEX(Index,MATCH(T44,TVM_PortList,0),MATCH("Payment",Control!$Q$3:$U$3,0)),AW44+INDEX(Index,MATCH(X44,TVM_PortList,0),MATCH("Payment",Control!$Q$3:$U$3,0))-INDEX(Index,MATCH(T44,TVM_PortList,0),MATCH("Payment",Control!$Q$3:$U$3,0)))</f>
        <v>#N/A</v>
      </c>
      <c r="AF44" s="143">
        <f t="shared" si="87"/>
        <v>3.3333333333333333E-2</v>
      </c>
      <c r="AG44" s="143" t="e">
        <f t="shared" si="88"/>
        <v>#N/A</v>
      </c>
      <c r="AH44" s="143">
        <f>INDEX(Lightering,MATCH($T44,Control!$AB$3:$AB$100,0),MATCH(MOLO!$W44,Control!$AB$3:$AF$3,0))*($Z44/$BD$18)*$BH$15/$Z44</f>
        <v>0</v>
      </c>
      <c r="AI44" s="143">
        <f t="shared" si="89"/>
        <v>0</v>
      </c>
      <c r="AJ44" s="143">
        <v>0</v>
      </c>
      <c r="AK44" s="143">
        <f t="shared" si="90"/>
        <v>5.0000000000000001E-3</v>
      </c>
      <c r="AL44" s="143">
        <f t="shared" si="91"/>
        <v>6.7299999999999999E-2</v>
      </c>
      <c r="AM44" s="143">
        <f>IF(INDEX(Control!$Q$3:$S$62,MATCH($X44,Control!$Q$3:$Q$62,0),MATCH(AM$8,Control!$Q$3:$S$3,0))=1,$BD$14*$BE$14,0)</f>
        <v>0</v>
      </c>
      <c r="AN44" s="143" t="e">
        <f>IF(INDEX(Control!$Q$3:$S$62,MATCH($X44,Control!$Q$3:$Q$62,0),MATCH(AN$8,Control!$Q$3:$S$3,0))=1,$BD$15/$Z44,0)</f>
        <v>#N/A</v>
      </c>
      <c r="AO44" s="143" t="str">
        <f t="shared" si="102"/>
        <v/>
      </c>
      <c r="AP44" s="143">
        <f t="shared" si="92"/>
        <v>0</v>
      </c>
      <c r="AQ44" s="149" t="e">
        <f t="shared" ref="AQ44" si="105">SUM(AF44:AP44)</f>
        <v>#N/A</v>
      </c>
      <c r="AR44" s="149" t="e">
        <f t="shared" si="94"/>
        <v>#N/A</v>
      </c>
      <c r="AS44" s="149">
        <f t="shared" si="95"/>
        <v>0</v>
      </c>
      <c r="AT44" s="149">
        <f t="shared" si="103"/>
        <v>0</v>
      </c>
      <c r="AU44" s="145" t="e">
        <f t="shared" si="96"/>
        <v>#N/A</v>
      </c>
      <c r="AW44" s="153">
        <f>INDEX('[1]Transit Time'!$A:$DZ,MATCH(G44,'[1]Transit Time'!$A:$A,0),MATCH(J44,'[1]Transit Time'!$A$1:$DZ$1,0))+INDEX('[1]Transit Time'!$A:$DZ,MATCH(J44,'[1]Transit Time'!$A:$A,0),MATCH(T44,'[1]Transit Time'!$A$1:$DZ$1,0))+INDEX('[1]Transit Time'!$A:$DZ,MATCH(T44,'[1]Transit Time'!$A:$A,0),MATCH(X44,'[1]Transit Time'!$A$1:$DZ$1,0))</f>
        <v>0</v>
      </c>
      <c r="AX44" s="152"/>
      <c r="AY44" s="163">
        <f t="shared" si="104"/>
        <v>44805</v>
      </c>
      <c r="AZ44" s="163">
        <f t="shared" si="97"/>
        <v>44807</v>
      </c>
      <c r="BB44"/>
      <c r="BC44"/>
      <c r="BD44"/>
      <c r="BE44"/>
      <c r="BF44"/>
      <c r="BG44"/>
      <c r="BH44"/>
      <c r="BI44"/>
      <c r="BJ44"/>
      <c r="BK44"/>
    </row>
    <row r="45" spans="1:63" ht="17.25" customHeight="1" x14ac:dyDescent="0.35">
      <c r="A45" s="230">
        <f t="shared" si="98"/>
        <v>44805</v>
      </c>
      <c r="B45" s="230">
        <f t="shared" si="80"/>
        <v>44807</v>
      </c>
      <c r="D45" s="251"/>
      <c r="E45" s="252">
        <f>IF(G45=J45,0,INDEX('[2]Flat Rates 2023'!$A:$DB,MATCH(G45,'[2]Flat Rates 2023'!$A:$A,0),MATCH(J45,'[2]Flat Rates 2023'!$A$1:$DB$1,0)))</f>
        <v>0</v>
      </c>
      <c r="F45" s="252" t="e">
        <f>INDEX(Control!$E$17:$O$21,MATCH(L45,Control!$E$17:$E$21,0),MATCH(G45,Control!$E$17:$O$17,0))</f>
        <v>#N/A</v>
      </c>
      <c r="G45" s="252" t="str">
        <f t="shared" si="81"/>
        <v>Trinidad</v>
      </c>
      <c r="H45" s="213" t="e">
        <f>INDEX(Vessel_Minimum_MT,MATCH(L45,Control!$E$11:$E$15,0),MATCH(G45,Control!$E$11:$O$11,0))</f>
        <v>#N/A</v>
      </c>
      <c r="I45" s="253">
        <f t="shared" si="82"/>
        <v>90096.96796338672</v>
      </c>
      <c r="J45" s="252" t="s">
        <v>45</v>
      </c>
      <c r="K45" s="252" t="e">
        <f t="shared" si="83"/>
        <v>#N/A</v>
      </c>
      <c r="L45" s="247" t="s">
        <v>22</v>
      </c>
      <c r="M45" s="254">
        <v>700000</v>
      </c>
      <c r="N45" s="255">
        <v>0</v>
      </c>
      <c r="O45" s="256">
        <v>0</v>
      </c>
      <c r="P45" s="257" t="e">
        <f t="shared" si="84"/>
        <v>#N/A</v>
      </c>
      <c r="Q45" s="2"/>
      <c r="R45" s="138">
        <f>INDEX('[2]Flat Rates 2023'!$A:$DZ,MATCH(T45,'[2]Flat Rates 2023'!$A:$A,0),MATCH(X45,'[2]Flat Rates 2023'!$A$1:$DZ$1,0))</f>
        <v>0</v>
      </c>
      <c r="S45" s="220" t="e">
        <f>INDEX(Control!$E$17:$O$21,MATCH(W45,Control!$E$17:$E$21,0),MATCH(T45,Control!$E$17:$O$17,0))</f>
        <v>#N/A</v>
      </c>
      <c r="T45" s="220" t="s">
        <v>134</v>
      </c>
      <c r="U45" s="213" t="e">
        <f>INDEX(Vessel_Minimum_MT,MATCH(W45,Control!$E$11:$E$15,0),MATCH(T45,Control!$E$11:$O$11,0))</f>
        <v>#N/A</v>
      </c>
      <c r="V45" s="222">
        <f t="shared" si="85"/>
        <v>92671.167048054922</v>
      </c>
      <c r="W45" s="258" t="s">
        <v>23</v>
      </c>
      <c r="X45" s="223" t="s">
        <v>78</v>
      </c>
      <c r="Y45" s="212" t="e">
        <f t="shared" si="86"/>
        <v>#N/A</v>
      </c>
      <c r="Z45" s="214">
        <f t="shared" si="99"/>
        <v>720000</v>
      </c>
      <c r="AA45" s="214">
        <v>70</v>
      </c>
      <c r="AB45" s="224">
        <v>118</v>
      </c>
      <c r="AC45" s="225" t="e">
        <f t="shared" si="100"/>
        <v>#N/A</v>
      </c>
      <c r="AD45" s="226">
        <f t="shared" si="101"/>
        <v>1</v>
      </c>
      <c r="AE45" s="214" t="e">
        <f>IF(INDEX(Index,MATCH(X45,TVM_PortList,0),MATCH("Type",Control!$Q$3:$U$3,0))="BL",INDEX(Index,MATCH(X45,TVM_PortList,0),MATCH("Payment",Control!$Q$3:$U$3,0))-INDEX(Index,MATCH(T45,TVM_PortList,0),MATCH("Payment",Control!$Q$3:$U$3,0)),AW45+INDEX(Index,MATCH(X45,TVM_PortList,0),MATCH("Payment",Control!$Q$3:$U$3,0))-INDEX(Index,MATCH(T45,TVM_PortList,0),MATCH("Payment",Control!$Q$3:$U$3,0)))</f>
        <v>#N/A</v>
      </c>
      <c r="AF45" s="227">
        <f t="shared" si="87"/>
        <v>3.3333333333333333E-2</v>
      </c>
      <c r="AG45" s="227" t="e">
        <f t="shared" si="88"/>
        <v>#N/A</v>
      </c>
      <c r="AH45" s="227">
        <f>INDEX(Lightering,MATCH($T45,Control!$AB$3:$AB$100,0),MATCH(MOLO!$W45,Control!$AB$3:$AF$3,0))*($Z45/$BD$18)*$BH$15/$Z45</f>
        <v>0</v>
      </c>
      <c r="AI45" s="227">
        <f t="shared" si="89"/>
        <v>0</v>
      </c>
      <c r="AJ45" s="227">
        <v>0</v>
      </c>
      <c r="AK45" s="227">
        <f t="shared" si="90"/>
        <v>5.0000000000000001E-3</v>
      </c>
      <c r="AL45" s="227">
        <f t="shared" si="91"/>
        <v>6.7299999999999999E-2</v>
      </c>
      <c r="AM45" s="227">
        <f>IF(INDEX(Control!$Q$3:$S$62,MATCH($X45,Control!$Q$3:$Q$62,0),MATCH(AM$8,Control!$Q$3:$S$3,0))=1,$BD$14*$BE$14,0)</f>
        <v>0</v>
      </c>
      <c r="AN45" s="227" t="e">
        <f>IF(INDEX(Control!$Q$3:$S$62,MATCH($X45,Control!$Q$3:$Q$62,0),MATCH(AN$8,Control!$Q$3:$S$3,0))=1,$BD$15/$Z45,0)</f>
        <v>#N/A</v>
      </c>
      <c r="AO45" s="227" t="str">
        <f t="shared" si="102"/>
        <v/>
      </c>
      <c r="AP45" s="227">
        <f t="shared" si="92"/>
        <v>0</v>
      </c>
      <c r="AQ45" s="225" t="e">
        <f t="shared" ref="AQ45" si="106">SUM(AF45:AP45)</f>
        <v>#N/A</v>
      </c>
      <c r="AR45" s="225" t="e">
        <f t="shared" si="94"/>
        <v>#N/A</v>
      </c>
      <c r="AS45" s="225">
        <f t="shared" si="95"/>
        <v>0</v>
      </c>
      <c r="AT45" s="225">
        <f t="shared" si="103"/>
        <v>0</v>
      </c>
      <c r="AU45" s="228" t="e">
        <f t="shared" si="96"/>
        <v>#N/A</v>
      </c>
      <c r="AV45" s="220"/>
      <c r="AW45" s="229">
        <f>INDEX('[1]Transit Time'!$A:$DZ,MATCH(G45,'[1]Transit Time'!$A:$A,0),MATCH(J45,'[1]Transit Time'!$A$1:$DZ$1,0))+INDEX('[1]Transit Time'!$A:$DZ,MATCH(J45,'[1]Transit Time'!$A:$A,0),MATCH(T45,'[1]Transit Time'!$A$1:$DZ$1,0))+INDEX('[1]Transit Time'!$A:$DZ,MATCH(T45,'[1]Transit Time'!$A:$A,0),MATCH(X45,'[1]Transit Time'!$A$1:$DZ$1,0))</f>
        <v>0</v>
      </c>
      <c r="AX45" s="220"/>
      <c r="AY45" s="230">
        <f t="shared" si="104"/>
        <v>44805</v>
      </c>
      <c r="AZ45" s="230">
        <f t="shared" si="97"/>
        <v>44807</v>
      </c>
      <c r="BB45"/>
      <c r="BC45"/>
      <c r="BD45"/>
      <c r="BE45"/>
      <c r="BF45"/>
      <c r="BG45"/>
      <c r="BH45"/>
      <c r="BI45"/>
      <c r="BJ45"/>
      <c r="BK45"/>
    </row>
    <row r="46" spans="1:63" ht="16" thickBot="1" x14ac:dyDescent="0.4">
      <c r="A46" s="163">
        <f t="shared" si="98"/>
        <v>44805</v>
      </c>
      <c r="B46" s="163">
        <f t="shared" si="80"/>
        <v>44807</v>
      </c>
      <c r="D46" s="157"/>
      <c r="E46" s="158">
        <f>IF(G46=J46,0,INDEX('[2]Flat Rates 2023'!$A:$DB,MATCH(G46,'[2]Flat Rates 2023'!$A:$A,0),MATCH(J46,'[2]Flat Rates 2023'!$A$1:$DB$1,0)))</f>
        <v>0</v>
      </c>
      <c r="F46" s="158" t="e">
        <f>INDEX(Control!$E$17:$O$21,MATCH(L46,Control!$E$17:$E$21,0),MATCH(G46,Control!$E$17:$O$17,0))</f>
        <v>#N/A</v>
      </c>
      <c r="G46" s="158" t="str">
        <f t="shared" si="81"/>
        <v>Trinidad</v>
      </c>
      <c r="H46" s="116" t="e">
        <f>INDEX(Vessel_Minimum_MT,MATCH(L46,Control!$E$11:$E$15,0),MATCH(G46,Control!$E$11:$O$11,0))</f>
        <v>#N/A</v>
      </c>
      <c r="I46" s="159">
        <f t="shared" si="82"/>
        <v>90096.96796338672</v>
      </c>
      <c r="J46" s="158" t="s">
        <v>45</v>
      </c>
      <c r="K46" s="158" t="e">
        <f t="shared" si="83"/>
        <v>#N/A</v>
      </c>
      <c r="L46" s="156" t="s">
        <v>22</v>
      </c>
      <c r="M46" s="159">
        <v>700000</v>
      </c>
      <c r="N46" s="160">
        <v>0</v>
      </c>
      <c r="O46" s="161">
        <v>0</v>
      </c>
      <c r="P46" s="162" t="e">
        <f t="shared" si="84"/>
        <v>#N/A</v>
      </c>
      <c r="Q46" s="2"/>
      <c r="R46" s="138">
        <f>INDEX('[2]Flat Rates 2023'!$A:$DZ,MATCH(T46,'[2]Flat Rates 2023'!$A:$A,0),MATCH(X46,'[2]Flat Rates 2023'!$A$1:$DZ$1,0))</f>
        <v>0</v>
      </c>
      <c r="S46" s="138" t="e">
        <f>INDEX(Control!$E$17:$O$21,MATCH(W46,Control!$E$17:$E$21,0),MATCH(T46,Control!$E$17:$O$17,0))</f>
        <v>#N/A</v>
      </c>
      <c r="T46" s="138" t="s">
        <v>134</v>
      </c>
      <c r="U46" s="116" t="e">
        <f>INDEX(Vessel_Minimum_MT,MATCH(W46,Control!$E$11:$E$15,0),MATCH(T46,Control!$E$11:$O$11,0))</f>
        <v>#N/A</v>
      </c>
      <c r="V46" s="140">
        <f t="shared" si="85"/>
        <v>92671.167048054922</v>
      </c>
      <c r="W46" s="147" t="s">
        <v>23</v>
      </c>
      <c r="X46" s="164" t="s">
        <v>50</v>
      </c>
      <c r="Y46" s="142" t="e">
        <f t="shared" si="86"/>
        <v>#N/A</v>
      </c>
      <c r="Z46" s="141">
        <f t="shared" si="99"/>
        <v>720000</v>
      </c>
      <c r="AA46" s="141">
        <v>70</v>
      </c>
      <c r="AB46" s="49">
        <f>AB44</f>
        <v>100</v>
      </c>
      <c r="AC46" s="149" t="e">
        <f t="shared" si="100"/>
        <v>#N/A</v>
      </c>
      <c r="AD46" s="28">
        <f t="shared" si="101"/>
        <v>1</v>
      </c>
      <c r="AE46" s="155" t="e">
        <f>IF(INDEX(Index,MATCH(X46,TVM_PortList,0),MATCH("Type",Control!$Q$3:$U$3,0))="BL",INDEX(Index,MATCH(X46,TVM_PortList,0),MATCH("Payment",Control!$Q$3:$U$3,0))-INDEX(Index,MATCH(T46,TVM_PortList,0),MATCH("Payment",Control!$Q$3:$U$3,0)),AW46+INDEX(Index,MATCH(X46,TVM_PortList,0),MATCH("Payment",Control!$Q$3:$U$3,0))-INDEX(Index,MATCH(T46,TVM_PortList,0),MATCH("Payment",Control!$Q$3:$U$3,0)))</f>
        <v>#N/A</v>
      </c>
      <c r="AF46" s="143">
        <f t="shared" si="87"/>
        <v>3.3333333333333333E-2</v>
      </c>
      <c r="AG46" s="143" t="e">
        <f t="shared" si="88"/>
        <v>#N/A</v>
      </c>
      <c r="AH46" s="143">
        <f>INDEX(Lightering,MATCH($T46,Control!$AB$3:$AB$100,0),MATCH(MOLO!$W46,Control!$AB$3:$AF$3,0))*($Z46/$BD$18)*$BH$15/$Z46</f>
        <v>0</v>
      </c>
      <c r="AI46" s="143">
        <f t="shared" si="89"/>
        <v>0</v>
      </c>
      <c r="AJ46" s="143">
        <v>0</v>
      </c>
      <c r="AK46" s="143">
        <f t="shared" si="90"/>
        <v>5.0000000000000001E-3</v>
      </c>
      <c r="AL46" s="143">
        <f t="shared" si="91"/>
        <v>6.7299999999999999E-2</v>
      </c>
      <c r="AM46" s="143">
        <f>IF(INDEX(Control!$Q$3:$S$62,MATCH($X46,Control!$Q$3:$Q$62,0),MATCH(AM$8,Control!$Q$3:$S$3,0))=1,$BD$14*$BE$14,0)</f>
        <v>0</v>
      </c>
      <c r="AN46" s="143" t="e">
        <f>IF(INDEX(Control!$Q$3:$S$62,MATCH($X46,Control!$Q$3:$Q$62,0),MATCH(AN$8,Control!$Q$3:$S$3,0))=1,$BD$15/$Z46,0)</f>
        <v>#N/A</v>
      </c>
      <c r="AO46" s="143" t="str">
        <f t="shared" si="102"/>
        <v/>
      </c>
      <c r="AP46" s="143">
        <f t="shared" si="92"/>
        <v>0</v>
      </c>
      <c r="AQ46" s="149" t="e">
        <f t="shared" ref="AQ46:AQ47" si="107">SUM(AF46:AP46)</f>
        <v>#N/A</v>
      </c>
      <c r="AR46" s="149" t="e">
        <f t="shared" si="94"/>
        <v>#N/A</v>
      </c>
      <c r="AS46" s="149">
        <f t="shared" si="95"/>
        <v>0</v>
      </c>
      <c r="AT46" s="149">
        <f t="shared" si="103"/>
        <v>0</v>
      </c>
      <c r="AU46" s="135" t="e">
        <f t="shared" si="96"/>
        <v>#N/A</v>
      </c>
      <c r="AW46" s="153">
        <f>INDEX('[1]Transit Time'!$A:$DZ,MATCH(G46,'[1]Transit Time'!$A:$A,0),MATCH(J46,'[1]Transit Time'!$A$1:$DZ$1,0))+INDEX('[1]Transit Time'!$A:$DZ,MATCH(J46,'[1]Transit Time'!$A:$A,0),MATCH(T46,'[1]Transit Time'!$A$1:$DZ$1,0))+INDEX('[1]Transit Time'!$A:$DZ,MATCH(T46,'[1]Transit Time'!$A:$A,0),MATCH(X46,'[1]Transit Time'!$A$1:$DZ$1,0))</f>
        <v>0</v>
      </c>
      <c r="AX46" s="152"/>
      <c r="AY46" s="163">
        <f t="shared" si="104"/>
        <v>44805</v>
      </c>
      <c r="AZ46" s="163">
        <f t="shared" si="97"/>
        <v>44807</v>
      </c>
      <c r="BB46"/>
      <c r="BC46"/>
      <c r="BD46"/>
      <c r="BE46"/>
      <c r="BF46"/>
      <c r="BG46"/>
      <c r="BH46"/>
      <c r="BI46"/>
      <c r="BJ46"/>
      <c r="BK46"/>
    </row>
    <row r="47" spans="1:63" ht="16" thickBot="1" x14ac:dyDescent="0.4">
      <c r="A47" s="230">
        <f t="shared" si="98"/>
        <v>44805</v>
      </c>
      <c r="B47" s="230">
        <f t="shared" si="80"/>
        <v>44807</v>
      </c>
      <c r="D47" s="244"/>
      <c r="E47" s="245">
        <f>IF(G47=J47,0,INDEX('[2]Flat Rates 2023'!$A:$DB,MATCH(G47,'[2]Flat Rates 2023'!$A:$A,0),MATCH(J47,'[2]Flat Rates 2023'!$A$1:$DB$1,0)))</f>
        <v>0</v>
      </c>
      <c r="F47" s="245" t="e">
        <f>INDEX(Control!$E$17:$O$21,MATCH(L47,Control!$E$17:$E$21,0),MATCH(G47,Control!$E$17:$O$17,0))</f>
        <v>#N/A</v>
      </c>
      <c r="G47" s="245" t="str">
        <f t="shared" si="81"/>
        <v>Trinidad</v>
      </c>
      <c r="H47" s="213" t="e">
        <f>INDEX(Vessel_Minimum_MT,MATCH(L47,Control!$E$11:$E$15,0),MATCH(G47,Control!$E$11:$O$11,0))</f>
        <v>#N/A</v>
      </c>
      <c r="I47" s="246">
        <f t="shared" si="82"/>
        <v>90096.96796338672</v>
      </c>
      <c r="J47" s="245" t="s">
        <v>45</v>
      </c>
      <c r="K47" s="245" t="e">
        <f t="shared" si="83"/>
        <v>#N/A</v>
      </c>
      <c r="L47" s="247" t="s">
        <v>22</v>
      </c>
      <c r="M47" s="246">
        <v>700000</v>
      </c>
      <c r="N47" s="248">
        <v>0</v>
      </c>
      <c r="O47" s="249">
        <v>0</v>
      </c>
      <c r="P47" s="250" t="e">
        <f t="shared" si="84"/>
        <v>#N/A</v>
      </c>
      <c r="Q47" s="2"/>
      <c r="R47" s="138">
        <f>INDEX('[2]Flat Rates 2023'!$A:$DZ,MATCH(T47,'[2]Flat Rates 2023'!$A:$A,0),MATCH(X47,'[2]Flat Rates 2023'!$A$1:$DZ$1,0))</f>
        <v>0</v>
      </c>
      <c r="S47" s="220" t="e">
        <f>INDEX(Control!$E$17:$O$21,MATCH(W47,Control!$E$17:$E$21,0),MATCH(T47,Control!$E$17:$O$17,0))</f>
        <v>#N/A</v>
      </c>
      <c r="T47" s="220" t="s">
        <v>134</v>
      </c>
      <c r="U47" s="213" t="e">
        <f>INDEX(Vessel_Minimum_MT,MATCH(W47,Control!$E$11:$E$15,0),MATCH(T47,Control!$E$11:$O$11,0))</f>
        <v>#N/A</v>
      </c>
      <c r="V47" s="222">
        <f t="shared" si="85"/>
        <v>112621.2099542334</v>
      </c>
      <c r="W47" s="215" t="s">
        <v>24</v>
      </c>
      <c r="X47" s="223" t="s">
        <v>42</v>
      </c>
      <c r="Y47" s="212" t="e">
        <f t="shared" si="86"/>
        <v>#N/A</v>
      </c>
      <c r="Z47" s="214">
        <v>875000</v>
      </c>
      <c r="AA47" s="214">
        <v>70</v>
      </c>
      <c r="AB47" s="377">
        <v>35</v>
      </c>
      <c r="AC47" s="225" t="e">
        <f t="shared" si="100"/>
        <v>#N/A</v>
      </c>
      <c r="AD47" s="306">
        <f t="shared" si="101"/>
        <v>1</v>
      </c>
      <c r="AE47" s="214" t="e">
        <f>IF(INDEX(Index,MATCH(X47,TVM_PortList,0),MATCH("Type",Control!$Q$3:$U$3,0))="BL",INDEX(Index,MATCH(X47,TVM_PortList,0),MATCH("Payment",Control!$Q$3:$U$3,0))-INDEX(Index,MATCH(T47,TVM_PortList,0),MATCH("Payment",Control!$Q$3:$U$3,0)),AW47+INDEX(Index,MATCH(X47,TVM_PortList,0),MATCH("Payment",Control!$Q$3:$U$3,0))-INDEX(Index,MATCH(T47,TVM_PortList,0),MATCH("Payment",Control!$Q$3:$U$3,0)))</f>
        <v>#N/A</v>
      </c>
      <c r="AF47" s="227">
        <f t="shared" si="87"/>
        <v>2.6285714285714287E-2</v>
      </c>
      <c r="AG47" s="227" t="e">
        <f t="shared" si="88"/>
        <v>#N/A</v>
      </c>
      <c r="AH47" s="227">
        <f>INDEX(Lightering,MATCH($T47,Control!$AB$3:$AB$100,0),MATCH(MOLO!$W47,Control!$AB$3:$AF$3,0))*($Z47/$BD$18)*$BH$15/$Z47</f>
        <v>0</v>
      </c>
      <c r="AI47" s="227">
        <f t="shared" si="89"/>
        <v>0</v>
      </c>
      <c r="AJ47" s="227">
        <v>0</v>
      </c>
      <c r="AK47" s="227">
        <f t="shared" si="90"/>
        <v>5.0000000000000001E-3</v>
      </c>
      <c r="AL47" s="227">
        <f t="shared" si="91"/>
        <v>6.7299999999999999E-2</v>
      </c>
      <c r="AM47" s="227">
        <f>IF(INDEX(Control!$Q$3:$S$62,MATCH($X47,Control!$Q$3:$Q$62,0),MATCH(AM$8,Control!$Q$3:$S$3,0))=1,$BD$14*$BE$14,0)</f>
        <v>0</v>
      </c>
      <c r="AN47" s="227" t="e">
        <f>IF(INDEX(Control!$Q$3:$S$62,MATCH($X47,Control!$Q$3:$Q$62,0),MATCH(AN$8,Control!$Q$3:$S$3,0))=1,$BD$15/$Z47,0)</f>
        <v>#N/A</v>
      </c>
      <c r="AO47" s="227">
        <f t="shared" si="102"/>
        <v>0.19</v>
      </c>
      <c r="AP47" s="227">
        <f t="shared" si="92"/>
        <v>0</v>
      </c>
      <c r="AQ47" s="225" t="e">
        <f t="shared" si="107"/>
        <v>#N/A</v>
      </c>
      <c r="AR47" s="225" t="e">
        <f t="shared" si="94"/>
        <v>#N/A</v>
      </c>
      <c r="AS47" s="225">
        <f t="shared" si="95"/>
        <v>0</v>
      </c>
      <c r="AT47" s="225">
        <f t="shared" si="103"/>
        <v>0</v>
      </c>
      <c r="AU47" s="228" t="e">
        <f t="shared" si="96"/>
        <v>#N/A</v>
      </c>
      <c r="AV47" s="220"/>
      <c r="AW47" s="229">
        <f>INDEX('[1]Transit Time'!$A:$DZ,MATCH(G47,'[1]Transit Time'!$A:$A,0),MATCH(J47,'[1]Transit Time'!$A$1:$DZ$1,0))+INDEX('[1]Transit Time'!$A:$DZ,MATCH(J47,'[1]Transit Time'!$A:$A,0),MATCH(T47,'[1]Transit Time'!$A$1:$DZ$1,0))+INDEX('[1]Transit Time'!$A:$DZ,MATCH(T47,'[1]Transit Time'!$A:$A,0),MATCH(X47,'[1]Transit Time'!$A$1:$DZ$1,0))</f>
        <v>0</v>
      </c>
      <c r="AX47" s="204"/>
      <c r="AY47" s="230">
        <f t="shared" si="104"/>
        <v>44805</v>
      </c>
      <c r="AZ47" s="230">
        <f t="shared" si="97"/>
        <v>44807</v>
      </c>
      <c r="BB47"/>
      <c r="BC47"/>
      <c r="BD47"/>
      <c r="BE47"/>
      <c r="BF47"/>
      <c r="BG47"/>
      <c r="BH47"/>
      <c r="BI47"/>
      <c r="BJ47"/>
      <c r="BK47"/>
    </row>
    <row r="48" spans="1:63" ht="16" thickBot="1" x14ac:dyDescent="0.4">
      <c r="A48" s="163">
        <f t="shared" si="98"/>
        <v>44805</v>
      </c>
      <c r="B48" s="163">
        <f t="shared" si="80"/>
        <v>44807</v>
      </c>
      <c r="D48" s="157"/>
      <c r="E48" s="158">
        <f>IF(G48=J48,0,INDEX('[2]Flat Rates 2023'!$A:$DB,MATCH(G48,'[2]Flat Rates 2023'!$A:$A,0),MATCH(J48,'[2]Flat Rates 2023'!$A$1:$DB$1,0)))</f>
        <v>0</v>
      </c>
      <c r="F48" s="158" t="e">
        <f>INDEX(Control!$E$17:$O$21,MATCH(L48,Control!$E$17:$E$21,0),MATCH(G48,Control!$E$17:$O$17,0))</f>
        <v>#N/A</v>
      </c>
      <c r="G48" s="158" t="str">
        <f t="shared" si="81"/>
        <v>Trinidad</v>
      </c>
      <c r="H48" s="116" t="e">
        <f>INDEX(Vessel_Minimum_MT,MATCH(L48,Control!$E$11:$E$15,0),MATCH(G48,Control!$E$11:$O$11,0))</f>
        <v>#N/A</v>
      </c>
      <c r="I48" s="159">
        <f t="shared" si="82"/>
        <v>90096.96796338672</v>
      </c>
      <c r="J48" s="158" t="s">
        <v>45</v>
      </c>
      <c r="K48" s="158" t="e">
        <f t="shared" si="83"/>
        <v>#N/A</v>
      </c>
      <c r="L48" s="156" t="s">
        <v>22</v>
      </c>
      <c r="M48" s="159">
        <v>700000</v>
      </c>
      <c r="N48" s="160">
        <v>0</v>
      </c>
      <c r="O48" s="161">
        <v>0</v>
      </c>
      <c r="P48" s="162" t="e">
        <f t="shared" si="84"/>
        <v>#N/A</v>
      </c>
      <c r="Q48" s="2"/>
      <c r="R48" s="138">
        <f>INDEX('[2]Flat Rates 2023'!$A:$DZ,MATCH(T48,'[2]Flat Rates 2023'!$A:$A,0),MATCH(X48,'[2]Flat Rates 2023'!$A$1:$DZ$1,0))</f>
        <v>0</v>
      </c>
      <c r="S48" s="138" t="e">
        <f>INDEX(Control!$E$17:$O$21,MATCH(W48,Control!$E$17:$E$21,0),MATCH(T48,Control!$E$17:$O$17,0))</f>
        <v>#N/A</v>
      </c>
      <c r="T48" s="138" t="s">
        <v>134</v>
      </c>
      <c r="U48" s="116" t="e">
        <f>INDEX(Vessel_Minimum_MT,MATCH(W48,Control!$E$11:$E$15,0),MATCH(T48,Control!$E$11:$O$11,0))</f>
        <v>#N/A</v>
      </c>
      <c r="V48" s="140">
        <f t="shared" si="85"/>
        <v>112621.2099542334</v>
      </c>
      <c r="W48" s="147" t="s">
        <v>24</v>
      </c>
      <c r="X48" s="164" t="s">
        <v>50</v>
      </c>
      <c r="Y48" s="142" t="e">
        <f t="shared" si="86"/>
        <v>#N/A</v>
      </c>
      <c r="Z48" s="141">
        <v>875000</v>
      </c>
      <c r="AA48" s="141">
        <v>70</v>
      </c>
      <c r="AB48" s="202">
        <f>AB47</f>
        <v>35</v>
      </c>
      <c r="AC48" s="149" t="e">
        <f t="shared" si="100"/>
        <v>#N/A</v>
      </c>
      <c r="AD48" s="28">
        <f t="shared" si="101"/>
        <v>1</v>
      </c>
      <c r="AE48" s="155" t="e">
        <f>IF(INDEX(Index,MATCH(X48,TVM_PortList,0),MATCH("Type",Control!$Q$3:$U$3,0))="BL",INDEX(Index,MATCH(X48,TVM_PortList,0),MATCH("Payment",Control!$Q$3:$U$3,0))-INDEX(Index,MATCH(T48,TVM_PortList,0),MATCH("Payment",Control!$Q$3:$U$3,0)),AW48+INDEX(Index,MATCH(X48,TVM_PortList,0),MATCH("Payment",Control!$Q$3:$U$3,0))-INDEX(Index,MATCH(T48,TVM_PortList,0),MATCH("Payment",Control!$Q$3:$U$3,0)))</f>
        <v>#N/A</v>
      </c>
      <c r="AF48" s="143">
        <f t="shared" si="87"/>
        <v>2.6285714285714287E-2</v>
      </c>
      <c r="AG48" s="143" t="e">
        <f t="shared" si="88"/>
        <v>#N/A</v>
      </c>
      <c r="AH48" s="143">
        <f>INDEX(Lightering,MATCH($T48,Control!$AB$3:$AB$100,0),MATCH(MOLO!$W48,Control!$AB$3:$AF$3,0))*($Z48/$BD$18)*$BH$15/$Z48</f>
        <v>0</v>
      </c>
      <c r="AI48" s="143">
        <f t="shared" si="89"/>
        <v>0</v>
      </c>
      <c r="AJ48" s="143">
        <v>0</v>
      </c>
      <c r="AK48" s="143">
        <f t="shared" si="90"/>
        <v>5.0000000000000001E-3</v>
      </c>
      <c r="AL48" s="143">
        <f t="shared" si="91"/>
        <v>6.7299999999999999E-2</v>
      </c>
      <c r="AM48" s="143">
        <f>IF(INDEX(Control!$Q$3:$S$62,MATCH($X48,Control!$Q$3:$Q$62,0),MATCH(AM$8,Control!$Q$3:$S$3,0))=1,$BD$14*$BE$14,0)</f>
        <v>0</v>
      </c>
      <c r="AN48" s="143" t="e">
        <f>IF(INDEX(Control!$Q$3:$S$62,MATCH($X48,Control!$Q$3:$Q$62,0),MATCH(AN$8,Control!$Q$3:$S$3,0))=1,$BD$15/$Z48,0)</f>
        <v>#N/A</v>
      </c>
      <c r="AO48" s="143" t="str">
        <f t="shared" si="102"/>
        <v/>
      </c>
      <c r="AP48" s="143">
        <f t="shared" si="92"/>
        <v>0</v>
      </c>
      <c r="AQ48" s="149" t="e">
        <f t="shared" ref="AQ48" si="108">SUM(AF48:AP48)</f>
        <v>#N/A</v>
      </c>
      <c r="AR48" s="149" t="e">
        <f t="shared" si="94"/>
        <v>#N/A</v>
      </c>
      <c r="AS48" s="149">
        <f t="shared" si="95"/>
        <v>0</v>
      </c>
      <c r="AT48" s="149">
        <f t="shared" si="103"/>
        <v>0</v>
      </c>
      <c r="AU48" s="145" t="e">
        <f t="shared" si="96"/>
        <v>#N/A</v>
      </c>
      <c r="AW48" s="153">
        <f>INDEX('[1]Transit Time'!$A:$DZ,MATCH(G48,'[1]Transit Time'!$A:$A,0),MATCH(J48,'[1]Transit Time'!$A$1:$DZ$1,0))+INDEX('[1]Transit Time'!$A:$DZ,MATCH(J48,'[1]Transit Time'!$A:$A,0),MATCH(T48,'[1]Transit Time'!$A$1:$DZ$1,0))+INDEX('[1]Transit Time'!$A:$DZ,MATCH(T48,'[1]Transit Time'!$A:$A,0),MATCH(X48,'[1]Transit Time'!$A$1:$DZ$1,0))</f>
        <v>0</v>
      </c>
      <c r="AX48" s="152"/>
      <c r="AY48" s="163">
        <f t="shared" si="104"/>
        <v>44805</v>
      </c>
      <c r="AZ48" s="163">
        <f t="shared" si="97"/>
        <v>44807</v>
      </c>
      <c r="BB48"/>
      <c r="BC48"/>
      <c r="BD48"/>
      <c r="BE48"/>
      <c r="BF48"/>
      <c r="BG48"/>
      <c r="BH48"/>
      <c r="BI48"/>
      <c r="BJ48"/>
      <c r="BK48"/>
    </row>
    <row r="49" spans="1:63" ht="18.75" customHeight="1" thickBot="1" x14ac:dyDescent="0.5">
      <c r="A49" s="163"/>
      <c r="B49" s="163"/>
      <c r="D49" s="1069" t="str">
        <f>D7</f>
        <v>CORPUS-PTP</v>
      </c>
      <c r="E49" s="1070"/>
      <c r="F49" s="1070"/>
      <c r="G49" s="1070"/>
      <c r="H49" s="1070"/>
      <c r="I49" s="1070"/>
      <c r="J49" s="1070"/>
      <c r="K49" s="1070"/>
      <c r="L49" s="1070"/>
      <c r="M49" s="1070"/>
      <c r="N49" s="1070"/>
      <c r="O49" s="1070"/>
      <c r="P49" s="1071"/>
      <c r="Q49" s="2"/>
      <c r="R49" s="9"/>
      <c r="S49" s="9"/>
      <c r="T49" s="9"/>
      <c r="U49" s="9"/>
      <c r="V49" s="9"/>
      <c r="W49" s="1069" t="s">
        <v>284</v>
      </c>
      <c r="X49" s="1070"/>
      <c r="Y49" s="1070"/>
      <c r="Z49" s="1070"/>
      <c r="AA49" s="1070"/>
      <c r="AB49" s="1070"/>
      <c r="AC49" s="1070"/>
      <c r="AD49" s="1070"/>
      <c r="AE49" s="1070"/>
      <c r="AF49" s="1070"/>
      <c r="AG49" s="1070"/>
      <c r="AH49" s="1070"/>
      <c r="AI49" s="1070"/>
      <c r="AJ49" s="1070"/>
      <c r="AK49" s="1070"/>
      <c r="AL49" s="1070"/>
      <c r="AM49" s="1070"/>
      <c r="AN49" s="1070"/>
      <c r="AO49" s="1070"/>
      <c r="AP49" s="1070"/>
      <c r="AQ49" s="1070"/>
      <c r="AR49" s="1070"/>
      <c r="AS49" s="1070"/>
      <c r="AT49" s="1070"/>
      <c r="AU49" s="1071"/>
      <c r="AW49"/>
      <c r="AY49"/>
      <c r="AZ49"/>
      <c r="BB49"/>
      <c r="BC49"/>
      <c r="BD49"/>
      <c r="BE49"/>
      <c r="BF49"/>
      <c r="BG49"/>
      <c r="BH49"/>
      <c r="BI49"/>
      <c r="BJ49"/>
      <c r="BK49"/>
    </row>
    <row r="50" spans="1:63" ht="29.5" customHeight="1" x14ac:dyDescent="0.35">
      <c r="A50" s="1005" t="s">
        <v>167</v>
      </c>
      <c r="B50" s="1005"/>
      <c r="D50" s="120" t="s">
        <v>276</v>
      </c>
      <c r="E50" s="152" t="s">
        <v>172</v>
      </c>
      <c r="F50" s="152" t="s">
        <v>2</v>
      </c>
      <c r="G50" s="152" t="s">
        <v>173</v>
      </c>
      <c r="H50" s="152" t="s">
        <v>174</v>
      </c>
      <c r="I50" s="125" t="s">
        <v>175</v>
      </c>
      <c r="J50" s="152" t="s">
        <v>177</v>
      </c>
      <c r="K50" s="152" t="s">
        <v>178</v>
      </c>
      <c r="L50" s="122" t="s">
        <v>176</v>
      </c>
      <c r="M50" s="120" t="s">
        <v>200</v>
      </c>
      <c r="N50" s="120" t="str">
        <f>$N$8</f>
        <v>WS Rate</v>
      </c>
      <c r="O50" s="121" t="s">
        <v>202</v>
      </c>
      <c r="P50" s="123" t="s">
        <v>278</v>
      </c>
      <c r="Q50" s="2"/>
      <c r="R50" s="120" t="s">
        <v>172</v>
      </c>
      <c r="S50" s="120" t="s">
        <v>2</v>
      </c>
      <c r="T50" s="120" t="s">
        <v>173</v>
      </c>
      <c r="U50" s="152" t="str">
        <f>$U$8</f>
        <v>Vessel MT</v>
      </c>
      <c r="V50" s="120" t="s">
        <v>175</v>
      </c>
      <c r="W50" s="120" t="s">
        <v>176</v>
      </c>
      <c r="X50" s="120" t="s">
        <v>177</v>
      </c>
      <c r="Y50" s="120" t="s">
        <v>178</v>
      </c>
      <c r="Z50" s="120" t="s">
        <v>200</v>
      </c>
      <c r="AA50" s="146" t="str">
        <f>$AA$8</f>
        <v xml:space="preserve">Current WS Rate </v>
      </c>
      <c r="AB50" s="128" t="s">
        <v>202</v>
      </c>
      <c r="AC50" s="150" t="s">
        <v>182</v>
      </c>
      <c r="AD50" s="136" t="s">
        <v>183</v>
      </c>
      <c r="AE50" s="146" t="s">
        <v>279</v>
      </c>
      <c r="AF50" s="136" t="s">
        <v>184</v>
      </c>
      <c r="AG50" s="136" t="s">
        <v>140</v>
      </c>
      <c r="AH50" s="136" t="str">
        <f>AH29</f>
        <v>STS</v>
      </c>
      <c r="AI50" s="136" t="s">
        <v>186</v>
      </c>
      <c r="AJ50" s="136" t="s">
        <v>187</v>
      </c>
      <c r="AK50" s="136" t="s">
        <v>141</v>
      </c>
      <c r="AL50" s="136" t="s">
        <v>188</v>
      </c>
      <c r="AM50" s="136" t="s">
        <v>17</v>
      </c>
      <c r="AN50" s="136" t="s">
        <v>207</v>
      </c>
      <c r="AO50" s="136" t="s">
        <v>189</v>
      </c>
      <c r="AP50" s="136" t="s">
        <v>152</v>
      </c>
      <c r="AQ50" s="150" t="s">
        <v>208</v>
      </c>
      <c r="AR50" s="150" t="s">
        <v>209</v>
      </c>
      <c r="AS50" s="150" t="s">
        <v>210</v>
      </c>
      <c r="AT50" s="150" t="str">
        <f>AT41</f>
        <v>Basis</v>
      </c>
      <c r="AU50" s="137" t="s">
        <v>211</v>
      </c>
      <c r="AW50" s="137" t="s">
        <v>195</v>
      </c>
      <c r="AY50" s="1011" t="s">
        <v>196</v>
      </c>
      <c r="AZ50" s="1011"/>
      <c r="BB50"/>
      <c r="BC50"/>
      <c r="BD50"/>
      <c r="BE50"/>
      <c r="BF50"/>
      <c r="BG50"/>
      <c r="BH50"/>
      <c r="BI50"/>
      <c r="BJ50"/>
      <c r="BK50"/>
    </row>
    <row r="51" spans="1:63" x14ac:dyDescent="0.35">
      <c r="A51" s="163">
        <f t="shared" ref="A51" si="109">+$A$9</f>
        <v>44805</v>
      </c>
      <c r="B51" s="163">
        <f t="shared" ref="B51" si="110">IF(ISBLANK(A51),"",A51+2)</f>
        <v>44807</v>
      </c>
      <c r="D51" s="16"/>
      <c r="E51" s="138">
        <f>INDEX('[2]Flat Rates 2023'!$A:$DB,MATCH(G51,'[2]Flat Rates 2023'!$A:$A,0),MATCH(J51,'[2]Flat Rates 2023'!$A$1:$DB$1,0))</f>
        <v>6.78</v>
      </c>
      <c r="F51" s="138" t="e">
        <f>INDEX(Control!$E$17:$O$21,MATCH(L51,Control!$E$17:$E$21,0),MATCH(G51,Control!$E$17:$O$17,0))</f>
        <v>#N/A</v>
      </c>
      <c r="G51" s="138" t="str">
        <f t="shared" ref="G51" si="111">$G$9</f>
        <v>Trinidad</v>
      </c>
      <c r="H51" s="116" t="e">
        <f>INDEX(Vessel_Minimum_MT,MATCH(L51,Control!$E$11:$E$15,0),MATCH(G51,Control!$E$11:$O$11,0))</f>
        <v>#N/A</v>
      </c>
      <c r="I51" s="116">
        <f>M51/$BD$17</f>
        <v>96532.465675057203</v>
      </c>
      <c r="J51" s="138" t="s">
        <v>55</v>
      </c>
      <c r="K51" s="138" t="e">
        <f>IF(J51=G51,"",CONCATENATE(CONCATENATE(VLOOKUP(G51,Zones,2,FALSE),"/",VLOOKUP(J51,Zones,2,FALSE))))</f>
        <v>#N/A</v>
      </c>
      <c r="L51" s="147" t="s">
        <v>23</v>
      </c>
      <c r="M51" s="141">
        <v>750000</v>
      </c>
      <c r="N51" s="17">
        <v>170</v>
      </c>
      <c r="O51" s="18">
        <v>82.5</v>
      </c>
      <c r="P51" s="148" t="e">
        <f>IF($G51="Esmeraldas",IF(N51&gt;1000,IF(O51=0,N51,O51)/M51*1.1,((H51*E51*(IF(O51=0,N51,O51)/100))+IF(I51&lt;H51,0,(I51-H51)*E51*IF(O51=0,N51,O51)/100*F51))/M51*1.1),IF(N51&gt;1000,IF(O51=0,N51,O51)/M51,((H51*E51*(IF(O51=0,N51,O51)/100))+IF(I51&lt;H51,0,(I51-H51)*E51*IF(O51=0,N51,O51)/100*F51)))/M51)</f>
        <v>#N/A</v>
      </c>
      <c r="Q51" s="2"/>
      <c r="R51" s="138">
        <f>INDEX('[2]Flat Rates 2023'!$A:$DZ,MATCH(T51,'[2]Flat Rates 2023'!$A:$A,0),MATCH(X51,'[2]Flat Rates 2023'!$A$1:$DZ$1,0))</f>
        <v>18.82</v>
      </c>
      <c r="S51" s="138">
        <f>INDEX(Control!$E$17:$O$21,MATCH(W51,Control!$E$17:$E$21,0),MATCH(T51,Control!$E$17:$O$17,0))</f>
        <v>0.5</v>
      </c>
      <c r="T51" s="138" t="s">
        <v>55</v>
      </c>
      <c r="U51" s="116">
        <f>INDEX(Vessel_Minimum_MT,MATCH(W51,Control!$E$11:$E$15,0),MATCH(T51,Control!$E$11:$O$11,0))</f>
        <v>150000</v>
      </c>
      <c r="V51" s="140">
        <f>Z51/$BD$17</f>
        <v>128709.9542334096</v>
      </c>
      <c r="W51" s="147" t="s">
        <v>24</v>
      </c>
      <c r="X51" s="164" t="s">
        <v>42</v>
      </c>
      <c r="Y51" s="142" t="str">
        <f>IF(X51=T51,"",CONCATENATE(CONCATENATE(VLOOKUP(T51,Zones,2,FALSE),"/",VLOOKUP(X51,Zones,2,FALSE))))</f>
        <v>CARIBS/Nsea</v>
      </c>
      <c r="Z51" s="141">
        <v>1000000</v>
      </c>
      <c r="AA51" s="141">
        <f>$AA$42</f>
        <v>70</v>
      </c>
      <c r="AB51" s="151">
        <f>AB48</f>
        <v>35</v>
      </c>
      <c r="AC51" s="149">
        <f>IF($T51="Esmeraldas",IF(AA51&gt;1000,IF(AB51=0,AA51,AB51)/Z51*1.1,((U51*R51*(IF(AB51=0,AA51,AB51)/100))+IF(V51&lt;U51,0,(V51-U51)*R51*IF(AB51=0,AA51,AB51)/100*S51))/Z51*1.1),IF(AA51&gt;1000,IF(AB51=0,AA51,AB51)/Z51,((U51*R51*(IF(AB51=0,AA51,AB51)/100))+IF(V51&lt;U51,0,(V51-U51)*R51*IF(AB51=0,AA51,AB51)/100*S51))/Z51))</f>
        <v>0.98804999999999987</v>
      </c>
      <c r="AD51" s="134">
        <v>2</v>
      </c>
      <c r="AE51" s="155">
        <f>IF(INDEX(Index,MATCH(X51,TVM_PortList,0),MATCH("Type",Control!$Q$3:$U$3,0))="BL",INDEX(Index,MATCH(X51,TVM_PortList,0),MATCH("Payment",Control!$Q$3:$U$3,0))-INDEX(Index,MATCH(T51,TVM_PortList,0),MATCH("Payment",Control!$Q$3:$U$3,0)),AW51+INDEX(Index,MATCH(X51,TVM_PortList,0),MATCH("Payment",Control!$Q$3:$U$3,0))-INDEX(Index,MATCH(T51,TVM_PortList,0),MATCH("Payment",Control!$Q$3:$U$3,0)))</f>
        <v>17</v>
      </c>
      <c r="AF51" s="143">
        <f>AD51*VLOOKUP($W51,$BF$9:$BH$13,3,FALSE)/$Z51</f>
        <v>4.5999999999999999E-2</v>
      </c>
      <c r="AG51" s="143">
        <f>IF(AE51&lt;0,0,$AE51*$BD$11)</f>
        <v>0.19561643835616435</v>
      </c>
      <c r="AH51" s="143">
        <f>IF(((Z51-VLOOKUP(W51,$BJ$10:$BK$14,2,FALSE))/$BD$18)&lt;=0,0,$BH$15/Z51)</f>
        <v>0</v>
      </c>
      <c r="AI51" s="143">
        <f>IF(G51="Corpus Christi",$BD$10,0)</f>
        <v>0</v>
      </c>
      <c r="AJ51" s="143">
        <v>0</v>
      </c>
      <c r="AK51" s="143">
        <f t="shared" ref="AK51" si="112">$BD$12</f>
        <v>5.0000000000000001E-3</v>
      </c>
      <c r="AL51" s="143">
        <f t="shared" ref="AL51" si="113">$BD$13</f>
        <v>6.7299999999999999E-2</v>
      </c>
      <c r="AM51" s="143">
        <f>IF(INDEX(Control!$Q$3:$S$62,MATCH($X51,Control!$Q$3:$Q$62,0),MATCH(AM$8,Control!$Q$3:$S$3,0))=1,$BD$14*$BE$14,0)</f>
        <v>0</v>
      </c>
      <c r="AN51" s="143" t="e">
        <f>IF(INDEX(Control!$Q$3:$S$62,MATCH($X51,Control!$Q$3:$Q$62,0),MATCH(AN$8,Control!$Q$3:$S$3,0))=1,$BD$15/$Z51,0)</f>
        <v>#N/A</v>
      </c>
      <c r="AO51" s="143">
        <f>$BD$16</f>
        <v>0</v>
      </c>
      <c r="AP51" s="143">
        <f>IF(AND(J51="Chiriqui Grande",T51="Puerto Armuelles"),$BG$18,0)</f>
        <v>0</v>
      </c>
      <c r="AQ51" s="149" t="e">
        <f t="shared" ref="AQ51" si="114">SUM(AF51:AP51)</f>
        <v>#N/A</v>
      </c>
      <c r="AR51" s="149" t="e">
        <f>+P51+AC51+AQ51</f>
        <v>#N/A</v>
      </c>
      <c r="AS51" s="149">
        <f>IF(MONTH(A51)=MONTH(AZ51),0,IF(MONTH(AZ51)-MONTH(A51)&gt;1,VLOOKUP("Spreads",$AR$3:$AU$4,MATCH(EOMONTH(AZ51,0),$AR$3:$AU$3,0),FALSE)+VLOOKUP("Spreads",$AR$3:$AU$4,MATCH(EOMONTH(AZ51,-1),$AR$3:$AU$3,0),FALSE),VLOOKUP("Spreads",$AR$3:$AU$4,MATCH(EOMONTH(AZ51,0),$AR$3:$AU$3,0))))</f>
        <v>0</v>
      </c>
      <c r="AT51" s="149">
        <f>IFERROR(-HLOOKUP(EOMONTH(AZ51,0),$AS$3:$AU$6,3,FALSE),0)</f>
        <v>0</v>
      </c>
      <c r="AU51" s="145" t="e">
        <f>$L$3+AR51+AS51+AT51</f>
        <v>#N/A</v>
      </c>
      <c r="AW51" s="153">
        <f>INDEX('[1]Transit Time'!$A:$DZ,MATCH(G51,'[1]Transit Time'!$A:$A,0),MATCH(J51,'[1]Transit Time'!$A$1:$DZ$1,0))+INDEX('[1]Transit Time'!$A:$DZ,MATCH(J51,'[1]Transit Time'!$A:$A,0),MATCH(T51,'[1]Transit Time'!$A$1:$DZ$1,0))+INDEX('[1]Transit Time'!$A:$DZ,MATCH(T51,'[1]Transit Time'!$A:$A,0),MATCH(X51,'[1]Transit Time'!$A$1:$DZ$1,0))</f>
        <v>24.5</v>
      </c>
      <c r="AY51" s="163">
        <f>IF(ISBLANK(A51),"",A51+$AW51)</f>
        <v>44829.5</v>
      </c>
      <c r="AZ51" s="163">
        <f>IFERROR(IF(ISBLANK(B51),"",B51+$AW51),"")</f>
        <v>44831.5</v>
      </c>
      <c r="BB51"/>
      <c r="BC51"/>
      <c r="BD51"/>
      <c r="BE51"/>
      <c r="BF51"/>
      <c r="BG51"/>
      <c r="BH51"/>
      <c r="BI51"/>
      <c r="BJ51"/>
      <c r="BK51"/>
    </row>
    <row r="52" spans="1:63" x14ac:dyDescent="0.35">
      <c r="A52"/>
      <c r="B52"/>
      <c r="M52"/>
      <c r="N52"/>
      <c r="O52"/>
      <c r="Q52" s="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B52"/>
      <c r="BC52"/>
      <c r="BD52"/>
      <c r="BE52"/>
      <c r="BF52"/>
      <c r="BG52"/>
      <c r="BH52"/>
      <c r="BI52"/>
      <c r="BJ52"/>
      <c r="BK52"/>
    </row>
    <row r="53" spans="1:63" x14ac:dyDescent="0.35">
      <c r="A53"/>
      <c r="B53"/>
      <c r="M53"/>
      <c r="N53"/>
      <c r="O53"/>
      <c r="Q53" s="2"/>
      <c r="AA53" s="3"/>
      <c r="AB53"/>
      <c r="AC53"/>
      <c r="AD53"/>
      <c r="AE53" s="308"/>
      <c r="AF53" s="308"/>
      <c r="AG53"/>
      <c r="AH53"/>
      <c r="AI53"/>
      <c r="AJ53"/>
      <c r="AK53"/>
      <c r="AL53"/>
      <c r="AM53"/>
      <c r="AN53"/>
      <c r="AO53"/>
      <c r="AP53"/>
      <c r="AQ53"/>
      <c r="AR53"/>
      <c r="AT53"/>
      <c r="AU53"/>
      <c r="AV53"/>
      <c r="AW53"/>
      <c r="AX53"/>
      <c r="AY53"/>
      <c r="AZ53"/>
      <c r="BB53"/>
      <c r="BC53"/>
      <c r="BD53"/>
      <c r="BE53"/>
      <c r="BF53"/>
      <c r="BG53"/>
      <c r="BH53"/>
      <c r="BI53"/>
      <c r="BJ53"/>
      <c r="BK53"/>
    </row>
    <row r="54" spans="1:63" x14ac:dyDescent="0.35">
      <c r="A54"/>
      <c r="B54"/>
      <c r="M54"/>
      <c r="N54"/>
      <c r="O54"/>
      <c r="Q54" s="2"/>
      <c r="X54" s="308"/>
      <c r="AB54"/>
      <c r="AC54"/>
      <c r="AD54"/>
      <c r="AF54" s="362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B54"/>
      <c r="BC54"/>
      <c r="BD54"/>
      <c r="BE54"/>
      <c r="BF54"/>
      <c r="BG54"/>
      <c r="BH54"/>
      <c r="BI54"/>
      <c r="BJ54"/>
      <c r="BK54"/>
    </row>
    <row r="55" spans="1:63" x14ac:dyDescent="0.35">
      <c r="A55"/>
      <c r="B55"/>
      <c r="M55"/>
      <c r="N55"/>
      <c r="O55"/>
      <c r="Q55" s="2"/>
      <c r="W55" s="362"/>
      <c r="X55" s="308"/>
      <c r="AB55"/>
      <c r="AC55" s="2"/>
      <c r="AD55" s="3"/>
      <c r="AE55" s="267"/>
      <c r="AF55"/>
      <c r="AG55">
        <v>4.95</v>
      </c>
      <c r="AH55"/>
      <c r="AI55"/>
      <c r="AJ55"/>
      <c r="AK55"/>
      <c r="AL55"/>
      <c r="AM55"/>
      <c r="AN55"/>
      <c r="AO55"/>
      <c r="AP55"/>
      <c r="AQ55"/>
      <c r="AR55"/>
      <c r="AS55" s="195"/>
      <c r="AT55" s="195"/>
      <c r="AU55"/>
      <c r="AV55"/>
      <c r="AW55"/>
      <c r="AX55"/>
      <c r="AY55"/>
      <c r="AZ55"/>
      <c r="BB55"/>
      <c r="BC55"/>
      <c r="BD55"/>
      <c r="BE55"/>
      <c r="BF55"/>
      <c r="BG55"/>
      <c r="BH55"/>
      <c r="BI55"/>
      <c r="BJ55"/>
      <c r="BK55"/>
    </row>
    <row r="56" spans="1:63" x14ac:dyDescent="0.35">
      <c r="A56"/>
      <c r="B56"/>
      <c r="Q56" s="2"/>
      <c r="AB56" s="2"/>
      <c r="AC56" s="3"/>
      <c r="AD56" s="3"/>
      <c r="AE56" s="2"/>
      <c r="AG56" s="2">
        <v>4.5</v>
      </c>
      <c r="AK56" s="133"/>
      <c r="BB56"/>
      <c r="BC56"/>
      <c r="BD56"/>
      <c r="BE56"/>
      <c r="BF56"/>
      <c r="BG56"/>
      <c r="BH56"/>
      <c r="BI56"/>
      <c r="BJ56"/>
      <c r="BK56"/>
    </row>
    <row r="57" spans="1:63" x14ac:dyDescent="0.35">
      <c r="A57"/>
      <c r="B57"/>
      <c r="Q57" s="2"/>
      <c r="AB57" s="2"/>
      <c r="AC57" s="3"/>
      <c r="AD57" s="3"/>
      <c r="AE57" s="2"/>
      <c r="AG57" s="2">
        <f>AVERAGE(AG55:AG56)</f>
        <v>4.7249999999999996</v>
      </c>
      <c r="AK57" s="133"/>
    </row>
    <row r="58" spans="1:63" x14ac:dyDescent="0.35">
      <c r="A58"/>
      <c r="B58"/>
      <c r="Q58" s="2"/>
      <c r="AB58" s="34"/>
      <c r="AC58" s="2"/>
      <c r="AD58" s="3"/>
      <c r="AE58" s="2"/>
      <c r="AK58" s="133"/>
    </row>
    <row r="59" spans="1:63" x14ac:dyDescent="0.35">
      <c r="A59"/>
      <c r="B59"/>
      <c r="Q59" s="2"/>
      <c r="AB59" s="2"/>
      <c r="AC59" s="132"/>
      <c r="AD59" s="3"/>
      <c r="AE59" s="2"/>
      <c r="AK59" s="133"/>
    </row>
    <row r="60" spans="1:63" x14ac:dyDescent="0.35">
      <c r="A60"/>
      <c r="B60"/>
      <c r="AB60" s="2"/>
      <c r="AC60" s="132"/>
      <c r="AD60" s="3"/>
      <c r="AE60" s="2"/>
      <c r="AK60" s="133"/>
    </row>
    <row r="61" spans="1:63" x14ac:dyDescent="0.35">
      <c r="A61"/>
      <c r="B61"/>
      <c r="AB61" s="2"/>
      <c r="AC61" s="2"/>
      <c r="AD61" s="3"/>
      <c r="AE61" s="2"/>
      <c r="AK61" s="133"/>
    </row>
    <row r="62" spans="1:63" x14ac:dyDescent="0.35">
      <c r="AB62" s="2"/>
      <c r="AC62" s="2"/>
      <c r="AE62" s="2"/>
      <c r="AK62" s="133"/>
    </row>
    <row r="63" spans="1:63" x14ac:dyDescent="0.35">
      <c r="AC63" s="3"/>
      <c r="AD63" s="34"/>
      <c r="AH63" s="1"/>
      <c r="AI63" s="1"/>
    </row>
    <row r="64" spans="1:63" x14ac:dyDescent="0.35">
      <c r="AC64" s="124"/>
      <c r="AD64" s="34"/>
      <c r="AH64" s="1"/>
      <c r="AI64" s="1"/>
    </row>
    <row r="65" spans="12:49" x14ac:dyDescent="0.35">
      <c r="AH65" s="1"/>
      <c r="AI65" s="1"/>
    </row>
    <row r="66" spans="12:49" x14ac:dyDescent="0.35">
      <c r="AH66" s="1"/>
      <c r="AI66" s="1"/>
    </row>
    <row r="67" spans="12:49" x14ac:dyDescent="0.35">
      <c r="AH67" s="1"/>
      <c r="AI67" s="1"/>
    </row>
    <row r="68" spans="12:49" x14ac:dyDescent="0.35">
      <c r="AH68" s="1"/>
      <c r="AI68" s="1"/>
    </row>
    <row r="69" spans="12:49" x14ac:dyDescent="0.35">
      <c r="L69" s="2"/>
      <c r="P69" s="2"/>
      <c r="Q69" s="2"/>
      <c r="R69" s="2"/>
      <c r="S69" s="2"/>
      <c r="T69" s="2"/>
      <c r="V69" s="2"/>
      <c r="W69" s="2"/>
      <c r="X69" s="2"/>
      <c r="AA69" s="2"/>
      <c r="AB69" s="2"/>
      <c r="AC69" s="2"/>
      <c r="AE69" s="2"/>
      <c r="AH69" s="1"/>
      <c r="AI69" s="1"/>
      <c r="AQ69" s="2"/>
      <c r="AR69" s="2"/>
      <c r="AS69" s="2"/>
      <c r="AT69" s="2"/>
      <c r="AU69" s="2"/>
      <c r="AW69" s="2"/>
    </row>
    <row r="70" spans="12:49" x14ac:dyDescent="0.35">
      <c r="L70" s="2"/>
      <c r="P70" s="2"/>
      <c r="Q70" s="2"/>
      <c r="R70" s="2"/>
      <c r="S70" s="2"/>
      <c r="T70" s="2"/>
      <c r="V70" s="2"/>
      <c r="W70" s="2"/>
      <c r="X70" s="2"/>
      <c r="AA70" s="2"/>
      <c r="AB70" s="2"/>
      <c r="AC70" s="2"/>
      <c r="AE70" s="2"/>
      <c r="AH70" s="1"/>
      <c r="AI70" s="1"/>
      <c r="AQ70" s="2"/>
      <c r="AR70" s="2"/>
      <c r="AS70" s="2"/>
      <c r="AT70" s="2"/>
      <c r="AU70" s="2"/>
      <c r="AW70" s="2"/>
    </row>
    <row r="71" spans="12:49" x14ac:dyDescent="0.35">
      <c r="L71" s="2"/>
      <c r="P71" s="2"/>
      <c r="Q71" s="2"/>
      <c r="R71" s="2"/>
      <c r="S71" s="2"/>
      <c r="T71" s="2"/>
      <c r="V71" s="2"/>
      <c r="W71" s="2"/>
      <c r="X71" s="2"/>
      <c r="AA71" s="2"/>
      <c r="AB71" s="2"/>
      <c r="AC71" s="2"/>
      <c r="AE71" s="2"/>
      <c r="AH71" s="1"/>
      <c r="AI71" s="1"/>
      <c r="AQ71" s="2"/>
      <c r="AR71" s="2"/>
      <c r="AS71" s="2"/>
      <c r="AT71" s="2"/>
      <c r="AU71" s="2"/>
      <c r="AW71" s="2"/>
    </row>
  </sheetData>
  <mergeCells count="26">
    <mergeCell ref="A50:B50"/>
    <mergeCell ref="AY50:AZ50"/>
    <mergeCell ref="D40:P40"/>
    <mergeCell ref="W40:AU40"/>
    <mergeCell ref="A41:B41"/>
    <mergeCell ref="AY41:AZ41"/>
    <mergeCell ref="D49:P49"/>
    <mergeCell ref="W49:AU49"/>
    <mergeCell ref="A25:B25"/>
    <mergeCell ref="AY25:AZ25"/>
    <mergeCell ref="D28:P28"/>
    <mergeCell ref="W28:AU28"/>
    <mergeCell ref="A29:B29"/>
    <mergeCell ref="AY29:AZ29"/>
    <mergeCell ref="D16:P16"/>
    <mergeCell ref="W16:AU16"/>
    <mergeCell ref="A17:B17"/>
    <mergeCell ref="AY17:AZ17"/>
    <mergeCell ref="D24:P24"/>
    <mergeCell ref="W24:AU24"/>
    <mergeCell ref="AY8:AZ8"/>
    <mergeCell ref="D2:AU2"/>
    <mergeCell ref="AA5:AC5"/>
    <mergeCell ref="A7:B7"/>
    <mergeCell ref="D7:P7"/>
    <mergeCell ref="W7:AU7"/>
  </mergeCells>
  <conditionalFormatting sqref="A8:B15">
    <cfRule type="expression" dxfId="14" priority="18">
      <formula>LEN(A8)=0</formula>
    </cfRule>
  </conditionalFormatting>
  <conditionalFormatting sqref="A18:B23">
    <cfRule type="expression" dxfId="13" priority="2">
      <formula>LEN(A18)=0</formula>
    </cfRule>
  </conditionalFormatting>
  <conditionalFormatting sqref="A26:B27">
    <cfRule type="expression" dxfId="12" priority="35">
      <formula>LEN(A26)=0</formula>
    </cfRule>
  </conditionalFormatting>
  <conditionalFormatting sqref="A30:B39">
    <cfRule type="expression" dxfId="11" priority="1">
      <formula>LEN(A30)=0</formula>
    </cfRule>
  </conditionalFormatting>
  <conditionalFormatting sqref="A49:B49 A51:B51">
    <cfRule type="expression" dxfId="10" priority="31">
      <formula>LEN(A49)=0</formula>
    </cfRule>
  </conditionalFormatting>
  <conditionalFormatting sqref="AD9:AD15 AD26:AD27">
    <cfRule type="cellIs" dxfId="9" priority="41" operator="greaterThan">
      <formula>2</formula>
    </cfRule>
  </conditionalFormatting>
  <conditionalFormatting sqref="AD18:AD23">
    <cfRule type="cellIs" dxfId="8" priority="4" operator="greaterThan">
      <formula>2</formula>
    </cfRule>
  </conditionalFormatting>
  <conditionalFormatting sqref="AD30:AD39">
    <cfRule type="cellIs" dxfId="7" priority="21" operator="greaterThan">
      <formula>2</formula>
    </cfRule>
  </conditionalFormatting>
  <conditionalFormatting sqref="AD42:AD48">
    <cfRule type="cellIs" dxfId="6" priority="11" operator="greaterThan">
      <formula>2</formula>
    </cfRule>
  </conditionalFormatting>
  <conditionalFormatting sqref="AD51">
    <cfRule type="cellIs" dxfId="5" priority="33" operator="greaterThan">
      <formula>2</formula>
    </cfRule>
  </conditionalFormatting>
  <conditionalFormatting sqref="AY9:AZ15">
    <cfRule type="expression" dxfId="4" priority="39">
      <formula>LEN(AY9)=0</formula>
    </cfRule>
  </conditionalFormatting>
  <conditionalFormatting sqref="AY18:AZ23">
    <cfRule type="expression" dxfId="3" priority="3">
      <formula>LEN(AY18)=0</formula>
    </cfRule>
  </conditionalFormatting>
  <conditionalFormatting sqref="AY26:AZ27">
    <cfRule type="expression" dxfId="2" priority="40">
      <formula>LEN(AY26)=0</formula>
    </cfRule>
  </conditionalFormatting>
  <conditionalFormatting sqref="AY30:AZ39">
    <cfRule type="expression" dxfId="1" priority="23">
      <formula>LEN(AY30)=0</formula>
    </cfRule>
  </conditionalFormatting>
  <conditionalFormatting sqref="AY51:AZ51">
    <cfRule type="expression" dxfId="0" priority="32">
      <formula>LEN(AY51)=0</formula>
    </cfRule>
  </conditionalFormatting>
  <dataValidations count="1">
    <dataValidation type="list" allowBlank="1" showInputMessage="1" showErrorMessage="1" sqref="X18:X23 X9:X15 G9:G15 J9:J15 T9:T15 J18:J23 X26:X27 X51 J51 G51 T51 T18:T23 X42:X48 G30:G39 G26:G27 T26:T27 J26:J27 T30:T39 J30:J39 X30:X39 G18:G23" xr:uid="{AF4C5392-73EF-44A3-8229-5073E56CA3BF}">
      <formula1>Port_List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Madrid, Allison on 2026-04-21T09:58:45.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B496B6-E5D5-49E6-A8FA-12C248AA5907}">
          <x14:formula1>
            <xm:f>Control!$E$6:$E$9</xm:f>
          </x14:formula1>
          <xm:sqref>W18:W23 W30:W39 L51 W51 L9:L15 W9:W15 W26:W27 L26:L27 L30:L39 L18:L23</xm:sqref>
        </x14:dataValidation>
        <x14:dataValidation type="list" allowBlank="1" showInputMessage="1" showErrorMessage="1" xr:uid="{1DD065F5-8BA0-485A-92A5-1C0818D70196}">
          <x14:formula1>
            <xm:f>Control!$E$2:$E$4</xm:f>
          </x14:formula1>
          <xm:sqref>D26:D27 D30:D39 D51 D9:D15 D18:D23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EFE506D3CBA4888E7D62ED5724875" ma:contentTypeVersion="6" ma:contentTypeDescription="Create a new document." ma:contentTypeScope="" ma:versionID="f23482f79c036affb5bd5c62e09982f3">
  <xsd:schema xmlns:xsd="http://www.w3.org/2001/XMLSchema" xmlns:xs="http://www.w3.org/2001/XMLSchema" xmlns:p="http://schemas.microsoft.com/office/2006/metadata/properties" xmlns:ns2="36e14a8e-c74d-4f08-b1bc-6b2bb7fbf0dd" xmlns:ns3="dcf2f03c-c908-42e4-94cb-de5a81d32c85" targetNamespace="http://schemas.microsoft.com/office/2006/metadata/properties" ma:root="true" ma:fieldsID="4a822a9222c7691a00206b520a5efcde" ns2:_="" ns3:_="">
    <xsd:import namespace="36e14a8e-c74d-4f08-b1bc-6b2bb7fbf0dd"/>
    <xsd:import namespace="dcf2f03c-c908-42e4-94cb-de5a81d32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14a8e-c74d-4f08-b1bc-6b2bb7fbf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2f03c-c908-42e4-94cb-de5a81d32c8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5997C6-8576-4D70-8D71-B7D9E9F6A9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8E0CAF-7FC6-467B-AB32-9C2FAB68555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98A6F4-FAFB-45FE-8634-54C164A843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e14a8e-c74d-4f08-b1bc-6b2bb7fbf0dd"/>
    <ds:schemaRef ds:uri="dcf2f03c-c908-42e4-94cb-de5a81d32c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0688344-d8b2-44fd-b45c-df5b89a4ff6b}" enabled="1" method="Privileged" siteId="{38ca91a6-87a7-4ff5-8448-258e723a7d4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Control</vt:lpstr>
      <vt:lpstr>WTI</vt:lpstr>
      <vt:lpstr>Sheet1</vt:lpstr>
      <vt:lpstr>Report</vt:lpstr>
      <vt:lpstr>CLK1</vt:lpstr>
      <vt:lpstr>BAKKEN</vt:lpstr>
      <vt:lpstr>LULA</vt:lpstr>
      <vt:lpstr>MARS</vt:lpstr>
      <vt:lpstr>LIZA</vt:lpstr>
      <vt:lpstr>FORTIES</vt:lpstr>
      <vt:lpstr>CASTILLA</vt:lpstr>
      <vt:lpstr>MOLO</vt:lpstr>
      <vt:lpstr>Index</vt:lpstr>
      <vt:lpstr>Lightering</vt:lpstr>
      <vt:lpstr>Overages</vt:lpstr>
      <vt:lpstr>Overages_Column</vt:lpstr>
      <vt:lpstr>Overages_Row</vt:lpstr>
      <vt:lpstr>Port_Info</vt:lpstr>
      <vt:lpstr>Port_List</vt:lpstr>
      <vt:lpstr>TVM_PortList</vt:lpstr>
      <vt:lpstr>Vessel_Minimum_MT</vt:lpstr>
      <vt:lpstr>Zones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Cantafio, Alberto (ATA)</cp:lastModifiedBy>
  <cp:revision/>
  <dcterms:created xsi:type="dcterms:W3CDTF">2026-04-22T00:41:32Z</dcterms:created>
  <dcterms:modified xsi:type="dcterms:W3CDTF">2026-10-02T16:30:21Z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0x010100872EFE506D3CBA4888E7D62ED5724875</vt:lpwstr>
  </property>
  <property fmtid="{D5CDD505-2E9C-101B-9397-08002B2CF9AE}" pid="3" name="MSIP_Label_90688344-d8b2-44fd-b45c-df5b89a4ff6b_Enabled">
    <vt:lpwstr>true</vt:lpwstr>
  </property>
  <property fmtid="{D5CDD505-2E9C-101B-9397-08002B2CF9AE}" pid="4" name="MSIP_Label_90688344-d8b2-44fd-b45c-df5b89a4ff6b_SetDate">
    <vt:lpwstr>2026-04-21T14:58:45Z</vt:lpwstr>
  </property>
  <property fmtid="{D5CDD505-2E9C-101B-9397-08002B2CF9AE}" pid="5" name="MSIP_Label_90688344-d8b2-44fd-b45c-df5b89a4ff6b_Method">
    <vt:lpwstr>Privileged</vt:lpwstr>
  </property>
  <property fmtid="{D5CDD505-2E9C-101B-9397-08002B2CF9AE}" pid="6" name="MSIP_Label_90688344-d8b2-44fd-b45c-df5b89a4ff6b_Name">
    <vt:lpwstr>General Use</vt:lpwstr>
  </property>
  <property fmtid="{D5CDD505-2E9C-101B-9397-08002B2CF9AE}" pid="7" name="MSIP_Label_90688344-d8b2-44fd-b45c-df5b89a4ff6b_SiteId">
    <vt:lpwstr>38ca91a6-87a7-4ff5-8448-258e723a7d40</vt:lpwstr>
  </property>
  <property fmtid="{D5CDD505-2E9C-101B-9397-08002B2CF9AE}" pid="8" name="MSIP_Label_90688344-d8b2-44fd-b45c-df5b89a4ff6b_ActionId">
    <vt:lpwstr>f49f6034-e5ac-4184-a3cb-8c6da3c94669</vt:lpwstr>
  </property>
  <property fmtid="{D5CDD505-2E9C-101B-9397-08002B2CF9AE}" pid="9" name="MSIP_Label_90688344-d8b2-44fd-b45c-df5b89a4ff6b_ContentBits">
    <vt:lpwstr>3</vt:lpwstr>
  </property>
  <property fmtid="{D5CDD505-2E9C-101B-9397-08002B2CF9AE}" pid="10" name="MSIP_Label_90688344-d8b2-44fd-b45c-df5b89a4ff6b_Tag">
    <vt:lpwstr>10, 0, 1, 1</vt:lpwstr>
  </property>
  <property fmtid="{D5CDD505-2E9C-101B-9397-08002B2CF9AE}" pid="11" name="SSR_MIGRATION_STATUS">
    <vt:lpwstr>2</vt:lpwstr>
  </property>
</Properties>
</file>